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6" windowWidth="11724" windowHeight="9432"/>
  </bookViews>
  <sheets>
    <sheet name="Proforma - 2015 and 2016" sheetId="4" r:id="rId1"/>
    <sheet name="Proforma - KMART 2FT  2016" sheetId="2" r:id="rId2"/>
    <sheet name="Proforma - KMART 2FT 2015" sheetId="11" r:id="rId3"/>
    <sheet name="Megan's Projections" sheetId="10" r:id="rId4"/>
  </sheets>
  <externalReferences>
    <externalReference r:id="rId5"/>
  </externalReferences>
  <definedNames>
    <definedName name="_xlnm.Print_Area" localSheetId="1">'Proforma - KMART 2FT  2016'!$A$1:$U$42</definedName>
  </definedNames>
  <calcPr calcId="125725"/>
</workbook>
</file>

<file path=xl/calcChain.xml><?xml version="1.0" encoding="utf-8"?>
<calcChain xmlns="http://schemas.openxmlformats.org/spreadsheetml/2006/main">
  <c r="Q34" i="2"/>
  <c r="O17" i="4"/>
  <c r="L37"/>
  <c r="N8" i="11"/>
  <c r="N9" s="1"/>
  <c r="H8"/>
  <c r="H9" s="1"/>
  <c r="G8"/>
  <c r="G9" s="1"/>
  <c r="M9"/>
  <c r="Q8"/>
  <c r="Q9" s="1"/>
  <c r="P8"/>
  <c r="P9" s="1"/>
  <c r="O8"/>
  <c r="O9" s="1"/>
  <c r="M8"/>
  <c r="L8"/>
  <c r="L9" s="1"/>
  <c r="K8"/>
  <c r="K9" s="1"/>
  <c r="J8"/>
  <c r="J9" s="1"/>
  <c r="I8"/>
  <c r="I9" s="1"/>
  <c r="F8"/>
  <c r="F9" s="1"/>
  <c r="E8"/>
  <c r="E9" s="1"/>
  <c r="D8"/>
  <c r="D9" s="1"/>
  <c r="Q11"/>
  <c r="Q26" s="1"/>
  <c r="Q27" s="1"/>
  <c r="Q30" s="1"/>
  <c r="P11"/>
  <c r="P12" s="1"/>
  <c r="O26"/>
  <c r="O38" s="1"/>
  <c r="M11"/>
  <c r="M26" s="1"/>
  <c r="M27" s="1"/>
  <c r="M30" s="1"/>
  <c r="L11"/>
  <c r="L12" s="1"/>
  <c r="K11"/>
  <c r="K26" s="1"/>
  <c r="K38" s="1"/>
  <c r="J11"/>
  <c r="J26" s="1"/>
  <c r="I11"/>
  <c r="I26" s="1"/>
  <c r="I27" s="1"/>
  <c r="I30" s="1"/>
  <c r="H12"/>
  <c r="G12"/>
  <c r="F11"/>
  <c r="F26" s="1"/>
  <c r="E11"/>
  <c r="E26" s="1"/>
  <c r="D10"/>
  <c r="D11" s="1"/>
  <c r="D26" s="1"/>
  <c r="D38" s="1"/>
  <c r="Q45"/>
  <c r="P45"/>
  <c r="O45"/>
  <c r="N45"/>
  <c r="M45"/>
  <c r="L45"/>
  <c r="K45"/>
  <c r="J45"/>
  <c r="I45"/>
  <c r="H45"/>
  <c r="G45"/>
  <c r="C33"/>
  <c r="H26"/>
  <c r="H27" s="1"/>
  <c r="Q20"/>
  <c r="P20"/>
  <c r="O20"/>
  <c r="N20"/>
  <c r="M20"/>
  <c r="L20"/>
  <c r="K20"/>
  <c r="J20"/>
  <c r="I20"/>
  <c r="H20"/>
  <c r="G20"/>
  <c r="F20"/>
  <c r="E20"/>
  <c r="D20"/>
  <c r="Q17"/>
  <c r="Q21" s="1"/>
  <c r="Q16"/>
  <c r="Q18" s="1"/>
  <c r="P16"/>
  <c r="P17" s="1"/>
  <c r="P21" s="1"/>
  <c r="O16"/>
  <c r="O17" s="1"/>
  <c r="O21" s="1"/>
  <c r="N16"/>
  <c r="N18" s="1"/>
  <c r="M16"/>
  <c r="M18" s="1"/>
  <c r="L16"/>
  <c r="L18" s="1"/>
  <c r="K16"/>
  <c r="K17" s="1"/>
  <c r="K21" s="1"/>
  <c r="J16"/>
  <c r="J18" s="1"/>
  <c r="I16"/>
  <c r="I18" s="1"/>
  <c r="H16"/>
  <c r="H17" s="1"/>
  <c r="H21" s="1"/>
  <c r="G16"/>
  <c r="G17" s="1"/>
  <c r="G21" s="1"/>
  <c r="F16"/>
  <c r="F18" s="1"/>
  <c r="E16"/>
  <c r="E18" s="1"/>
  <c r="D16"/>
  <c r="D18" s="1"/>
  <c r="H23" i="10"/>
  <c r="Q42" i="2"/>
  <c r="P42"/>
  <c r="O42"/>
  <c r="N42"/>
  <c r="M42"/>
  <c r="L42"/>
  <c r="K42"/>
  <c r="J42"/>
  <c r="I42"/>
  <c r="H42"/>
  <c r="G42"/>
  <c r="Q27"/>
  <c r="Q17"/>
  <c r="Q13"/>
  <c r="Q14" s="1"/>
  <c r="Q18" s="1"/>
  <c r="Q23"/>
  <c r="Q22" s="1"/>
  <c r="Q8"/>
  <c r="P27"/>
  <c r="P17"/>
  <c r="P13"/>
  <c r="P14" s="1"/>
  <c r="P18" s="1"/>
  <c r="P23"/>
  <c r="P22" s="1"/>
  <c r="P8"/>
  <c r="J17"/>
  <c r="I17"/>
  <c r="J13"/>
  <c r="J15" s="1"/>
  <c r="I13"/>
  <c r="I14" s="1"/>
  <c r="I18" s="1"/>
  <c r="J23"/>
  <c r="J22" s="1"/>
  <c r="I22"/>
  <c r="J8"/>
  <c r="I8"/>
  <c r="Y23" i="10"/>
  <c r="X23"/>
  <c r="S23"/>
  <c r="AB20"/>
  <c r="V20"/>
  <c r="U20"/>
  <c r="R20"/>
  <c r="O20" s="1"/>
  <c r="M20"/>
  <c r="W20" s="1"/>
  <c r="L20"/>
  <c r="D20"/>
  <c r="AB19"/>
  <c r="V19"/>
  <c r="U19"/>
  <c r="R19"/>
  <c r="O19" s="1"/>
  <c r="M19"/>
  <c r="W19" s="1"/>
  <c r="L19"/>
  <c r="D19"/>
  <c r="AB18"/>
  <c r="V18"/>
  <c r="U18"/>
  <c r="R18"/>
  <c r="O18" s="1"/>
  <c r="M18"/>
  <c r="W18" s="1"/>
  <c r="L18"/>
  <c r="D18"/>
  <c r="AB17"/>
  <c r="V17"/>
  <c r="U17"/>
  <c r="R17"/>
  <c r="O17" s="1"/>
  <c r="M17"/>
  <c r="W17" s="1"/>
  <c r="L17"/>
  <c r="D17"/>
  <c r="AB16"/>
  <c r="V16"/>
  <c r="U16"/>
  <c r="R16"/>
  <c r="O16" s="1"/>
  <c r="M16"/>
  <c r="W16" s="1"/>
  <c r="L16"/>
  <c r="D16"/>
  <c r="AB15"/>
  <c r="V15"/>
  <c r="U15"/>
  <c r="R15"/>
  <c r="O15" s="1"/>
  <c r="M15"/>
  <c r="W15" s="1"/>
  <c r="L15"/>
  <c r="D15"/>
  <c r="AB14"/>
  <c r="V14"/>
  <c r="U14"/>
  <c r="R14"/>
  <c r="O14" s="1"/>
  <c r="M14"/>
  <c r="W14" s="1"/>
  <c r="L14"/>
  <c r="D14"/>
  <c r="AB13"/>
  <c r="V13"/>
  <c r="U13"/>
  <c r="R13"/>
  <c r="O13" s="1"/>
  <c r="M13"/>
  <c r="W13" s="1"/>
  <c r="L13"/>
  <c r="D13"/>
  <c r="AB12"/>
  <c r="V12"/>
  <c r="U12"/>
  <c r="R12"/>
  <c r="O12" s="1"/>
  <c r="M12"/>
  <c r="W12" s="1"/>
  <c r="L12"/>
  <c r="D12"/>
  <c r="AB11"/>
  <c r="V11"/>
  <c r="U11"/>
  <c r="R11"/>
  <c r="O11" s="1"/>
  <c r="M11"/>
  <c r="W11" s="1"/>
  <c r="L11"/>
  <c r="D11"/>
  <c r="AB10"/>
  <c r="V10"/>
  <c r="U10"/>
  <c r="R10"/>
  <c r="O10" s="1"/>
  <c r="M10"/>
  <c r="W10" s="1"/>
  <c r="L10"/>
  <c r="D10"/>
  <c r="AB9"/>
  <c r="V9"/>
  <c r="U9"/>
  <c r="R9"/>
  <c r="O9" s="1"/>
  <c r="M9"/>
  <c r="W9" s="1"/>
  <c r="L9"/>
  <c r="D9"/>
  <c r="AB8"/>
  <c r="V8"/>
  <c r="U8"/>
  <c r="R8"/>
  <c r="O8" s="1"/>
  <c r="M8"/>
  <c r="W8" s="1"/>
  <c r="L8"/>
  <c r="D8"/>
  <c r="AB7"/>
  <c r="V7"/>
  <c r="U7"/>
  <c r="R7"/>
  <c r="O7" s="1"/>
  <c r="M7"/>
  <c r="W7" s="1"/>
  <c r="L7"/>
  <c r="D7"/>
  <c r="D23" l="1"/>
  <c r="U23"/>
  <c r="J23" s="1"/>
  <c r="G38" i="11"/>
  <c r="AB21" i="10"/>
  <c r="N17" i="11"/>
  <c r="N21" s="1"/>
  <c r="P26"/>
  <c r="P27" s="1"/>
  <c r="P29" s="1"/>
  <c r="K12"/>
  <c r="O12"/>
  <c r="J17"/>
  <c r="J21" s="1"/>
  <c r="L26"/>
  <c r="L27" s="1"/>
  <c r="L32" s="1"/>
  <c r="F12"/>
  <c r="J12"/>
  <c r="N12"/>
  <c r="I17"/>
  <c r="I21" s="1"/>
  <c r="E12"/>
  <c r="I12"/>
  <c r="M12"/>
  <c r="Q12"/>
  <c r="F17"/>
  <c r="F21" s="1"/>
  <c r="D12"/>
  <c r="S9"/>
  <c r="T9" s="1"/>
  <c r="N38"/>
  <c r="N27"/>
  <c r="N32" s="1"/>
  <c r="E17"/>
  <c r="E21" s="1"/>
  <c r="M17"/>
  <c r="M21" s="1"/>
  <c r="F38"/>
  <c r="F27"/>
  <c r="F30" s="1"/>
  <c r="J38"/>
  <c r="J27"/>
  <c r="J29" s="1"/>
  <c r="E38"/>
  <c r="E27"/>
  <c r="E30" s="1"/>
  <c r="H38"/>
  <c r="L38"/>
  <c r="P38"/>
  <c r="I38"/>
  <c r="M38"/>
  <c r="Q38"/>
  <c r="H29"/>
  <c r="H32"/>
  <c r="H30"/>
  <c r="L29"/>
  <c r="L30"/>
  <c r="P32"/>
  <c r="P30"/>
  <c r="H18"/>
  <c r="P18"/>
  <c r="F32"/>
  <c r="G18"/>
  <c r="O18"/>
  <c r="F29"/>
  <c r="I32"/>
  <c r="Q32"/>
  <c r="D17"/>
  <c r="D21" s="1"/>
  <c r="L17"/>
  <c r="L21" s="1"/>
  <c r="D27"/>
  <c r="I29"/>
  <c r="M29"/>
  <c r="Q29"/>
  <c r="N30"/>
  <c r="K18"/>
  <c r="M32"/>
  <c r="K27"/>
  <c r="O27"/>
  <c r="Q15" i="2"/>
  <c r="Q35"/>
  <c r="Q24"/>
  <c r="P24"/>
  <c r="P35"/>
  <c r="P15"/>
  <c r="J24"/>
  <c r="J35"/>
  <c r="I35"/>
  <c r="I24"/>
  <c r="I15"/>
  <c r="J14"/>
  <c r="J18" s="1"/>
  <c r="V23" i="10"/>
  <c r="K23" s="1"/>
  <c r="Z9"/>
  <c r="Q9" s="1"/>
  <c r="P9"/>
  <c r="P13"/>
  <c r="Z13"/>
  <c r="Q13" s="1"/>
  <c r="Z17"/>
  <c r="Q17" s="1"/>
  <c r="P17"/>
  <c r="P10"/>
  <c r="Z10"/>
  <c r="Q10" s="1"/>
  <c r="Z14"/>
  <c r="Q14" s="1"/>
  <c r="P14"/>
  <c r="Z18"/>
  <c r="Q18" s="1"/>
  <c r="P18"/>
  <c r="P7"/>
  <c r="W23"/>
  <c r="M23" s="1"/>
  <c r="Z7"/>
  <c r="P11"/>
  <c r="Z11"/>
  <c r="Q11" s="1"/>
  <c r="Z15"/>
  <c r="Q15" s="1"/>
  <c r="P15"/>
  <c r="Z19"/>
  <c r="Q19" s="1"/>
  <c r="P19"/>
  <c r="Z8"/>
  <c r="Q8" s="1"/>
  <c r="P8"/>
  <c r="Z12"/>
  <c r="Q12" s="1"/>
  <c r="P12"/>
  <c r="Z16"/>
  <c r="Q16" s="1"/>
  <c r="P16"/>
  <c r="Z20"/>
  <c r="Q20" s="1"/>
  <c r="P20"/>
  <c r="O23"/>
  <c r="R23"/>
  <c r="L23" l="1"/>
  <c r="G27" i="11"/>
  <c r="N29"/>
  <c r="N33" s="1"/>
  <c r="N35" s="1"/>
  <c r="N37" s="1"/>
  <c r="I33"/>
  <c r="I35" s="1"/>
  <c r="I37" s="1"/>
  <c r="J32"/>
  <c r="S38"/>
  <c r="H37" i="4" s="1"/>
  <c r="E32" i="11"/>
  <c r="E33" s="1"/>
  <c r="E35" s="1"/>
  <c r="J30"/>
  <c r="J33" s="1"/>
  <c r="J35" s="1"/>
  <c r="E29"/>
  <c r="F33"/>
  <c r="F35" s="1"/>
  <c r="M33"/>
  <c r="M35" s="1"/>
  <c r="M37" s="1"/>
  <c r="G30"/>
  <c r="K32"/>
  <c r="K30"/>
  <c r="K29"/>
  <c r="D29"/>
  <c r="D30"/>
  <c r="D32"/>
  <c r="O32"/>
  <c r="O30"/>
  <c r="O29"/>
  <c r="Q33"/>
  <c r="Q35" s="1"/>
  <c r="P33"/>
  <c r="P35" s="1"/>
  <c r="L33"/>
  <c r="L35" s="1"/>
  <c r="H33"/>
  <c r="H35" s="1"/>
  <c r="Q26" i="2"/>
  <c r="Q28"/>
  <c r="P28"/>
  <c r="P26"/>
  <c r="I26"/>
  <c r="I28"/>
  <c r="J26"/>
  <c r="J28"/>
  <c r="Z23" i="10"/>
  <c r="Z24" s="1"/>
  <c r="Q7"/>
  <c r="Q23" s="1"/>
  <c r="P23"/>
  <c r="G32" i="11" l="1"/>
  <c r="S27"/>
  <c r="H8" i="4" s="1"/>
  <c r="G17" s="1"/>
  <c r="G29" i="11"/>
  <c r="J37"/>
  <c r="J39" s="1"/>
  <c r="J41" s="1"/>
  <c r="J43" s="1"/>
  <c r="O33"/>
  <c r="O35" s="1"/>
  <c r="F37"/>
  <c r="F39" s="1"/>
  <c r="F41" s="1"/>
  <c r="F43" s="1"/>
  <c r="K33"/>
  <c r="K35" s="1"/>
  <c r="M39"/>
  <c r="M41" s="1"/>
  <c r="M43" s="1"/>
  <c r="L37"/>
  <c r="H37"/>
  <c r="Q37"/>
  <c r="E37"/>
  <c r="P37"/>
  <c r="S32"/>
  <c r="D33"/>
  <c r="D35" s="1"/>
  <c r="I39"/>
  <c r="I41" s="1"/>
  <c r="I43" s="1"/>
  <c r="N39"/>
  <c r="N41" s="1"/>
  <c r="N43" s="1"/>
  <c r="P29" i="2"/>
  <c r="P31" s="1"/>
  <c r="Q29"/>
  <c r="Q31" s="1"/>
  <c r="J29"/>
  <c r="J31" s="1"/>
  <c r="I29"/>
  <c r="I31" s="1"/>
  <c r="G8"/>
  <c r="O17"/>
  <c r="N13"/>
  <c r="M17"/>
  <c r="L17"/>
  <c r="K13"/>
  <c r="H13"/>
  <c r="G17"/>
  <c r="F17"/>
  <c r="E17"/>
  <c r="D17"/>
  <c r="O8"/>
  <c r="N8"/>
  <c r="M8"/>
  <c r="L8"/>
  <c r="K8"/>
  <c r="H8"/>
  <c r="F8"/>
  <c r="E8"/>
  <c r="D8"/>
  <c r="O22"/>
  <c r="N23"/>
  <c r="N22" s="1"/>
  <c r="M22"/>
  <c r="L23"/>
  <c r="L22" s="1"/>
  <c r="K23"/>
  <c r="K22" s="1"/>
  <c r="H23"/>
  <c r="G23"/>
  <c r="G22" s="1"/>
  <c r="F22"/>
  <c r="E22"/>
  <c r="D9"/>
  <c r="D22" s="1"/>
  <c r="S29" i="11" l="1"/>
  <c r="G33"/>
  <c r="G35" s="1"/>
  <c r="H24" i="2"/>
  <c r="H22"/>
  <c r="G37" i="11"/>
  <c r="E39"/>
  <c r="E41" s="1"/>
  <c r="E43" s="1"/>
  <c r="H39"/>
  <c r="H41" s="1"/>
  <c r="H43" s="1"/>
  <c r="O37"/>
  <c r="O39" s="1"/>
  <c r="O41" s="1"/>
  <c r="O43" s="1"/>
  <c r="G39"/>
  <c r="G41" s="1"/>
  <c r="G43" s="1"/>
  <c r="K37"/>
  <c r="K39" s="1"/>
  <c r="K41" s="1"/>
  <c r="K43" s="1"/>
  <c r="P39"/>
  <c r="P41" s="1"/>
  <c r="P43" s="1"/>
  <c r="Q39"/>
  <c r="Q41" s="1"/>
  <c r="Q43" s="1"/>
  <c r="S33"/>
  <c r="S35" s="1"/>
  <c r="D37"/>
  <c r="L39"/>
  <c r="L41" s="1"/>
  <c r="L43" s="1"/>
  <c r="P34" i="2"/>
  <c r="P36" s="1"/>
  <c r="P38" s="1"/>
  <c r="P40" s="1"/>
  <c r="J34"/>
  <c r="I34"/>
  <c r="K24"/>
  <c r="M24"/>
  <c r="F24"/>
  <c r="E24"/>
  <c r="O13"/>
  <c r="O15" s="1"/>
  <c r="O24"/>
  <c r="N24"/>
  <c r="M13"/>
  <c r="M15" s="1"/>
  <c r="L24"/>
  <c r="G24"/>
  <c r="F13"/>
  <c r="F15" s="1"/>
  <c r="H14"/>
  <c r="H18" s="1"/>
  <c r="H15"/>
  <c r="K14"/>
  <c r="K18" s="1"/>
  <c r="K15"/>
  <c r="N14"/>
  <c r="N18" s="1"/>
  <c r="N15"/>
  <c r="G13"/>
  <c r="H17"/>
  <c r="K17"/>
  <c r="N17"/>
  <c r="E13"/>
  <c r="L13"/>
  <c r="D13"/>
  <c r="D24"/>
  <c r="S37" i="11" l="1"/>
  <c r="D39"/>
  <c r="D41" s="1"/>
  <c r="D43" s="1"/>
  <c r="J36" i="2"/>
  <c r="J38" s="1"/>
  <c r="J40" s="1"/>
  <c r="Q36"/>
  <c r="Q38" s="1"/>
  <c r="Q40" s="1"/>
  <c r="I36"/>
  <c r="I38" s="1"/>
  <c r="I40" s="1"/>
  <c r="O14"/>
  <c r="O18" s="1"/>
  <c r="M14"/>
  <c r="M18" s="1"/>
  <c r="F14"/>
  <c r="F18" s="1"/>
  <c r="E14"/>
  <c r="E18" s="1"/>
  <c r="E15"/>
  <c r="G14"/>
  <c r="G18" s="1"/>
  <c r="G15"/>
  <c r="L14"/>
  <c r="L18" s="1"/>
  <c r="L15"/>
  <c r="D15"/>
  <c r="D14"/>
  <c r="D18" s="1"/>
  <c r="S39" i="11" l="1"/>
  <c r="F35" i="2"/>
  <c r="G35"/>
  <c r="S41" i="11" l="1"/>
  <c r="H40" i="4"/>
  <c r="F26" i="2"/>
  <c r="F28"/>
  <c r="G26"/>
  <c r="G28"/>
  <c r="S43" i="11" l="1"/>
  <c r="H44" i="4" s="1"/>
  <c r="H42"/>
  <c r="F29" i="2"/>
  <c r="F31" s="1"/>
  <c r="G29"/>
  <c r="G31" s="1"/>
  <c r="G34" s="1"/>
  <c r="F34" l="1"/>
  <c r="G36"/>
  <c r="G38" s="1"/>
  <c r="G40" s="1"/>
  <c r="F36" l="1"/>
  <c r="F38" s="1"/>
  <c r="F40" s="1"/>
  <c r="E35" l="1"/>
  <c r="K35"/>
  <c r="N35"/>
  <c r="C29"/>
  <c r="G37" i="4"/>
  <c r="O27" i="2" l="1"/>
  <c r="D35"/>
  <c r="N27"/>
  <c r="H28"/>
  <c r="L27"/>
  <c r="M27"/>
  <c r="K27"/>
  <c r="H35"/>
  <c r="M35"/>
  <c r="L35"/>
  <c r="O35"/>
  <c r="M28" l="1"/>
  <c r="S24"/>
  <c r="N26"/>
  <c r="M26"/>
  <c r="D26"/>
  <c r="O26"/>
  <c r="H26"/>
  <c r="D28"/>
  <c r="L26"/>
  <c r="L28"/>
  <c r="N28"/>
  <c r="S35"/>
  <c r="M37" i="4" s="1"/>
  <c r="O28" i="2"/>
  <c r="K26"/>
  <c r="K28"/>
  <c r="E26"/>
  <c r="E28"/>
  <c r="M8" i="4" l="1"/>
  <c r="S28" i="2"/>
  <c r="H29"/>
  <c r="H31" s="1"/>
  <c r="M29"/>
  <c r="M31" s="1"/>
  <c r="D29"/>
  <c r="D31" s="1"/>
  <c r="D34" s="1"/>
  <c r="N29"/>
  <c r="N31" s="1"/>
  <c r="N34" s="1"/>
  <c r="L29"/>
  <c r="L31" s="1"/>
  <c r="L34" s="1"/>
  <c r="O29"/>
  <c r="O31" s="1"/>
  <c r="K29"/>
  <c r="K31" s="1"/>
  <c r="S26"/>
  <c r="E29"/>
  <c r="E31" s="1"/>
  <c r="M35" i="4" l="1"/>
  <c r="M13"/>
  <c r="M12"/>
  <c r="M11"/>
  <c r="M32"/>
  <c r="M31"/>
  <c r="L17"/>
  <c r="L26" s="1"/>
  <c r="M46"/>
  <c r="M33"/>
  <c r="M24"/>
  <c r="M21"/>
  <c r="M34"/>
  <c r="M19"/>
  <c r="M18"/>
  <c r="M14"/>
  <c r="M20"/>
  <c r="M16"/>
  <c r="M15"/>
  <c r="N8"/>
  <c r="D36" i="2"/>
  <c r="D38" s="1"/>
  <c r="D40" s="1"/>
  <c r="G26" i="4"/>
  <c r="S29" i="2"/>
  <c r="S31" s="1"/>
  <c r="M34"/>
  <c r="M36" s="1"/>
  <c r="M38" s="1"/>
  <c r="M40" s="1"/>
  <c r="H34"/>
  <c r="H36" s="1"/>
  <c r="H38" s="1"/>
  <c r="H40" s="1"/>
  <c r="N36"/>
  <c r="N38" s="1"/>
  <c r="N40" s="1"/>
  <c r="L36"/>
  <c r="L38" s="1"/>
  <c r="L40" s="1"/>
  <c r="O34"/>
  <c r="O36" s="1"/>
  <c r="O38" s="1"/>
  <c r="O40" s="1"/>
  <c r="K34"/>
  <c r="E34"/>
  <c r="H11" i="4"/>
  <c r="H24"/>
  <c r="H33"/>
  <c r="H18"/>
  <c r="H32"/>
  <c r="H13"/>
  <c r="H20"/>
  <c r="H19"/>
  <c r="H31"/>
  <c r="H34"/>
  <c r="H15"/>
  <c r="H21"/>
  <c r="H35"/>
  <c r="H12"/>
  <c r="H16"/>
  <c r="I8"/>
  <c r="H46"/>
  <c r="S34" i="2" l="1"/>
  <c r="M26" i="4"/>
  <c r="M28" s="1"/>
  <c r="K36" i="2"/>
  <c r="K38" s="1"/>
  <c r="K40" s="1"/>
  <c r="E36"/>
  <c r="E38" s="1"/>
  <c r="E40" s="1"/>
  <c r="H26" i="4"/>
  <c r="H28" s="1"/>
  <c r="M30" l="1"/>
  <c r="M36"/>
  <c r="S36" i="2"/>
  <c r="H36" i="4"/>
  <c r="H30"/>
  <c r="S38" i="2" l="1"/>
  <c r="S40" s="1"/>
  <c r="M40" i="4"/>
  <c r="M42" l="1"/>
  <c r="M44" s="1"/>
</calcChain>
</file>

<file path=xl/sharedStrings.xml><?xml version="1.0" encoding="utf-8"?>
<sst xmlns="http://schemas.openxmlformats.org/spreadsheetml/2006/main" count="316" uniqueCount="124">
  <si>
    <t>LC</t>
  </si>
  <si>
    <t>open order qty</t>
  </si>
  <si>
    <t>Farberware</t>
  </si>
  <si>
    <t>Ticket Retail</t>
  </si>
  <si>
    <t>Promo Retail 40% off</t>
  </si>
  <si>
    <t>GROSS SALES AT BILLING</t>
  </si>
  <si>
    <t>Rebate Accruals:</t>
  </si>
  <si>
    <t xml:space="preserve">CO-OP ADVERTISING </t>
  </si>
  <si>
    <t>DEFECTIVE ALLOWANCE</t>
  </si>
  <si>
    <t>ADDITIONAL MARKDOWNS</t>
  </si>
  <si>
    <t xml:space="preserve">DNN </t>
  </si>
  <si>
    <t>NEW STORE ALLOWANCE</t>
  </si>
  <si>
    <t>FREIGHT ALLOWANCE</t>
  </si>
  <si>
    <t>OOD / BILLBACK / SUPPORT</t>
  </si>
  <si>
    <t>Compliance Charges</t>
  </si>
  <si>
    <t>BRIDAL ALLOWANCE</t>
  </si>
  <si>
    <t>FIXTURE ALLOWANCE</t>
  </si>
  <si>
    <t>NETWORK OPTIMIZATION</t>
  </si>
  <si>
    <t>Other (not accrued)</t>
  </si>
  <si>
    <t xml:space="preserve">Miscellaneous </t>
  </si>
  <si>
    <t>TOTAL DEDUCTIONS</t>
  </si>
  <si>
    <t xml:space="preserve"> </t>
  </si>
  <si>
    <t>NET SALES</t>
  </si>
  <si>
    <t xml:space="preserve">TERMS </t>
  </si>
  <si>
    <t>PRETICKETING (DC to provide) (Calculates on Gross Sales)</t>
  </si>
  <si>
    <t>PICK &amp; PACK (DC to provide) (Calculates on Gross Sales)</t>
  </si>
  <si>
    <t>FREIGHT  PREPAID  (To Cons) (DC to provide) (Calculates on Gross Sales)</t>
  </si>
  <si>
    <t>DISPLAY/FIXTURES (Calculates on Gross Sales)</t>
  </si>
  <si>
    <t>STORE SERVICING (3rd Party Charges) (Calculates on Gross Sales)</t>
  </si>
  <si>
    <t>AUDIT/TESTING FEES</t>
  </si>
  <si>
    <t>LANDED COST</t>
  </si>
  <si>
    <t>TOTAL</t>
  </si>
  <si>
    <t>Contribution Margin</t>
  </si>
  <si>
    <t>Contribution Margin %</t>
  </si>
  <si>
    <t>Standard Gross Margin %</t>
  </si>
  <si>
    <t xml:space="preserve">CUSTOMER NAME : </t>
  </si>
  <si>
    <t>Brand</t>
  </si>
  <si>
    <t xml:space="preserve"> COST</t>
  </si>
  <si>
    <t>RECOMMENDED PROMO</t>
  </si>
  <si>
    <t>TICKET PRICE</t>
  </si>
  <si>
    <t>ACTUAL UNIT VOLUME TOTAL YR 2010</t>
  </si>
  <si>
    <t>ACTUAL DOLLAR VOLUME TOTAL YR 20010</t>
  </si>
  <si>
    <t>ADVERTISING</t>
  </si>
  <si>
    <t>DEFECTIVE ALL.</t>
  </si>
  <si>
    <t>DNN</t>
  </si>
  <si>
    <t>TERMS</t>
  </si>
  <si>
    <t>C.G.S.</t>
  </si>
  <si>
    <t>CM</t>
  </si>
  <si>
    <t>C.M.%</t>
  </si>
  <si>
    <t>PIPELINE FILL QTY</t>
  </si>
  <si>
    <t>TOTAL ANNUAL VOLUME</t>
  </si>
  <si>
    <t>EST WEIGHTED VOL</t>
  </si>
  <si>
    <t>OPENING ORDER VOL</t>
  </si>
  <si>
    <t>Opening Order Discount</t>
  </si>
  <si>
    <t>Farberware 2.5'</t>
  </si>
  <si>
    <t xml:space="preserve">ITEM # </t>
  </si>
  <si>
    <t>DESCRIPTION</t>
  </si>
  <si>
    <t>FW ULTRA SHARP 22PC SET</t>
  </si>
  <si>
    <t>FW 17PC TRIPLE RIVET CUTLERY SET RED</t>
  </si>
  <si>
    <t>FW 15PC STAMPED STAINLESS STEEL SET</t>
  </si>
  <si>
    <t>Kmart - FBW Cutlery</t>
  </si>
  <si>
    <t>Total Year Units</t>
  </si>
  <si>
    <t>Cutlery - 2015</t>
  </si>
  <si>
    <t>Casepack</t>
  </si>
  <si>
    <t># of Facings</t>
  </si>
  <si>
    <t>Sku Count</t>
  </si>
  <si>
    <t>Description</t>
  </si>
  <si>
    <t>Vendor</t>
  </si>
  <si>
    <t>Cost</t>
  </si>
  <si>
    <t>Retail</t>
  </si>
  <si>
    <t>IMU %</t>
  </si>
  <si>
    <t>AVG Retail</t>
  </si>
  <si>
    <t>Store Count</t>
  </si>
  <si>
    <t>Units Per Store Per Week</t>
  </si>
  <si>
    <t>$ Per Store Per Week</t>
  </si>
  <si>
    <t>GM$ Per Store Per Week</t>
  </si>
  <si>
    <t>AWS</t>
  </si>
  <si>
    <t>Annual Units</t>
  </si>
  <si>
    <t>Sales Assumptions</t>
  </si>
  <si>
    <t>COGS</t>
  </si>
  <si>
    <t>ROGS</t>
  </si>
  <si>
    <t>Est Annual $</t>
  </si>
  <si>
    <t>Est. Reg. GM $</t>
  </si>
  <si>
    <t>GM Support</t>
  </si>
  <si>
    <t>Est Annual GM $</t>
  </si>
  <si>
    <t>FARBERWARE 8X6 BAMBOO CUTTING BOARD RED EDGES</t>
  </si>
  <si>
    <t>LIFETIME</t>
  </si>
  <si>
    <t>FARBERWARE 11X14 BAMBOO CUTTING BOARD RED EDGES</t>
  </si>
  <si>
    <t>FARBERWARE 11X14 BAMBOO CUTTING BOARD BLUE EDGES</t>
  </si>
  <si>
    <t>FARBERWARE 15PC SS CUTLERY BLOCK SET</t>
  </si>
  <si>
    <t>FARBERWARE 22PC ULTRA SHARP CUTLERY BLOCK SET</t>
  </si>
  <si>
    <t>FARBERWARE 17PC RED TRIPLE RIVET CUTLERY BLOCK SET</t>
  </si>
  <si>
    <t>FARBERWARE EDGEKEEPER 3.5" PARER</t>
  </si>
  <si>
    <t>FARBERWARE EDGEKEEPER 8" CHEF KNIFE</t>
  </si>
  <si>
    <t>FARBERWARE CLASSIC 8" CHEF KNIFE</t>
  </si>
  <si>
    <t>FARBERWARE CLASSIC 8" SLICER</t>
  </si>
  <si>
    <t>FARBERWARE 2PK SHEARS</t>
  </si>
  <si>
    <t>FARBERWARE 2PK SANTOKU KNIVES</t>
  </si>
  <si>
    <t>FARBERWARE 3PK CHEF KNIVES</t>
  </si>
  <si>
    <t>FARBERWARE 4PK STEAK KNIVES</t>
  </si>
  <si>
    <t>Total</t>
  </si>
  <si>
    <t xml:space="preserve">  </t>
  </si>
  <si>
    <t> FW CLASSIC 8IN CHEF KNIFE</t>
  </si>
  <si>
    <t xml:space="preserve">FW CLASSIC 8IN SLICER </t>
  </si>
  <si>
    <t xml:space="preserve">FW CLASSIC 4PC STEAK KNIFE SET </t>
  </si>
  <si>
    <t xml:space="preserve">2PC SHEARS SET </t>
  </si>
  <si>
    <t xml:space="preserve">S/2 SANTOKU  </t>
  </si>
  <si>
    <t>S/3 CHEF</t>
  </si>
  <si>
    <t>Door Count</t>
  </si>
  <si>
    <t>2015 Fall + Pipeline</t>
  </si>
  <si>
    <t>Total Annual Units</t>
  </si>
  <si>
    <t>Total Units 2015 - Pipeline + Fall</t>
  </si>
  <si>
    <t>open order - $</t>
  </si>
  <si>
    <t>Total Units 2015 - Pipeline + Fall - $$</t>
  </si>
  <si>
    <t>January 2016</t>
  </si>
  <si>
    <t>- 10K taken from DNN</t>
  </si>
  <si>
    <t xml:space="preserve"> 2015/2016 PROFORMA</t>
  </si>
  <si>
    <t>KMART</t>
  </si>
  <si>
    <t>Units/Door</t>
  </si>
  <si>
    <t>ADVERTISING / DEFECTIVE</t>
  </si>
  <si>
    <t>DNN for 2016 / this is new program accrual only</t>
  </si>
  <si>
    <t>Updated:  11/09/15</t>
  </si>
  <si>
    <t>Kmart GM% @ TICKET</t>
  </si>
  <si>
    <t>Kmart GM%  @ PROMO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</si>
</sst>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%"/>
    <numFmt numFmtId="166" formatCode="&quot;$&quot;#,##0.00"/>
    <numFmt numFmtId="167" formatCode="_(* #,##0_);_(* \(#,##0\);_(* &quot;-&quot;??_);_(@_)"/>
    <numFmt numFmtId="168" formatCode="_(&quot;$&quot;* #,##0_);_(&quot;$&quot;* \(#,##0\);_(&quot;$&quot;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7"/>
      <color indexed="8"/>
      <name val="Calibri"/>
      <family val="2"/>
    </font>
    <font>
      <b/>
      <sz val="14"/>
      <color indexed="10"/>
      <name val="Calibri"/>
      <family val="2"/>
    </font>
    <font>
      <b/>
      <sz val="12"/>
      <color indexed="10"/>
      <name val="Arial"/>
      <family val="2"/>
    </font>
    <font>
      <b/>
      <sz val="10"/>
      <color rgb="FF7030A0"/>
      <name val="Arial"/>
      <family val="2"/>
    </font>
    <font>
      <sz val="9"/>
      <color theme="3"/>
      <name val="Arial"/>
      <family val="2"/>
    </font>
    <font>
      <sz val="9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u/>
      <sz val="9"/>
      <name val="Calibri"/>
      <family val="2"/>
    </font>
    <font>
      <sz val="9"/>
      <color indexed="18"/>
      <name val="Calibri"/>
      <family val="2"/>
    </font>
    <font>
      <sz val="9"/>
      <color rgb="FFFF0000"/>
      <name val="Calibri"/>
      <family val="2"/>
    </font>
    <font>
      <b/>
      <sz val="10"/>
      <name val="Calibri"/>
      <family val="2"/>
    </font>
    <font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9"/>
      <color indexed="12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trike/>
      <sz val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1"/>
      <color rgb="FF1F497D"/>
      <name val="Calibri"/>
      <family val="2"/>
    </font>
    <font>
      <b/>
      <sz val="10"/>
      <color indexed="12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name val="MS Sans Serif"/>
      <family val="2"/>
    </font>
    <font>
      <b/>
      <sz val="11"/>
      <color rgb="FF1F497D"/>
      <name val="Calibri"/>
      <family val="2"/>
    </font>
    <font>
      <sz val="8"/>
      <name val="Arial"/>
      <family val="2"/>
    </font>
    <font>
      <u/>
      <sz val="10"/>
      <name val="Arial"/>
      <family val="2"/>
    </font>
    <font>
      <sz val="11"/>
      <color rgb="FFFF0000"/>
      <name val="Calibri"/>
      <family val="2"/>
      <scheme val="minor"/>
    </font>
    <font>
      <sz val="36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281">
    <xf numFmtId="0" fontId="0" fillId="0" borderId="0" xfId="0"/>
    <xf numFmtId="0" fontId="4" fillId="0" borderId="0" xfId="4" applyFont="1"/>
    <xf numFmtId="0" fontId="5" fillId="2" borderId="0" xfId="4" applyFont="1" applyFill="1" applyAlignment="1">
      <alignment horizontal="center"/>
    </xf>
    <xf numFmtId="0" fontId="3" fillId="0" borderId="0" xfId="4"/>
    <xf numFmtId="0" fontId="6" fillId="2" borderId="0" xfId="4" applyFont="1" applyFill="1" applyBorder="1" applyAlignment="1"/>
    <xf numFmtId="0" fontId="5" fillId="2" borderId="0" xfId="4" applyFont="1" applyFill="1" applyBorder="1" applyAlignment="1">
      <alignment horizontal="center"/>
    </xf>
    <xf numFmtId="0" fontId="7" fillId="0" borderId="0" xfId="4" applyFont="1" applyAlignment="1">
      <alignment horizontal="left" vertical="center"/>
    </xf>
    <xf numFmtId="0" fontId="4" fillId="0" borderId="0" xfId="4" applyFont="1" applyAlignment="1">
      <alignment horizontal="centerContinuous"/>
    </xf>
    <xf numFmtId="0" fontId="4" fillId="0" borderId="0" xfId="4" applyFont="1" applyBorder="1" applyAlignment="1">
      <alignment horizontal="centerContinuous"/>
    </xf>
    <xf numFmtId="14" fontId="9" fillId="0" borderId="0" xfId="4" applyNumberFormat="1" applyFont="1"/>
    <xf numFmtId="0" fontId="10" fillId="0" borderId="0" xfId="4" applyFont="1"/>
    <xf numFmtId="0" fontId="11" fillId="2" borderId="0" xfId="4" applyFont="1" applyFill="1"/>
    <xf numFmtId="164" fontId="12" fillId="0" borderId="0" xfId="4" applyNumberFormat="1" applyFont="1" applyFill="1" applyBorder="1"/>
    <xf numFmtId="165" fontId="13" fillId="0" borderId="0" xfId="4" applyNumberFormat="1" applyFont="1" applyFill="1" applyBorder="1"/>
    <xf numFmtId="0" fontId="12" fillId="2" borderId="0" xfId="4" applyFont="1" applyFill="1"/>
    <xf numFmtId="166" fontId="12" fillId="2" borderId="0" xfId="4" applyNumberFormat="1" applyFont="1" applyFill="1" applyBorder="1"/>
    <xf numFmtId="164" fontId="12" fillId="0" borderId="3" xfId="4" applyNumberFormat="1" applyFont="1" applyFill="1" applyBorder="1"/>
    <xf numFmtId="165" fontId="13" fillId="0" borderId="4" xfId="4" applyNumberFormat="1" applyFont="1" applyFill="1" applyBorder="1"/>
    <xf numFmtId="165" fontId="14" fillId="0" borderId="0" xfId="4" applyNumberFormat="1" applyFont="1" applyFill="1" applyBorder="1"/>
    <xf numFmtId="166" fontId="12" fillId="0" borderId="2" xfId="4" applyNumberFormat="1" applyFont="1" applyFill="1" applyBorder="1"/>
    <xf numFmtId="166" fontId="12" fillId="0" borderId="0" xfId="4" applyNumberFormat="1" applyFont="1" applyFill="1" applyBorder="1"/>
    <xf numFmtId="166" fontId="11" fillId="2" borderId="0" xfId="4" applyNumberFormat="1" applyFont="1" applyFill="1" applyBorder="1"/>
    <xf numFmtId="166" fontId="11" fillId="2" borderId="5" xfId="4" applyNumberFormat="1" applyFont="1" applyFill="1" applyBorder="1"/>
    <xf numFmtId="166" fontId="11" fillId="2" borderId="6" xfId="4" applyNumberFormat="1" applyFont="1" applyFill="1" applyBorder="1"/>
    <xf numFmtId="164" fontId="11" fillId="2" borderId="0" xfId="4" applyNumberFormat="1" applyFont="1" applyFill="1" applyBorder="1"/>
    <xf numFmtId="0" fontId="15" fillId="2" borderId="0" xfId="4" applyFont="1" applyFill="1"/>
    <xf numFmtId="0" fontId="17" fillId="2" borderId="0" xfId="4" applyFont="1" applyFill="1"/>
    <xf numFmtId="164" fontId="11" fillId="0" borderId="0" xfId="4" applyNumberFormat="1" applyFont="1" applyFill="1" applyBorder="1"/>
    <xf numFmtId="0" fontId="11" fillId="0" borderId="0" xfId="4" applyFont="1" applyFill="1"/>
    <xf numFmtId="164" fontId="12" fillId="2" borderId="0" xfId="4" applyNumberFormat="1" applyFont="1" applyFill="1" applyBorder="1"/>
    <xf numFmtId="166" fontId="11" fillId="0" borderId="6" xfId="4" applyNumberFormat="1" applyFont="1" applyFill="1" applyBorder="1"/>
    <xf numFmtId="166" fontId="11" fillId="0" borderId="0" xfId="4" applyNumberFormat="1" applyFont="1" applyFill="1" applyBorder="1"/>
    <xf numFmtId="166" fontId="11" fillId="0" borderId="5" xfId="4" applyNumberFormat="1" applyFont="1" applyFill="1" applyBorder="1"/>
    <xf numFmtId="0" fontId="12" fillId="2" borderId="0" xfId="4" applyFont="1" applyFill="1" applyAlignment="1">
      <alignment horizontal="left"/>
    </xf>
    <xf numFmtId="166" fontId="12" fillId="2" borderId="5" xfId="4" applyNumberFormat="1" applyFont="1" applyFill="1" applyBorder="1"/>
    <xf numFmtId="164" fontId="12" fillId="2" borderId="7" xfId="4" applyNumberFormat="1" applyFont="1" applyFill="1" applyBorder="1"/>
    <xf numFmtId="166" fontId="12" fillId="2" borderId="6" xfId="4" applyNumberFormat="1" applyFont="1" applyFill="1" applyBorder="1"/>
    <xf numFmtId="0" fontId="11" fillId="2" borderId="0" xfId="4" quotePrefix="1" applyFont="1" applyFill="1" applyAlignment="1">
      <alignment horizontal="left"/>
    </xf>
    <xf numFmtId="0" fontId="11" fillId="2" borderId="0" xfId="4" applyFont="1" applyFill="1" applyAlignment="1">
      <alignment horizontal="left"/>
    </xf>
    <xf numFmtId="0" fontId="18" fillId="2" borderId="0" xfId="4" applyFont="1" applyFill="1"/>
    <xf numFmtId="0" fontId="19" fillId="2" borderId="0" xfId="4" applyFont="1" applyFill="1"/>
    <xf numFmtId="5" fontId="11" fillId="2" borderId="0" xfId="4" applyNumberFormat="1" applyFont="1" applyFill="1" applyBorder="1"/>
    <xf numFmtId="5" fontId="11" fillId="2" borderId="5" xfId="4" applyNumberFormat="1" applyFont="1" applyFill="1" applyBorder="1"/>
    <xf numFmtId="5" fontId="11" fillId="2" borderId="6" xfId="4" applyNumberFormat="1" applyFont="1" applyFill="1" applyBorder="1"/>
    <xf numFmtId="0" fontId="20" fillId="2" borderId="0" xfId="4" applyFont="1" applyFill="1"/>
    <xf numFmtId="165" fontId="12" fillId="2" borderId="0" xfId="4" applyNumberFormat="1" applyFont="1" applyFill="1" applyBorder="1"/>
    <xf numFmtId="165" fontId="21" fillId="2" borderId="5" xfId="4" applyNumberFormat="1" applyFont="1" applyFill="1" applyBorder="1"/>
    <xf numFmtId="165" fontId="12" fillId="2" borderId="6" xfId="4" applyNumberFormat="1" applyFont="1" applyFill="1" applyBorder="1"/>
    <xf numFmtId="5" fontId="12" fillId="2" borderId="0" xfId="4" applyNumberFormat="1" applyFont="1" applyFill="1" applyBorder="1"/>
    <xf numFmtId="5" fontId="12" fillId="2" borderId="5" xfId="4" applyNumberFormat="1" applyFont="1" applyFill="1" applyBorder="1"/>
    <xf numFmtId="5" fontId="12" fillId="2" borderId="6" xfId="4" applyNumberFormat="1" applyFont="1" applyFill="1" applyBorder="1"/>
    <xf numFmtId="0" fontId="22" fillId="2" borderId="0" xfId="4" applyFont="1" applyFill="1"/>
    <xf numFmtId="0" fontId="23" fillId="2" borderId="0" xfId="4" applyFont="1" applyFill="1" applyBorder="1" applyAlignment="1">
      <alignment horizontal="center"/>
    </xf>
    <xf numFmtId="0" fontId="23" fillId="2" borderId="5" xfId="4" applyFont="1" applyFill="1" applyBorder="1" applyAlignment="1">
      <alignment horizontal="center"/>
    </xf>
    <xf numFmtId="165" fontId="23" fillId="2" borderId="0" xfId="5" applyNumberFormat="1" applyFont="1" applyFill="1" applyBorder="1" applyAlignment="1">
      <alignment horizontal="right"/>
    </xf>
    <xf numFmtId="0" fontId="23" fillId="2" borderId="6" xfId="4" applyFont="1" applyFill="1" applyBorder="1" applyAlignment="1">
      <alignment horizontal="center"/>
    </xf>
    <xf numFmtId="0" fontId="24" fillId="2" borderId="0" xfId="4" applyFont="1" applyFill="1"/>
    <xf numFmtId="0" fontId="24" fillId="2" borderId="0" xfId="4" applyFont="1" applyFill="1" applyBorder="1"/>
    <xf numFmtId="0" fontId="24" fillId="2" borderId="9" xfId="4" applyFont="1" applyFill="1" applyBorder="1"/>
    <xf numFmtId="0" fontId="24" fillId="2" borderId="1" xfId="4" applyFont="1" applyFill="1" applyBorder="1"/>
    <xf numFmtId="0" fontId="24" fillId="2" borderId="10" xfId="4" applyFont="1" applyFill="1" applyBorder="1"/>
    <xf numFmtId="0" fontId="26" fillId="0" borderId="0" xfId="4" applyFont="1" applyAlignment="1">
      <alignment horizontal="center"/>
    </xf>
    <xf numFmtId="6" fontId="25" fillId="0" borderId="0" xfId="2" applyNumberFormat="1" applyFont="1" applyAlignment="1">
      <alignment horizontal="left"/>
    </xf>
    <xf numFmtId="0" fontId="27" fillId="0" borderId="0" xfId="6" applyFont="1"/>
    <xf numFmtId="0" fontId="28" fillId="0" borderId="0" xfId="0" applyFont="1" applyFill="1"/>
    <xf numFmtId="0" fontId="4" fillId="0" borderId="0" xfId="0" applyFont="1" applyAlignment="1">
      <alignment horizontal="center"/>
    </xf>
    <xf numFmtId="0" fontId="3" fillId="0" borderId="0" xfId="6"/>
    <xf numFmtId="6" fontId="4" fillId="0" borderId="0" xfId="2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25" fillId="0" borderId="0" xfId="2" applyNumberFormat="1" applyFont="1" applyAlignment="1">
      <alignment horizontal="left"/>
    </xf>
    <xf numFmtId="49" fontId="0" fillId="0" borderId="0" xfId="2" applyNumberFormat="1" applyFont="1"/>
    <xf numFmtId="49" fontId="4" fillId="3" borderId="11" xfId="0" applyNumberFormat="1" applyFont="1" applyFill="1" applyBorder="1" applyAlignment="1">
      <alignment horizontal="center"/>
    </xf>
    <xf numFmtId="49" fontId="4" fillId="0" borderId="12" xfId="0" applyNumberFormat="1" applyFont="1" applyFill="1" applyBorder="1" applyAlignment="1">
      <alignment horizontal="center" wrapText="1"/>
    </xf>
    <xf numFmtId="49" fontId="0" fillId="0" borderId="0" xfId="0" applyNumberFormat="1"/>
    <xf numFmtId="49" fontId="0" fillId="4" borderId="0" xfId="0" applyNumberFormat="1" applyFill="1"/>
    <xf numFmtId="49" fontId="3" fillId="0" borderId="0" xfId="6" applyNumberFormat="1"/>
    <xf numFmtId="0" fontId="30" fillId="0" borderId="0" xfId="0" applyFont="1"/>
    <xf numFmtId="167" fontId="25" fillId="0" borderId="0" xfId="1" applyNumberFormat="1" applyFont="1"/>
    <xf numFmtId="167" fontId="0" fillId="0" borderId="0" xfId="1" applyNumberFormat="1" applyFont="1"/>
    <xf numFmtId="167" fontId="4" fillId="5" borderId="16" xfId="1" applyNumberFormat="1" applyFont="1" applyFill="1" applyBorder="1" applyAlignment="1">
      <alignment horizontal="center" wrapText="1"/>
    </xf>
    <xf numFmtId="0" fontId="31" fillId="0" borderId="0" xfId="0" applyFont="1"/>
    <xf numFmtId="167" fontId="4" fillId="3" borderId="17" xfId="1" applyNumberFormat="1" applyFont="1" applyFill="1" applyBorder="1" applyAlignment="1">
      <alignment horizontal="center"/>
    </xf>
    <xf numFmtId="167" fontId="4" fillId="5" borderId="13" xfId="1" applyNumberFormat="1" applyFont="1" applyFill="1" applyBorder="1" applyAlignment="1">
      <alignment horizontal="center" wrapText="1"/>
    </xf>
    <xf numFmtId="0" fontId="4" fillId="0" borderId="0" xfId="0" applyFont="1"/>
    <xf numFmtId="10" fontId="4" fillId="0" borderId="0" xfId="5" applyNumberFormat="1" applyFont="1"/>
    <xf numFmtId="9" fontId="32" fillId="6" borderId="13" xfId="5" applyFont="1" applyFill="1" applyBorder="1"/>
    <xf numFmtId="44" fontId="4" fillId="7" borderId="13" xfId="2" applyNumberFormat="1" applyFont="1" applyFill="1" applyBorder="1"/>
    <xf numFmtId="0" fontId="33" fillId="0" borderId="0" xfId="0" applyFont="1"/>
    <xf numFmtId="44" fontId="4" fillId="0" borderId="0" xfId="2" quotePrefix="1" applyFont="1"/>
    <xf numFmtId="0" fontId="34" fillId="0" borderId="0" xfId="0" applyFont="1"/>
    <xf numFmtId="9" fontId="4" fillId="6" borderId="13" xfId="5" applyFont="1" applyFill="1" applyBorder="1"/>
    <xf numFmtId="9" fontId="4" fillId="7" borderId="13" xfId="5" applyFont="1" applyFill="1" applyBorder="1"/>
    <xf numFmtId="167" fontId="4" fillId="6" borderId="13" xfId="1" applyNumberFormat="1" applyFont="1" applyFill="1" applyBorder="1"/>
    <xf numFmtId="167" fontId="4" fillId="7" borderId="13" xfId="5" applyNumberFormat="1" applyFont="1" applyFill="1" applyBorder="1"/>
    <xf numFmtId="167" fontId="4" fillId="0" borderId="0" xfId="1" applyNumberFormat="1" applyFont="1"/>
    <xf numFmtId="167" fontId="4" fillId="8" borderId="13" xfId="1" applyNumberFormat="1" applyFont="1" applyFill="1" applyBorder="1"/>
    <xf numFmtId="167" fontId="4" fillId="7" borderId="13" xfId="1" applyNumberFormat="1" applyFont="1" applyFill="1" applyBorder="1"/>
    <xf numFmtId="168" fontId="4" fillId="0" borderId="0" xfId="6" applyNumberFormat="1" applyFont="1"/>
    <xf numFmtId="0" fontId="31" fillId="0" borderId="0" xfId="0" applyFont="1" applyAlignment="1">
      <alignment horizontal="left" indent="4"/>
    </xf>
    <xf numFmtId="167" fontId="4" fillId="6" borderId="13" xfId="1" quotePrefix="1" applyNumberFormat="1" applyFont="1" applyFill="1" applyBorder="1"/>
    <xf numFmtId="0" fontId="4" fillId="0" borderId="0" xfId="6" applyFont="1" applyFill="1"/>
    <xf numFmtId="168" fontId="4" fillId="6" borderId="18" xfId="2" applyNumberFormat="1" applyFont="1" applyFill="1" applyBorder="1"/>
    <xf numFmtId="168" fontId="4" fillId="7" borderId="18" xfId="5" applyNumberFormat="1" applyFont="1" applyFill="1" applyBorder="1"/>
    <xf numFmtId="168" fontId="4" fillId="0" borderId="0" xfId="0" applyNumberFormat="1" applyFont="1"/>
    <xf numFmtId="0" fontId="0" fillId="0" borderId="0" xfId="0" applyFill="1"/>
    <xf numFmtId="10" fontId="0" fillId="0" borderId="0" xfId="5" applyNumberFormat="1" applyFont="1" applyFill="1"/>
    <xf numFmtId="44" fontId="0" fillId="0" borderId="21" xfId="2" applyNumberFormat="1" applyFont="1" applyFill="1" applyBorder="1"/>
    <xf numFmtId="44" fontId="0" fillId="0" borderId="16" xfId="2" applyNumberFormat="1" applyFont="1" applyFill="1" applyBorder="1"/>
    <xf numFmtId="168" fontId="4" fillId="0" borderId="22" xfId="2" applyNumberFormat="1" applyFont="1" applyBorder="1"/>
    <xf numFmtId="168" fontId="4" fillId="9" borderId="22" xfId="2" applyNumberFormat="1" applyFont="1" applyFill="1" applyBorder="1"/>
    <xf numFmtId="168" fontId="3" fillId="0" borderId="0" xfId="6" applyNumberFormat="1"/>
    <xf numFmtId="0" fontId="30" fillId="0" borderId="0" xfId="0" applyFont="1" applyAlignment="1">
      <alignment horizontal="left" indent="4"/>
    </xf>
    <xf numFmtId="168" fontId="4" fillId="10" borderId="22" xfId="2" applyNumberFormat="1" applyFont="1" applyFill="1" applyBorder="1"/>
    <xf numFmtId="0" fontId="35" fillId="0" borderId="0" xfId="0" applyFont="1"/>
    <xf numFmtId="10" fontId="35" fillId="0" borderId="0" xfId="5" applyNumberFormat="1" applyFont="1"/>
    <xf numFmtId="10" fontId="35" fillId="11" borderId="0" xfId="5" applyNumberFormat="1" applyFont="1" applyFill="1"/>
    <xf numFmtId="168" fontId="35" fillId="9" borderId="22" xfId="2" applyNumberFormat="1" applyFont="1" applyFill="1" applyBorder="1"/>
    <xf numFmtId="168" fontId="35" fillId="0" borderId="22" xfId="2" applyNumberFormat="1" applyFont="1" applyBorder="1"/>
    <xf numFmtId="10" fontId="0" fillId="0" borderId="0" xfId="5" applyNumberFormat="1" applyFont="1"/>
    <xf numFmtId="44" fontId="3" fillId="9" borderId="22" xfId="2" applyNumberFormat="1" applyFont="1" applyFill="1" applyBorder="1"/>
    <xf numFmtId="44" fontId="0" fillId="0" borderId="22" xfId="2" applyNumberFormat="1" applyFont="1" applyBorder="1"/>
    <xf numFmtId="0" fontId="0" fillId="0" borderId="0" xfId="6" applyFont="1"/>
    <xf numFmtId="168" fontId="0" fillId="0" borderId="0" xfId="2" applyNumberFormat="1" applyFont="1"/>
    <xf numFmtId="168" fontId="4" fillId="12" borderId="22" xfId="2" applyNumberFormat="1" applyFont="1" applyFill="1" applyBorder="1"/>
    <xf numFmtId="0" fontId="3" fillId="0" borderId="0" xfId="6" applyBorder="1"/>
    <xf numFmtId="44" fontId="35" fillId="9" borderId="18" xfId="2" applyNumberFormat="1" applyFont="1" applyFill="1" applyBorder="1"/>
    <xf numFmtId="44" fontId="35" fillId="0" borderId="13" xfId="2" applyNumberFormat="1" applyFont="1" applyBorder="1"/>
    <xf numFmtId="0" fontId="3" fillId="0" borderId="0" xfId="6" applyFont="1" applyFill="1"/>
    <xf numFmtId="6" fontId="0" fillId="0" borderId="16" xfId="2" applyNumberFormat="1" applyFont="1" applyFill="1" applyBorder="1"/>
    <xf numFmtId="6" fontId="0" fillId="0" borderId="13" xfId="2" applyNumberFormat="1" applyFont="1" applyBorder="1"/>
    <xf numFmtId="10" fontId="35" fillId="0" borderId="0" xfId="0" applyNumberFormat="1" applyFont="1"/>
    <xf numFmtId="9" fontId="35" fillId="0" borderId="18" xfId="5" applyFont="1" applyFill="1" applyBorder="1"/>
    <xf numFmtId="10" fontId="0" fillId="0" borderId="0" xfId="0" applyNumberFormat="1"/>
    <xf numFmtId="0" fontId="0" fillId="0" borderId="0" xfId="0" applyBorder="1"/>
    <xf numFmtId="0" fontId="0" fillId="0" borderId="0" xfId="0" applyFill="1" applyBorder="1"/>
    <xf numFmtId="0" fontId="0" fillId="0" borderId="0" xfId="0" applyFont="1"/>
    <xf numFmtId="10" fontId="3" fillId="0" borderId="0" xfId="5" applyNumberFormat="1" applyFont="1"/>
    <xf numFmtId="168" fontId="0" fillId="0" borderId="0" xfId="0" applyNumberFormat="1" applyFont="1"/>
    <xf numFmtId="0" fontId="0" fillId="11" borderId="0" xfId="0" applyFill="1"/>
    <xf numFmtId="49" fontId="4" fillId="0" borderId="18" xfId="0" applyNumberFormat="1" applyFont="1" applyFill="1" applyBorder="1" applyAlignment="1">
      <alignment horizontal="center" wrapText="1"/>
    </xf>
    <xf numFmtId="0" fontId="29" fillId="0" borderId="26" xfId="0" applyFont="1" applyFill="1" applyBorder="1"/>
    <xf numFmtId="0" fontId="29" fillId="0" borderId="27" xfId="0" applyFont="1" applyFill="1" applyBorder="1"/>
    <xf numFmtId="44" fontId="4" fillId="0" borderId="0" xfId="2" applyFont="1"/>
    <xf numFmtId="167" fontId="4" fillId="0" borderId="16" xfId="1" applyNumberFormat="1" applyFont="1" applyFill="1" applyBorder="1" applyAlignment="1">
      <alignment horizontal="center" wrapText="1"/>
    </xf>
    <xf numFmtId="0" fontId="0" fillId="0" borderId="31" xfId="0" applyBorder="1" applyAlignment="1">
      <alignment horizontal="center"/>
    </xf>
    <xf numFmtId="8" fontId="4" fillId="6" borderId="13" xfId="2" applyNumberFormat="1" applyFont="1" applyFill="1" applyBorder="1"/>
    <xf numFmtId="8" fontId="4" fillId="8" borderId="23" xfId="2" applyNumberFormat="1" applyFont="1" applyFill="1" applyBorder="1"/>
    <xf numFmtId="9" fontId="5" fillId="2" borderId="0" xfId="3" applyFont="1" applyFill="1" applyBorder="1" applyAlignment="1">
      <alignment horizontal="center"/>
    </xf>
    <xf numFmtId="9" fontId="10" fillId="0" borderId="0" xfId="3" applyFont="1" applyAlignment="1"/>
    <xf numFmtId="9" fontId="10" fillId="0" borderId="0" xfId="3" applyFont="1"/>
    <xf numFmtId="9" fontId="11" fillId="0" borderId="3" xfId="3" applyFont="1" applyFill="1" applyBorder="1"/>
    <xf numFmtId="9" fontId="11" fillId="2" borderId="0" xfId="3" applyFont="1" applyFill="1" applyBorder="1"/>
    <xf numFmtId="9" fontId="16" fillId="2" borderId="0" xfId="3" applyFont="1" applyFill="1" applyBorder="1"/>
    <xf numFmtId="9" fontId="21" fillId="2" borderId="0" xfId="3" applyFont="1" applyFill="1" applyBorder="1"/>
    <xf numFmtId="9" fontId="12" fillId="2" borderId="0" xfId="3" applyFont="1" applyFill="1" applyBorder="1"/>
    <xf numFmtId="9" fontId="23" fillId="2" borderId="0" xfId="3" applyFont="1" applyFill="1" applyBorder="1"/>
    <xf numFmtId="9" fontId="24" fillId="2" borderId="1" xfId="3" applyFont="1" applyFill="1" applyBorder="1"/>
    <xf numFmtId="9" fontId="4" fillId="0" borderId="0" xfId="3" applyFont="1"/>
    <xf numFmtId="9" fontId="3" fillId="0" borderId="0" xfId="3" applyFont="1"/>
    <xf numFmtId="10" fontId="16" fillId="2" borderId="0" xfId="3" applyNumberFormat="1" applyFont="1" applyFill="1" applyBorder="1"/>
    <xf numFmtId="10" fontId="11" fillId="2" borderId="0" xfId="3" applyNumberFormat="1" applyFont="1" applyFill="1" applyBorder="1"/>
    <xf numFmtId="10" fontId="16" fillId="0" borderId="0" xfId="3" applyNumberFormat="1" applyFont="1" applyFill="1" applyBorder="1"/>
    <xf numFmtId="0" fontId="4" fillId="0" borderId="18" xfId="1" applyNumberFormat="1" applyFont="1" applyFill="1" applyBorder="1" applyAlignment="1">
      <alignment horizontal="center" wrapText="1"/>
    </xf>
    <xf numFmtId="0" fontId="2" fillId="0" borderId="0" xfId="0" applyFont="1"/>
    <xf numFmtId="0" fontId="4" fillId="0" borderId="0" xfId="6" applyFont="1"/>
    <xf numFmtId="9" fontId="2" fillId="0" borderId="0" xfId="5" applyFont="1"/>
    <xf numFmtId="167" fontId="2" fillId="0" borderId="12" xfId="0" applyNumberFormat="1" applyFont="1" applyBorder="1"/>
    <xf numFmtId="0" fontId="2" fillId="0" borderId="0" xfId="6" applyFont="1"/>
    <xf numFmtId="168" fontId="2" fillId="0" borderId="0" xfId="0" applyNumberFormat="1" applyFont="1"/>
    <xf numFmtId="167" fontId="2" fillId="0" borderId="0" xfId="0" applyNumberFormat="1" applyFont="1" applyBorder="1"/>
    <xf numFmtId="8" fontId="0" fillId="0" borderId="33" xfId="0" applyNumberFormat="1" applyBorder="1" applyAlignment="1">
      <alignment horizontal="center"/>
    </xf>
    <xf numFmtId="9" fontId="4" fillId="0" borderId="0" xfId="5" applyNumberFormat="1" applyFont="1"/>
    <xf numFmtId="8" fontId="4" fillId="0" borderId="0" xfId="0" applyNumberFormat="1" applyFont="1" applyFill="1" applyAlignment="1">
      <alignment horizontal="center"/>
    </xf>
    <xf numFmtId="8" fontId="0" fillId="0" borderId="36" xfId="0" applyNumberFormat="1" applyBorder="1" applyAlignment="1">
      <alignment horizontal="center"/>
    </xf>
    <xf numFmtId="8" fontId="0" fillId="0" borderId="32" xfId="0" applyNumberFormat="1" applyBorder="1" applyAlignment="1">
      <alignment horizontal="center"/>
    </xf>
    <xf numFmtId="167" fontId="4" fillId="3" borderId="14" xfId="1" applyNumberFormat="1" applyFont="1" applyFill="1" applyBorder="1" applyAlignment="1">
      <alignment horizontal="center"/>
    </xf>
    <xf numFmtId="165" fontId="16" fillId="2" borderId="0" xfId="3" applyNumberFormat="1" applyFont="1" applyFill="1" applyBorder="1"/>
    <xf numFmtId="167" fontId="0" fillId="0" borderId="34" xfId="0" applyNumberFormat="1" applyBorder="1" applyAlignment="1">
      <alignment horizontal="center"/>
    </xf>
    <xf numFmtId="167" fontId="4" fillId="3" borderId="20" xfId="1" applyNumberFormat="1" applyFont="1" applyFill="1" applyBorder="1" applyAlignment="1">
      <alignment horizontal="center"/>
    </xf>
    <xf numFmtId="49" fontId="4" fillId="0" borderId="25" xfId="0" applyNumberFormat="1" applyFont="1" applyFill="1" applyBorder="1" applyAlignment="1">
      <alignment horizontal="center" wrapText="1"/>
    </xf>
    <xf numFmtId="167" fontId="2" fillId="0" borderId="0" xfId="1" applyNumberFormat="1" applyFont="1"/>
    <xf numFmtId="0" fontId="36" fillId="0" borderId="0" xfId="0" applyFont="1"/>
    <xf numFmtId="44" fontId="0" fillId="0" borderId="13" xfId="2" applyNumberFormat="1" applyFont="1" applyFill="1" applyBorder="1"/>
    <xf numFmtId="0" fontId="0" fillId="0" borderId="35" xfId="0" applyFill="1" applyBorder="1"/>
    <xf numFmtId="167" fontId="4" fillId="14" borderId="15" xfId="1" applyNumberFormat="1" applyFont="1" applyFill="1" applyBorder="1" applyAlignment="1">
      <alignment horizontal="center"/>
    </xf>
    <xf numFmtId="167" fontId="4" fillId="14" borderId="17" xfId="1" applyNumberFormat="1" applyFont="1" applyFill="1" applyBorder="1" applyAlignment="1">
      <alignment horizontal="center"/>
    </xf>
    <xf numFmtId="167" fontId="4" fillId="14" borderId="20" xfId="1" applyNumberFormat="1" applyFont="1" applyFill="1" applyBorder="1" applyAlignment="1">
      <alignment horizontal="center"/>
    </xf>
    <xf numFmtId="0" fontId="3" fillId="0" borderId="0" xfId="10" applyFont="1"/>
    <xf numFmtId="3" fontId="4" fillId="16" borderId="38" xfId="9" applyNumberFormat="1" applyFont="1" applyFill="1" applyBorder="1" applyAlignment="1">
      <alignment horizontal="center" wrapText="1"/>
    </xf>
    <xf numFmtId="0" fontId="4" fillId="16" borderId="39" xfId="9" applyFont="1" applyFill="1" applyBorder="1" applyAlignment="1">
      <alignment horizontal="center" wrapText="1"/>
    </xf>
    <xf numFmtId="0" fontId="4" fillId="16" borderId="39" xfId="9" applyFont="1" applyFill="1" applyBorder="1" applyAlignment="1">
      <alignment wrapText="1"/>
    </xf>
    <xf numFmtId="166" fontId="4" fillId="16" borderId="39" xfId="9" applyNumberFormat="1" applyFont="1" applyFill="1" applyBorder="1" applyAlignment="1">
      <alignment horizontal="center" wrapText="1"/>
    </xf>
    <xf numFmtId="1" fontId="4" fillId="16" borderId="39" xfId="9" applyNumberFormat="1" applyFont="1" applyFill="1" applyBorder="1" applyAlignment="1">
      <alignment horizontal="center" wrapText="1"/>
    </xf>
    <xf numFmtId="3" fontId="4" fillId="16" borderId="39" xfId="9" applyNumberFormat="1" applyFont="1" applyFill="1" applyBorder="1" applyAlignment="1">
      <alignment horizontal="center" wrapText="1"/>
    </xf>
    <xf numFmtId="164" fontId="4" fillId="16" borderId="39" xfId="9" applyNumberFormat="1" applyFont="1" applyFill="1" applyBorder="1" applyAlignment="1">
      <alignment horizontal="center" wrapText="1"/>
    </xf>
    <xf numFmtId="164" fontId="4" fillId="16" borderId="30" xfId="9" applyNumberFormat="1" applyFont="1" applyFill="1" applyBorder="1" applyAlignment="1">
      <alignment horizontal="center" wrapText="1"/>
    </xf>
    <xf numFmtId="0" fontId="3" fillId="0" borderId="39" xfId="10" applyFont="1" applyFill="1" applyBorder="1" applyAlignment="1">
      <alignment horizontal="center"/>
    </xf>
    <xf numFmtId="0" fontId="3" fillId="0" borderId="39" xfId="9" applyFont="1" applyBorder="1" applyAlignment="1">
      <alignment horizontal="center"/>
    </xf>
    <xf numFmtId="0" fontId="3" fillId="0" borderId="36" xfId="9" applyFont="1" applyBorder="1" applyAlignment="1">
      <alignment horizontal="center"/>
    </xf>
    <xf numFmtId="2" fontId="3" fillId="0" borderId="39" xfId="9" applyNumberFormat="1" applyFont="1" applyFill="1" applyBorder="1" applyAlignment="1">
      <alignment horizontal="center"/>
    </xf>
    <xf numFmtId="0" fontId="3" fillId="0" borderId="39" xfId="9" applyFont="1" applyFill="1" applyBorder="1"/>
    <xf numFmtId="0" fontId="3" fillId="0" borderId="36" xfId="9" applyFont="1" applyFill="1" applyBorder="1" applyAlignment="1">
      <alignment horizontal="left"/>
    </xf>
    <xf numFmtId="166" fontId="3" fillId="0" borderId="39" xfId="9" applyNumberFormat="1" applyFont="1" applyFill="1" applyBorder="1" applyAlignment="1">
      <alignment horizontal="center"/>
    </xf>
    <xf numFmtId="9" fontId="3" fillId="0" borderId="39" xfId="10" applyNumberFormat="1" applyFont="1" applyBorder="1" applyAlignment="1">
      <alignment horizontal="center"/>
    </xf>
    <xf numFmtId="2" fontId="3" fillId="0" borderId="39" xfId="10" applyNumberFormat="1" applyFont="1" applyBorder="1" applyAlignment="1">
      <alignment horizontal="center"/>
    </xf>
    <xf numFmtId="166" fontId="3" fillId="0" borderId="39" xfId="10" applyNumberFormat="1" applyFont="1" applyBorder="1" applyAlignment="1">
      <alignment horizontal="center"/>
    </xf>
    <xf numFmtId="1" fontId="3" fillId="0" borderId="39" xfId="10" applyNumberFormat="1" applyFont="1" applyBorder="1" applyAlignment="1">
      <alignment horizontal="center"/>
    </xf>
    <xf numFmtId="3" fontId="3" fillId="0" borderId="39" xfId="10" applyNumberFormat="1" applyFont="1" applyBorder="1" applyAlignment="1">
      <alignment horizontal="center"/>
    </xf>
    <xf numFmtId="3" fontId="37" fillId="0" borderId="39" xfId="10" applyNumberFormat="1" applyFont="1" applyBorder="1" applyAlignment="1">
      <alignment horizontal="center"/>
    </xf>
    <xf numFmtId="164" fontId="3" fillId="0" borderId="39" xfId="10" applyNumberFormat="1" applyFont="1" applyBorder="1" applyAlignment="1">
      <alignment horizontal="center"/>
    </xf>
    <xf numFmtId="0" fontId="3" fillId="0" borderId="39" xfId="10" applyFont="1" applyBorder="1" applyAlignment="1">
      <alignment horizontal="center"/>
    </xf>
    <xf numFmtId="164" fontId="3" fillId="0" borderId="40" xfId="10" applyNumberFormat="1" applyFont="1" applyBorder="1" applyAlignment="1">
      <alignment horizontal="center"/>
    </xf>
    <xf numFmtId="166" fontId="3" fillId="13" borderId="2" xfId="10" applyNumberFormat="1" applyFont="1" applyFill="1" applyBorder="1"/>
    <xf numFmtId="0" fontId="3" fillId="13" borderId="4" xfId="10" applyFont="1" applyFill="1" applyBorder="1"/>
    <xf numFmtId="0" fontId="3" fillId="0" borderId="36" xfId="10" applyFont="1" applyBorder="1" applyAlignment="1">
      <alignment horizontal="center"/>
    </xf>
    <xf numFmtId="166" fontId="3" fillId="13" borderId="5" xfId="10" applyNumberFormat="1" applyFont="1" applyFill="1" applyBorder="1"/>
    <xf numFmtId="0" fontId="3" fillId="13" borderId="6" xfId="10" applyFont="1" applyFill="1" applyBorder="1"/>
    <xf numFmtId="166" fontId="38" fillId="13" borderId="5" xfId="10" applyNumberFormat="1" applyFont="1" applyFill="1" applyBorder="1"/>
    <xf numFmtId="166" fontId="4" fillId="13" borderId="9" xfId="10" applyNumberFormat="1" applyFont="1" applyFill="1" applyBorder="1"/>
    <xf numFmtId="0" fontId="3" fillId="13" borderId="10" xfId="10" applyFont="1" applyFill="1" applyBorder="1"/>
    <xf numFmtId="0" fontId="3" fillId="0" borderId="39" xfId="9" applyFont="1" applyFill="1" applyBorder="1" applyAlignment="1">
      <alignment horizontal="center"/>
    </xf>
    <xf numFmtId="9" fontId="3" fillId="0" borderId="39" xfId="10" applyNumberFormat="1" applyFont="1" applyFill="1" applyBorder="1" applyAlignment="1">
      <alignment horizontal="center"/>
    </xf>
    <xf numFmtId="0" fontId="3" fillId="0" borderId="36" xfId="9" applyFont="1" applyFill="1" applyBorder="1" applyAlignment="1">
      <alignment horizontal="center"/>
    </xf>
    <xf numFmtId="2" fontId="3" fillId="0" borderId="39" xfId="10" applyNumberFormat="1" applyFont="1" applyFill="1" applyBorder="1" applyAlignment="1">
      <alignment horizontal="center"/>
    </xf>
    <xf numFmtId="166" fontId="3" fillId="0" borderId="39" xfId="10" applyNumberFormat="1" applyFont="1" applyFill="1" applyBorder="1" applyAlignment="1">
      <alignment horizontal="center"/>
    </xf>
    <xf numFmtId="1" fontId="3" fillId="0" borderId="39" xfId="10" applyNumberFormat="1" applyFont="1" applyFill="1" applyBorder="1" applyAlignment="1">
      <alignment horizontal="center"/>
    </xf>
    <xf numFmtId="3" fontId="3" fillId="0" borderId="39" xfId="10" applyNumberFormat="1" applyFont="1" applyFill="1" applyBorder="1" applyAlignment="1">
      <alignment horizontal="center"/>
    </xf>
    <xf numFmtId="3" fontId="37" fillId="0" borderId="39" xfId="10" applyNumberFormat="1" applyFont="1" applyFill="1" applyBorder="1" applyAlignment="1">
      <alignment horizontal="center"/>
    </xf>
    <xf numFmtId="164" fontId="3" fillId="0" borderId="39" xfId="10" applyNumberFormat="1" applyFont="1" applyFill="1" applyBorder="1" applyAlignment="1">
      <alignment horizontal="center"/>
    </xf>
    <xf numFmtId="164" fontId="3" fillId="0" borderId="40" xfId="10" applyNumberFormat="1" applyFont="1" applyFill="1" applyBorder="1" applyAlignment="1">
      <alignment horizontal="center"/>
    </xf>
    <xf numFmtId="0" fontId="4" fillId="17" borderId="38" xfId="9" applyFont="1" applyFill="1" applyBorder="1" applyAlignment="1">
      <alignment horizontal="center"/>
    </xf>
    <xf numFmtId="0" fontId="4" fillId="17" borderId="39" xfId="9" applyFont="1" applyFill="1" applyBorder="1" applyAlignment="1">
      <alignment horizontal="center"/>
    </xf>
    <xf numFmtId="2" fontId="4" fillId="17" borderId="39" xfId="9" applyNumberFormat="1" applyFont="1" applyFill="1" applyBorder="1" applyAlignment="1">
      <alignment horizontal="center"/>
    </xf>
    <xf numFmtId="0" fontId="4" fillId="17" borderId="39" xfId="9" applyFont="1" applyFill="1" applyBorder="1"/>
    <xf numFmtId="166" fontId="4" fillId="17" borderId="39" xfId="9" applyNumberFormat="1" applyFont="1" applyFill="1" applyBorder="1" applyAlignment="1">
      <alignment horizontal="center"/>
    </xf>
    <xf numFmtId="9" fontId="4" fillId="17" borderId="39" xfId="9" applyNumberFormat="1" applyFont="1" applyFill="1" applyBorder="1" applyAlignment="1">
      <alignment horizontal="center"/>
    </xf>
    <xf numFmtId="0" fontId="4" fillId="17" borderId="39" xfId="10" applyFont="1" applyFill="1" applyBorder="1" applyAlignment="1">
      <alignment horizontal="center"/>
    </xf>
    <xf numFmtId="2" fontId="4" fillId="17" borderId="39" xfId="10" applyNumberFormat="1" applyFont="1" applyFill="1" applyBorder="1" applyAlignment="1">
      <alignment horizontal="center"/>
    </xf>
    <xf numFmtId="166" fontId="4" fillId="17" borderId="39" xfId="10" applyNumberFormat="1" applyFont="1" applyFill="1" applyBorder="1" applyAlignment="1">
      <alignment horizontal="center"/>
    </xf>
    <xf numFmtId="3" fontId="4" fillId="17" borderId="39" xfId="10" applyNumberFormat="1" applyFont="1" applyFill="1" applyBorder="1" applyAlignment="1">
      <alignment horizontal="center"/>
    </xf>
    <xf numFmtId="164" fontId="4" fillId="17" borderId="39" xfId="10" applyNumberFormat="1" applyFont="1" applyFill="1" applyBorder="1" applyAlignment="1">
      <alignment horizontal="center"/>
    </xf>
    <xf numFmtId="164" fontId="4" fillId="17" borderId="40" xfId="10" applyNumberFormat="1" applyFont="1" applyFill="1" applyBorder="1" applyAlignment="1">
      <alignment horizontal="center"/>
    </xf>
    <xf numFmtId="166" fontId="3" fillId="0" borderId="0" xfId="10" applyNumberFormat="1" applyFont="1"/>
    <xf numFmtId="164" fontId="3" fillId="0" borderId="0" xfId="10" applyNumberFormat="1" applyFont="1"/>
    <xf numFmtId="165" fontId="4" fillId="17" borderId="41" xfId="11" applyNumberFormat="1" applyFont="1" applyFill="1" applyBorder="1" applyAlignment="1">
      <alignment horizontal="center"/>
    </xf>
    <xf numFmtId="0" fontId="3" fillId="0" borderId="0" xfId="10" applyFont="1" applyAlignment="1">
      <alignment horizontal="center"/>
    </xf>
    <xf numFmtId="0" fontId="2" fillId="13" borderId="29" xfId="0" applyFont="1" applyFill="1" applyBorder="1" applyAlignment="1">
      <alignment horizontal="center" wrapText="1"/>
    </xf>
    <xf numFmtId="0" fontId="2" fillId="13" borderId="30" xfId="0" applyFont="1" applyFill="1" applyBorder="1" applyAlignment="1">
      <alignment horizontal="center" wrapText="1"/>
    </xf>
    <xf numFmtId="0" fontId="2" fillId="13" borderId="28" xfId="0" applyFont="1" applyFill="1" applyBorder="1" applyAlignment="1">
      <alignment horizontal="center" wrapText="1"/>
    </xf>
    <xf numFmtId="0" fontId="2" fillId="13" borderId="37" xfId="0" applyFont="1" applyFill="1" applyBorder="1" applyAlignment="1">
      <alignment horizontal="center" wrapText="1"/>
    </xf>
    <xf numFmtId="44" fontId="0" fillId="0" borderId="0" xfId="2" applyFont="1"/>
    <xf numFmtId="44" fontId="3" fillId="0" borderId="0" xfId="2" applyFont="1"/>
    <xf numFmtId="44" fontId="4" fillId="6" borderId="13" xfId="2" applyFont="1" applyFill="1" applyBorder="1"/>
    <xf numFmtId="44" fontId="4" fillId="7" borderId="13" xfId="2" applyFont="1" applyFill="1" applyBorder="1"/>
    <xf numFmtId="44" fontId="33" fillId="0" borderId="0" xfId="2" applyFont="1"/>
    <xf numFmtId="167" fontId="4" fillId="16" borderId="39" xfId="1" applyNumberFormat="1" applyFont="1" applyFill="1" applyBorder="1" applyAlignment="1">
      <alignment horizontal="center" wrapText="1"/>
    </xf>
    <xf numFmtId="167" fontId="3" fillId="0" borderId="39" xfId="1" applyNumberFormat="1" applyFont="1" applyFill="1" applyBorder="1" applyAlignment="1">
      <alignment horizontal="center"/>
    </xf>
    <xf numFmtId="167" fontId="4" fillId="17" borderId="39" xfId="1" applyNumberFormat="1" applyFont="1" applyFill="1" applyBorder="1" applyAlignment="1">
      <alignment horizontal="center"/>
    </xf>
    <xf numFmtId="167" fontId="3" fillId="0" borderId="0" xfId="1" applyNumberFormat="1" applyFont="1"/>
    <xf numFmtId="0" fontId="29" fillId="0" borderId="12" xfId="0" applyFont="1" applyFill="1" applyBorder="1"/>
    <xf numFmtId="8" fontId="39" fillId="0" borderId="36" xfId="0" applyNumberFormat="1" applyFont="1" applyBorder="1" applyAlignment="1">
      <alignment horizontal="center"/>
    </xf>
    <xf numFmtId="167" fontId="4" fillId="3" borderId="35" xfId="1" applyNumberFormat="1" applyFont="1" applyFill="1" applyBorder="1" applyAlignment="1">
      <alignment horizontal="center"/>
    </xf>
    <xf numFmtId="167" fontId="0" fillId="0" borderId="42" xfId="0" applyNumberFormat="1" applyBorder="1" applyAlignment="1">
      <alignment horizontal="center"/>
    </xf>
    <xf numFmtId="168" fontId="0" fillId="0" borderId="19" xfId="0" applyNumberFormat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horizontal="right"/>
    </xf>
    <xf numFmtId="17" fontId="2" fillId="13" borderId="0" xfId="0" quotePrefix="1" applyNumberFormat="1" applyFont="1" applyFill="1"/>
    <xf numFmtId="168" fontId="0" fillId="0" borderId="0" xfId="0" applyNumberFormat="1"/>
    <xf numFmtId="168" fontId="2" fillId="0" borderId="0" xfId="0" quotePrefix="1" applyNumberFormat="1" applyFont="1"/>
    <xf numFmtId="164" fontId="3" fillId="0" borderId="0" xfId="4" applyNumberFormat="1"/>
    <xf numFmtId="9" fontId="21" fillId="2" borderId="8" xfId="3" applyFont="1" applyFill="1" applyBorder="1"/>
    <xf numFmtId="0" fontId="3" fillId="0" borderId="0" xfId="4" applyAlignment="1">
      <alignment horizontal="center" wrapText="1"/>
    </xf>
    <xf numFmtId="14" fontId="40" fillId="0" borderId="0" xfId="4" applyNumberFormat="1" applyFont="1" applyAlignment="1">
      <alignment horizontal="left"/>
    </xf>
    <xf numFmtId="167" fontId="3" fillId="0" borderId="39" xfId="1" applyNumberFormat="1" applyFont="1" applyFill="1" applyBorder="1" applyAlignment="1">
      <alignment horizontal="left"/>
    </xf>
    <xf numFmtId="9" fontId="16" fillId="2" borderId="0" xfId="3" applyNumberFormat="1" applyFont="1" applyFill="1" applyBorder="1"/>
    <xf numFmtId="9" fontId="16" fillId="0" borderId="0" xfId="3" applyNumberFormat="1" applyFont="1" applyFill="1" applyBorder="1"/>
    <xf numFmtId="9" fontId="21" fillId="2" borderId="8" xfId="4" applyNumberFormat="1" applyFont="1" applyFill="1" applyBorder="1"/>
    <xf numFmtId="0" fontId="8" fillId="2" borderId="0" xfId="4" applyFont="1" applyFill="1" applyBorder="1" applyAlignment="1">
      <alignment horizontal="center" vertical="center"/>
    </xf>
    <xf numFmtId="0" fontId="25" fillId="15" borderId="20" xfId="9" applyFont="1" applyFill="1" applyBorder="1" applyAlignment="1">
      <alignment horizontal="center"/>
    </xf>
    <xf numFmtId="0" fontId="25" fillId="15" borderId="23" xfId="9" applyFont="1" applyFill="1" applyBorder="1" applyAlignment="1">
      <alignment horizontal="center"/>
    </xf>
    <xf numFmtId="0" fontId="25" fillId="15" borderId="24" xfId="9" applyFont="1" applyFill="1" applyBorder="1" applyAlignment="1">
      <alignment horizontal="center"/>
    </xf>
  </cellXfs>
  <cellStyles count="12">
    <cellStyle name="Comma" xfId="1" builtinId="3"/>
    <cellStyle name="Currency" xfId="2" builtinId="4"/>
    <cellStyle name="Normal" xfId="0" builtinId="0"/>
    <cellStyle name="Normal 2" xfId="8"/>
    <cellStyle name="Normal 3" xfId="6"/>
    <cellStyle name="Normal 4" xfId="7"/>
    <cellStyle name="Normal_!Spring 2013 KTW Buy Plan 2" xfId="10"/>
    <cellStyle name="Normal_April Add-Drop File 2" xfId="9"/>
    <cellStyle name="Normal_KITCHENWARE PROFORAMA TEMPLATE" xfId="4"/>
    <cellStyle name="Percent" xfId="3" builtinId="5"/>
    <cellStyle name="Percent 10" xfId="5"/>
    <cellStyle name="Percent 2 2 3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53</xdr:row>
      <xdr:rowOff>114300</xdr:rowOff>
    </xdr:to>
    <xdr:sp macro="" textlink="">
      <xdr:nvSpPr>
        <xdr:cNvPr id="2" name="AutoShape 1" descr="image001"/>
        <xdr:cNvSpPr>
          <a:spLocks noChangeAspect="1" noChangeArrowheads="1"/>
        </xdr:cNvSpPr>
      </xdr:nvSpPr>
      <xdr:spPr bwMode="auto">
        <a:xfrm>
          <a:off x="5619750" y="12106275"/>
          <a:ext cx="1219200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3" name="AutoShape 2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4" name="AutoShape 3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5" name="AutoShape 4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6" name="AutoShape 5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7" name="AutoShape 6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8" name="AutoShape 7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9" name="AutoShape 8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10" name="AutoShape 9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11" name="AutoShape 10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12" name="AutoShape 2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13" name="AutoShape 9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53</xdr:row>
      <xdr:rowOff>114300</xdr:rowOff>
    </xdr:to>
    <xdr:sp macro="" textlink="">
      <xdr:nvSpPr>
        <xdr:cNvPr id="14" name="AutoShape 1" descr="image001"/>
        <xdr:cNvSpPr>
          <a:spLocks noChangeAspect="1" noChangeArrowheads="1"/>
        </xdr:cNvSpPr>
      </xdr:nvSpPr>
      <xdr:spPr bwMode="auto">
        <a:xfrm>
          <a:off x="5619750" y="12106275"/>
          <a:ext cx="1219200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15" name="AutoShape 2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257175</xdr:colOff>
      <xdr:row>50</xdr:row>
      <xdr:rowOff>123825</xdr:rowOff>
    </xdr:to>
    <xdr:sp macro="" textlink="">
      <xdr:nvSpPr>
        <xdr:cNvPr id="16" name="AutoShape 2" descr="image002"/>
        <xdr:cNvSpPr>
          <a:spLocks noChangeAspect="1" noChangeArrowheads="1"/>
        </xdr:cNvSpPr>
      </xdr:nvSpPr>
      <xdr:spPr bwMode="auto">
        <a:xfrm>
          <a:off x="5619750" y="15259050"/>
          <a:ext cx="14097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66675</xdr:colOff>
      <xdr:row>50</xdr:row>
      <xdr:rowOff>123825</xdr:rowOff>
    </xdr:to>
    <xdr:sp macro="" textlink="">
      <xdr:nvSpPr>
        <xdr:cNvPr id="17" name="AutoShape 9" descr="image002"/>
        <xdr:cNvSpPr>
          <a:spLocks noChangeAspect="1" noChangeArrowheads="1"/>
        </xdr:cNvSpPr>
      </xdr:nvSpPr>
      <xdr:spPr bwMode="auto">
        <a:xfrm>
          <a:off x="5619750" y="15259050"/>
          <a:ext cx="12192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42</xdr:row>
      <xdr:rowOff>0</xdr:rowOff>
    </xdr:from>
    <xdr:to>
      <xdr:col>19</xdr:col>
      <xdr:colOff>257175</xdr:colOff>
      <xdr:row>50</xdr:row>
      <xdr:rowOff>123825</xdr:rowOff>
    </xdr:to>
    <xdr:sp macro="" textlink="">
      <xdr:nvSpPr>
        <xdr:cNvPr id="18" name="AutoShape 2" descr="image002"/>
        <xdr:cNvSpPr>
          <a:spLocks noChangeAspect="1" noChangeArrowheads="1"/>
        </xdr:cNvSpPr>
      </xdr:nvSpPr>
      <xdr:spPr bwMode="auto">
        <a:xfrm>
          <a:off x="5619750" y="15259050"/>
          <a:ext cx="140970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56</xdr:row>
      <xdr:rowOff>114300</xdr:rowOff>
    </xdr:to>
    <xdr:sp macro="" textlink="">
      <xdr:nvSpPr>
        <xdr:cNvPr id="2" name="AutoShape 1" descr="image001"/>
        <xdr:cNvSpPr>
          <a:spLocks noChangeAspect="1" noChangeArrowheads="1"/>
        </xdr:cNvSpPr>
      </xdr:nvSpPr>
      <xdr:spPr bwMode="auto">
        <a:xfrm>
          <a:off x="20749260" y="8206740"/>
          <a:ext cx="1369695" cy="2125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3" name="AutoShape 2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4" name="AutoShape 3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5" name="AutoShape 4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6" name="AutoShape 5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7" name="AutoShape 6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8" name="AutoShape 7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9" name="AutoShape 8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10" name="AutoShape 9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11" name="AutoShape 10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12" name="AutoShape 2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13" name="AutoShape 9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56</xdr:row>
      <xdr:rowOff>114300</xdr:rowOff>
    </xdr:to>
    <xdr:sp macro="" textlink="">
      <xdr:nvSpPr>
        <xdr:cNvPr id="14" name="AutoShape 1" descr="image001"/>
        <xdr:cNvSpPr>
          <a:spLocks noChangeAspect="1" noChangeArrowheads="1"/>
        </xdr:cNvSpPr>
      </xdr:nvSpPr>
      <xdr:spPr bwMode="auto">
        <a:xfrm>
          <a:off x="20749260" y="8206740"/>
          <a:ext cx="1369695" cy="2125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15" name="AutoShape 2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19</xdr:col>
      <xdr:colOff>173355</xdr:colOff>
      <xdr:row>53</xdr:row>
      <xdr:rowOff>123825</xdr:rowOff>
    </xdr:to>
    <xdr:sp macro="" textlink="">
      <xdr:nvSpPr>
        <xdr:cNvPr id="16" name="AutoShape 2" descr="image002"/>
        <xdr:cNvSpPr>
          <a:spLocks noChangeAspect="1" noChangeArrowheads="1"/>
        </xdr:cNvSpPr>
      </xdr:nvSpPr>
      <xdr:spPr bwMode="auto">
        <a:xfrm>
          <a:off x="20749260" y="8206740"/>
          <a:ext cx="15601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1042035</xdr:colOff>
      <xdr:row>53</xdr:row>
      <xdr:rowOff>123825</xdr:rowOff>
    </xdr:to>
    <xdr:sp macro="" textlink="">
      <xdr:nvSpPr>
        <xdr:cNvPr id="17" name="AutoShape 9" descr="image002"/>
        <xdr:cNvSpPr>
          <a:spLocks noChangeAspect="1" noChangeArrowheads="1"/>
        </xdr:cNvSpPr>
      </xdr:nvSpPr>
      <xdr:spPr bwMode="auto">
        <a:xfrm>
          <a:off x="20749260" y="8206740"/>
          <a:ext cx="13696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45</xdr:row>
      <xdr:rowOff>0</xdr:rowOff>
    </xdr:from>
    <xdr:to>
      <xdr:col>19</xdr:col>
      <xdr:colOff>173355</xdr:colOff>
      <xdr:row>53</xdr:row>
      <xdr:rowOff>123825</xdr:rowOff>
    </xdr:to>
    <xdr:sp macro="" textlink="">
      <xdr:nvSpPr>
        <xdr:cNvPr id="18" name="AutoShape 2" descr="image002"/>
        <xdr:cNvSpPr>
          <a:spLocks noChangeAspect="1" noChangeArrowheads="1"/>
        </xdr:cNvSpPr>
      </xdr:nvSpPr>
      <xdr:spPr bwMode="auto">
        <a:xfrm>
          <a:off x="20749260" y="8206740"/>
          <a:ext cx="1560195" cy="1586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olynL.2BP/AppData/Local/Microsoft/Windows/Temporary%20Internet%20Files/Content.Outlook/7R5QSULS/Kohl's%202014%20pro-forma%20gadgets%2010-07-2014%20-%20Cop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4"/>
      <sheetName val="Sales"/>
      <sheetName val="2014 -150.0"/>
      <sheetName val="2014 - 210"/>
    </sheetNames>
    <sheetDataSet>
      <sheetData sheetId="0"/>
      <sheetData sheetId="1">
        <row r="15">
          <cell r="J15">
            <v>0.60079681274900421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>
      <selection activeCell="A15" sqref="A15"/>
    </sheetView>
  </sheetViews>
  <sheetFormatPr defaultColWidth="9.109375" defaultRowHeight="13.2"/>
  <cols>
    <col min="1" max="1" width="59.109375" style="3" customWidth="1"/>
    <col min="2" max="3" width="2.33203125" style="3" customWidth="1"/>
    <col min="4" max="4" width="2.6640625" style="3" customWidth="1"/>
    <col min="5" max="5" width="1.6640625" style="3" hidden="1" customWidth="1"/>
    <col min="6" max="6" width="2.5546875" style="3" customWidth="1"/>
    <col min="7" max="7" width="8.6640625" style="158" bestFit="1" customWidth="1"/>
    <col min="8" max="8" width="10.44140625" style="3" customWidth="1"/>
    <col min="9" max="9" width="5.88671875" style="3" customWidth="1"/>
    <col min="10" max="11" width="2.5546875" style="3" customWidth="1"/>
    <col min="12" max="12" width="7" style="158" bestFit="1" customWidth="1"/>
    <col min="13" max="13" width="10.44140625" style="3" customWidth="1"/>
    <col min="14" max="14" width="5.88671875" style="3" customWidth="1"/>
    <col min="15" max="15" width="6.6640625" style="3" bestFit="1" customWidth="1"/>
    <col min="16" max="17" width="10.109375" style="3" bestFit="1" customWidth="1"/>
    <col min="18" max="16384" width="9.109375" style="3"/>
  </cols>
  <sheetData>
    <row r="1" spans="1:18" ht="17.25" customHeight="1">
      <c r="A1" s="1" t="s">
        <v>116</v>
      </c>
      <c r="B1" s="2"/>
      <c r="C1" s="5"/>
      <c r="D1" s="5"/>
      <c r="E1" s="5"/>
      <c r="F1" s="4"/>
      <c r="G1" s="147"/>
      <c r="H1" s="5"/>
      <c r="I1" s="5"/>
      <c r="K1" s="4"/>
      <c r="L1" s="147"/>
      <c r="M1" s="5"/>
      <c r="N1" s="5"/>
    </row>
    <row r="2" spans="1:18" ht="16.5" customHeight="1">
      <c r="A2" s="6"/>
      <c r="B2" s="7"/>
      <c r="C2" s="8"/>
      <c r="D2" s="8"/>
      <c r="E2" s="8"/>
      <c r="F2" s="8"/>
      <c r="G2" s="277" t="s">
        <v>54</v>
      </c>
      <c r="H2" s="277"/>
      <c r="I2" s="277"/>
      <c r="K2" s="8"/>
      <c r="L2" s="277" t="s">
        <v>54</v>
      </c>
      <c r="M2" s="277"/>
      <c r="N2" s="277"/>
    </row>
    <row r="3" spans="1:18" ht="44.4">
      <c r="A3" s="272" t="s">
        <v>117</v>
      </c>
      <c r="B3" s="7"/>
      <c r="C3" s="7"/>
      <c r="D3" s="7"/>
      <c r="E3" s="7"/>
      <c r="F3" s="7"/>
      <c r="G3" s="148"/>
      <c r="H3" s="61">
        <v>2015</v>
      </c>
      <c r="K3" s="7"/>
      <c r="L3" s="148"/>
      <c r="M3" s="61">
        <v>2016</v>
      </c>
      <c r="Q3" s="271"/>
      <c r="R3" s="271"/>
    </row>
    <row r="4" spans="1:18" ht="6.75" customHeight="1">
      <c r="A4" s="9"/>
      <c r="B4" s="7"/>
      <c r="C4" s="7"/>
      <c r="D4" s="7"/>
      <c r="E4" s="7"/>
      <c r="F4" s="7"/>
      <c r="G4" s="149"/>
      <c r="H4" s="10"/>
      <c r="I4" s="7"/>
      <c r="K4" s="7"/>
      <c r="L4" s="149"/>
      <c r="M4" s="10"/>
      <c r="N4" s="7"/>
    </row>
    <row r="5" spans="1:18" hidden="1">
      <c r="A5" s="11" t="s">
        <v>3</v>
      </c>
      <c r="B5" s="7"/>
      <c r="C5" s="7"/>
      <c r="D5" s="7"/>
      <c r="E5" s="7"/>
      <c r="F5" s="7"/>
      <c r="G5" s="149"/>
      <c r="H5" s="12">
        <v>4107980.210352941</v>
      </c>
      <c r="I5" s="13">
        <v>0.65395987272747902</v>
      </c>
      <c r="K5" s="7"/>
      <c r="L5" s="149"/>
      <c r="M5" s="12">
        <v>4107980.210352941</v>
      </c>
      <c r="N5" s="13">
        <v>0.65395987272747902</v>
      </c>
    </row>
    <row r="6" spans="1:18" hidden="1">
      <c r="A6" s="11" t="s">
        <v>4</v>
      </c>
      <c r="B6" s="7"/>
      <c r="C6" s="7"/>
      <c r="D6" s="7"/>
      <c r="E6" s="7"/>
      <c r="F6" s="7"/>
      <c r="G6" s="149"/>
      <c r="H6" s="12">
        <v>2464788.1262117643</v>
      </c>
      <c r="I6" s="13">
        <v>0.4232664545457982</v>
      </c>
      <c r="K6" s="7"/>
      <c r="L6" s="149"/>
      <c r="M6" s="12">
        <v>2464788.1262117643</v>
      </c>
      <c r="N6" s="13">
        <v>0.4232664545457982</v>
      </c>
    </row>
    <row r="7" spans="1:18" ht="6" customHeight="1">
      <c r="A7" s="9"/>
      <c r="B7" s="7"/>
      <c r="C7" s="7"/>
      <c r="D7" s="7"/>
      <c r="E7" s="7"/>
      <c r="F7" s="7"/>
      <c r="G7" s="149"/>
      <c r="H7" s="10"/>
      <c r="I7" s="7"/>
      <c r="K7" s="7"/>
      <c r="L7" s="149"/>
      <c r="M7" s="10"/>
      <c r="N7" s="7"/>
    </row>
    <row r="8" spans="1:18">
      <c r="A8" s="14" t="s">
        <v>5</v>
      </c>
      <c r="B8" s="15"/>
      <c r="C8" s="20"/>
      <c r="D8" s="20"/>
      <c r="E8" s="18"/>
      <c r="F8" s="19"/>
      <c r="G8" s="150"/>
      <c r="H8" s="16">
        <f>'Proforma - KMART 2FT 2015'!S27</f>
        <v>398800</v>
      </c>
      <c r="I8" s="17">
        <f>IFERROR((H8-H37)/H8,0)</f>
        <v>0.5379398194583751</v>
      </c>
      <c r="K8" s="19"/>
      <c r="L8" s="150"/>
      <c r="M8" s="16">
        <f>'Proforma - KMART 2FT  2016'!S24</f>
        <v>822520</v>
      </c>
      <c r="N8" s="17">
        <f>IFERROR((M8-M37)/M8,0)</f>
        <v>0.52610149297281528</v>
      </c>
      <c r="P8" s="269"/>
      <c r="Q8" s="158"/>
      <c r="R8" s="158"/>
    </row>
    <row r="9" spans="1:18" ht="7.5" customHeight="1">
      <c r="A9" s="11"/>
      <c r="B9" s="21"/>
      <c r="C9" s="21"/>
      <c r="D9" s="21"/>
      <c r="E9" s="21"/>
      <c r="F9" s="22"/>
      <c r="G9" s="151"/>
      <c r="H9" s="24"/>
      <c r="I9" s="23"/>
      <c r="K9" s="22"/>
      <c r="L9" s="151"/>
      <c r="M9" s="24"/>
      <c r="N9" s="23"/>
    </row>
    <row r="10" spans="1:18">
      <c r="A10" s="25" t="s">
        <v>6</v>
      </c>
      <c r="B10" s="21"/>
      <c r="C10" s="21"/>
      <c r="D10" s="21"/>
      <c r="E10" s="21"/>
      <c r="F10" s="22"/>
      <c r="G10" s="151"/>
      <c r="H10" s="24"/>
      <c r="I10" s="23"/>
      <c r="K10" s="22"/>
      <c r="L10" s="151"/>
      <c r="M10" s="24"/>
      <c r="N10" s="23"/>
    </row>
    <row r="11" spans="1:18">
      <c r="A11" s="11" t="s">
        <v>7</v>
      </c>
      <c r="B11" s="21"/>
      <c r="C11" s="21"/>
      <c r="D11" s="21"/>
      <c r="E11" s="21"/>
      <c r="F11" s="22"/>
      <c r="G11" s="159">
        <v>0.1</v>
      </c>
      <c r="H11" s="24">
        <f>G11*H$8</f>
        <v>39880</v>
      </c>
      <c r="I11" s="23"/>
      <c r="K11" s="22"/>
      <c r="L11" s="159">
        <v>0.1</v>
      </c>
      <c r="M11" s="24">
        <f>L11*M$8</f>
        <v>82252</v>
      </c>
      <c r="N11" s="23"/>
    </row>
    <row r="12" spans="1:18">
      <c r="A12" s="11" t="s">
        <v>8</v>
      </c>
      <c r="B12" s="21"/>
      <c r="C12" s="21"/>
      <c r="D12" s="21"/>
      <c r="E12" s="21"/>
      <c r="F12" s="22"/>
      <c r="G12" s="159">
        <v>0</v>
      </c>
      <c r="H12" s="24">
        <f t="shared" ref="H12:H16" si="0">G12*H$8</f>
        <v>0</v>
      </c>
      <c r="I12" s="23"/>
      <c r="K12" s="22"/>
      <c r="L12" s="159">
        <v>0</v>
      </c>
      <c r="M12" s="24">
        <f t="shared" ref="M12:M16" si="1">L12*M$8</f>
        <v>0</v>
      </c>
      <c r="N12" s="23"/>
    </row>
    <row r="13" spans="1:18">
      <c r="A13" s="26" t="s">
        <v>9</v>
      </c>
      <c r="B13" s="21"/>
      <c r="C13" s="21"/>
      <c r="D13" s="21"/>
      <c r="E13" s="21"/>
      <c r="F13" s="22"/>
      <c r="G13" s="159">
        <v>0</v>
      </c>
      <c r="H13" s="24">
        <f t="shared" si="0"/>
        <v>0</v>
      </c>
      <c r="I13" s="23"/>
      <c r="K13" s="22"/>
      <c r="L13" s="159">
        <v>0</v>
      </c>
      <c r="M13" s="24">
        <f t="shared" si="1"/>
        <v>0</v>
      </c>
      <c r="N13" s="23"/>
    </row>
    <row r="14" spans="1:18">
      <c r="A14" s="11" t="s">
        <v>10</v>
      </c>
      <c r="B14" s="21"/>
      <c r="C14" s="21"/>
      <c r="D14" s="21"/>
      <c r="E14" s="21"/>
      <c r="F14" s="22"/>
      <c r="G14" s="159">
        <v>0</v>
      </c>
      <c r="H14" s="24">
        <v>0</v>
      </c>
      <c r="I14" s="23"/>
      <c r="K14" s="22"/>
      <c r="L14" s="159">
        <v>0.03</v>
      </c>
      <c r="M14" s="24">
        <f t="shared" si="1"/>
        <v>24675.599999999999</v>
      </c>
      <c r="N14" s="23"/>
      <c r="O14" s="269" t="s">
        <v>21</v>
      </c>
      <c r="P14" s="3" t="s">
        <v>21</v>
      </c>
    </row>
    <row r="15" spans="1:18">
      <c r="A15" s="11" t="s">
        <v>11</v>
      </c>
      <c r="B15" s="21"/>
      <c r="C15" s="21"/>
      <c r="D15" s="21"/>
      <c r="E15" s="21"/>
      <c r="F15" s="22"/>
      <c r="G15" s="159">
        <v>0</v>
      </c>
      <c r="H15" s="24">
        <f t="shared" si="0"/>
        <v>0</v>
      </c>
      <c r="I15" s="23"/>
      <c r="K15" s="22"/>
      <c r="L15" s="159">
        <v>0</v>
      </c>
      <c r="M15" s="24">
        <f t="shared" si="1"/>
        <v>0</v>
      </c>
      <c r="N15" s="23"/>
    </row>
    <row r="16" spans="1:18">
      <c r="A16" s="11" t="s">
        <v>12</v>
      </c>
      <c r="B16" s="21"/>
      <c r="C16" s="21"/>
      <c r="D16" s="21"/>
      <c r="E16" s="21"/>
      <c r="F16" s="22"/>
      <c r="G16" s="159">
        <v>0</v>
      </c>
      <c r="H16" s="24">
        <f t="shared" si="0"/>
        <v>0</v>
      </c>
      <c r="I16" s="23"/>
      <c r="K16" s="22"/>
      <c r="L16" s="159">
        <v>0</v>
      </c>
      <c r="M16" s="24">
        <f t="shared" si="1"/>
        <v>0</v>
      </c>
      <c r="N16" s="23"/>
    </row>
    <row r="17" spans="1:16">
      <c r="A17" s="11" t="s">
        <v>13</v>
      </c>
      <c r="B17" s="21"/>
      <c r="C17" s="21"/>
      <c r="D17" s="21"/>
      <c r="E17" s="21"/>
      <c r="F17" s="22"/>
      <c r="G17" s="176">
        <f>SUM(H17/H8)</f>
        <v>0.12537612838515547</v>
      </c>
      <c r="H17" s="24">
        <v>50000</v>
      </c>
      <c r="I17" s="23"/>
      <c r="K17" s="22"/>
      <c r="L17" s="176">
        <f>SUM(M17/M8)</f>
        <v>6.078879540923017E-2</v>
      </c>
      <c r="M17" s="24">
        <v>50000</v>
      </c>
      <c r="N17" s="23"/>
      <c r="O17" s="16">
        <f>SUM(M17+H17)</f>
        <v>100000</v>
      </c>
      <c r="P17" s="269" t="s">
        <v>21</v>
      </c>
    </row>
    <row r="18" spans="1:16">
      <c r="A18" s="28" t="s">
        <v>14</v>
      </c>
      <c r="B18" s="21"/>
      <c r="C18" s="21"/>
      <c r="D18" s="21"/>
      <c r="E18" s="21"/>
      <c r="F18" s="22"/>
      <c r="G18" s="159">
        <v>0</v>
      </c>
      <c r="H18" s="24">
        <f>G18*H$8</f>
        <v>0</v>
      </c>
      <c r="I18" s="23"/>
      <c r="K18" s="22"/>
      <c r="L18" s="159">
        <v>0</v>
      </c>
      <c r="M18" s="24">
        <f>L18*M$8</f>
        <v>0</v>
      </c>
      <c r="N18" s="23"/>
    </row>
    <row r="19" spans="1:16">
      <c r="A19" s="11" t="s">
        <v>15</v>
      </c>
      <c r="B19" s="21"/>
      <c r="C19" s="21"/>
      <c r="D19" s="21"/>
      <c r="E19" s="21"/>
      <c r="F19" s="22"/>
      <c r="G19" s="159">
        <v>0</v>
      </c>
      <c r="H19" s="24">
        <f t="shared" ref="H19:H21" si="2">G19*H$8</f>
        <v>0</v>
      </c>
      <c r="I19" s="23"/>
      <c r="K19" s="22"/>
      <c r="L19" s="159">
        <v>0</v>
      </c>
      <c r="M19" s="24">
        <f t="shared" ref="M19:M21" si="3">L19*M$8</f>
        <v>0</v>
      </c>
      <c r="N19" s="23"/>
    </row>
    <row r="20" spans="1:16">
      <c r="A20" s="11" t="s">
        <v>16</v>
      </c>
      <c r="B20" s="21"/>
      <c r="C20" s="21"/>
      <c r="D20" s="21"/>
      <c r="E20" s="21"/>
      <c r="F20" s="22"/>
      <c r="G20" s="159">
        <v>0</v>
      </c>
      <c r="H20" s="24">
        <f t="shared" si="2"/>
        <v>0</v>
      </c>
      <c r="I20" s="23"/>
      <c r="K20" s="22"/>
      <c r="L20" s="159">
        <v>0</v>
      </c>
      <c r="M20" s="24">
        <f t="shared" si="3"/>
        <v>0</v>
      </c>
      <c r="N20" s="23"/>
    </row>
    <row r="21" spans="1:16">
      <c r="A21" s="11" t="s">
        <v>17</v>
      </c>
      <c r="B21" s="21"/>
      <c r="C21" s="21"/>
      <c r="D21" s="21"/>
      <c r="E21" s="21"/>
      <c r="F21" s="22"/>
      <c r="G21" s="159">
        <v>0</v>
      </c>
      <c r="H21" s="24">
        <f t="shared" si="2"/>
        <v>0</v>
      </c>
      <c r="I21" s="23"/>
      <c r="K21" s="22"/>
      <c r="L21" s="159">
        <v>0</v>
      </c>
      <c r="M21" s="24">
        <f t="shared" si="3"/>
        <v>0</v>
      </c>
      <c r="N21" s="23"/>
    </row>
    <row r="22" spans="1:16">
      <c r="A22" s="11"/>
      <c r="B22" s="21"/>
      <c r="C22" s="21"/>
      <c r="D22" s="21"/>
      <c r="E22" s="21"/>
      <c r="F22" s="22"/>
      <c r="G22" s="159"/>
      <c r="H22" s="24"/>
      <c r="I22" s="23"/>
      <c r="K22" s="22"/>
      <c r="L22" s="159"/>
      <c r="M22" s="24"/>
      <c r="N22" s="23"/>
    </row>
    <row r="23" spans="1:16" customFormat="1" ht="14.4">
      <c r="A23" s="25" t="s">
        <v>18</v>
      </c>
      <c r="B23" s="21"/>
      <c r="C23" s="21"/>
      <c r="D23" s="21"/>
      <c r="E23" s="21"/>
      <c r="F23" s="22"/>
      <c r="G23" s="160"/>
      <c r="H23" s="24"/>
      <c r="I23" s="23"/>
      <c r="K23" s="22"/>
      <c r="L23" s="160"/>
      <c r="M23" s="24"/>
      <c r="N23" s="23"/>
    </row>
    <row r="24" spans="1:16" customFormat="1" ht="14.4">
      <c r="A24" s="14" t="s">
        <v>19</v>
      </c>
      <c r="B24" s="21"/>
      <c r="C24" s="31"/>
      <c r="D24" s="31"/>
      <c r="E24" s="31"/>
      <c r="F24" s="32"/>
      <c r="G24" s="161">
        <v>0</v>
      </c>
      <c r="H24" s="27">
        <f>G24*H$8</f>
        <v>0</v>
      </c>
      <c r="I24" s="30"/>
      <c r="K24" s="32"/>
      <c r="L24" s="161">
        <v>0</v>
      </c>
      <c r="M24" s="27">
        <f>L24*M$8</f>
        <v>0</v>
      </c>
      <c r="N24" s="30"/>
    </row>
    <row r="25" spans="1:16" customFormat="1" ht="15" thickBot="1">
      <c r="A25" s="11"/>
      <c r="B25" s="21"/>
      <c r="C25" s="21"/>
      <c r="D25" s="21"/>
      <c r="E25" s="21"/>
      <c r="F25" s="22"/>
      <c r="G25" s="159"/>
      <c r="H25" s="24"/>
      <c r="I25" s="23"/>
      <c r="K25" s="22"/>
      <c r="L25" s="159"/>
      <c r="M25" s="24"/>
      <c r="N25" s="23"/>
    </row>
    <row r="26" spans="1:16" customFormat="1" ht="14.4">
      <c r="A26" s="33" t="s">
        <v>20</v>
      </c>
      <c r="B26" s="15"/>
      <c r="C26" s="15"/>
      <c r="D26" s="15"/>
      <c r="E26" s="15"/>
      <c r="F26" s="34"/>
      <c r="G26" s="159">
        <f>SUM(G11:G24)</f>
        <v>0.22537612838515547</v>
      </c>
      <c r="H26" s="35">
        <f>SUM(H11:H25)</f>
        <v>89880</v>
      </c>
      <c r="I26" s="36"/>
      <c r="K26" s="34"/>
      <c r="L26" s="159">
        <f>SUM(L11:L24)</f>
        <v>0.19078879540923016</v>
      </c>
      <c r="M26" s="35">
        <f>SUM(M11:M25)</f>
        <v>156927.6</v>
      </c>
      <c r="N26" s="36"/>
    </row>
    <row r="27" spans="1:16" customFormat="1" ht="15" thickBot="1">
      <c r="A27" s="11" t="s">
        <v>21</v>
      </c>
      <c r="B27" s="21"/>
      <c r="C27" s="21"/>
      <c r="D27" s="21"/>
      <c r="E27" s="21"/>
      <c r="F27" s="22"/>
      <c r="G27" s="159"/>
      <c r="H27" s="24"/>
      <c r="I27" s="23"/>
      <c r="K27" s="22"/>
      <c r="L27" s="159"/>
      <c r="M27" s="24"/>
      <c r="N27" s="23"/>
    </row>
    <row r="28" spans="1:16" customFormat="1" ht="14.4">
      <c r="A28" s="14" t="s">
        <v>22</v>
      </c>
      <c r="B28" s="15"/>
      <c r="C28" s="15"/>
      <c r="D28" s="15"/>
      <c r="E28" s="15"/>
      <c r="F28" s="34"/>
      <c r="G28" s="159"/>
      <c r="H28" s="35">
        <f>H8-H26</f>
        <v>308920</v>
      </c>
      <c r="I28" s="36"/>
      <c r="K28" s="34"/>
      <c r="L28" s="159"/>
      <c r="M28" s="35">
        <f>M8-M26</f>
        <v>665592.4</v>
      </c>
      <c r="N28" s="36"/>
    </row>
    <row r="29" spans="1:16" customFormat="1" ht="14.4">
      <c r="A29" s="11"/>
      <c r="B29" s="21"/>
      <c r="C29" s="21"/>
      <c r="D29" s="21"/>
      <c r="E29" s="21"/>
      <c r="F29" s="22"/>
      <c r="G29" s="159"/>
      <c r="H29" s="24"/>
      <c r="I29" s="23"/>
      <c r="K29" s="22"/>
      <c r="L29" s="159"/>
      <c r="M29" s="24"/>
      <c r="N29" s="23"/>
    </row>
    <row r="30" spans="1:16" customFormat="1" ht="14.4">
      <c r="A30" s="11" t="s">
        <v>23</v>
      </c>
      <c r="B30" s="21"/>
      <c r="C30" s="21"/>
      <c r="D30" s="21"/>
      <c r="E30" s="21"/>
      <c r="F30" s="22"/>
      <c r="G30" s="274">
        <v>1.4999999999999999E-2</v>
      </c>
      <c r="H30" s="24">
        <f>G30*H$28</f>
        <v>4633.8</v>
      </c>
      <c r="I30" s="23"/>
      <c r="K30" s="22"/>
      <c r="L30" s="159">
        <v>0.02</v>
      </c>
      <c r="M30" s="24">
        <f>L30*M$28</f>
        <v>13311.848</v>
      </c>
      <c r="N30" s="23"/>
    </row>
    <row r="31" spans="1:16" customFormat="1" ht="14.4">
      <c r="A31" s="11" t="s">
        <v>24</v>
      </c>
      <c r="B31" s="21"/>
      <c r="C31" s="21"/>
      <c r="D31" s="21"/>
      <c r="E31" s="21"/>
      <c r="F31" s="22"/>
      <c r="G31" s="274">
        <v>0</v>
      </c>
      <c r="H31" s="24">
        <f>G31*H$8</f>
        <v>0</v>
      </c>
      <c r="I31" s="23"/>
      <c r="K31" s="22"/>
      <c r="L31" s="159">
        <v>0</v>
      </c>
      <c r="M31" s="24">
        <f>L31*M$8</f>
        <v>0</v>
      </c>
      <c r="N31" s="23"/>
    </row>
    <row r="32" spans="1:16" customFormat="1" ht="14.4">
      <c r="A32" s="11" t="s">
        <v>25</v>
      </c>
      <c r="B32" s="21"/>
      <c r="C32" s="21"/>
      <c r="D32" s="21"/>
      <c r="E32" s="21"/>
      <c r="F32" s="22"/>
      <c r="G32" s="274">
        <v>0</v>
      </c>
      <c r="H32" s="24">
        <f>G32*H$8</f>
        <v>0</v>
      </c>
      <c r="I32" s="23"/>
      <c r="K32" s="22"/>
      <c r="L32" s="159">
        <v>0</v>
      </c>
      <c r="M32" s="24">
        <f>L32*M$8</f>
        <v>0</v>
      </c>
      <c r="N32" s="23"/>
    </row>
    <row r="33" spans="1:14" customFormat="1" ht="14.4">
      <c r="A33" s="37" t="s">
        <v>26</v>
      </c>
      <c r="B33" s="21"/>
      <c r="C33" s="21"/>
      <c r="D33" s="21"/>
      <c r="E33" s="21"/>
      <c r="F33" s="22"/>
      <c r="G33" s="275">
        <v>0</v>
      </c>
      <c r="H33" s="24">
        <f>G33*H$8</f>
        <v>0</v>
      </c>
      <c r="I33" s="23"/>
      <c r="K33" s="22"/>
      <c r="L33" s="161">
        <v>0</v>
      </c>
      <c r="M33" s="24">
        <f>L33*M$8</f>
        <v>0</v>
      </c>
      <c r="N33" s="23"/>
    </row>
    <row r="34" spans="1:14" customFormat="1" ht="14.4">
      <c r="A34" s="38" t="s">
        <v>27</v>
      </c>
      <c r="B34" s="21"/>
      <c r="C34" s="21"/>
      <c r="D34" s="21"/>
      <c r="E34" s="21"/>
      <c r="F34" s="22"/>
      <c r="G34" s="274">
        <v>0</v>
      </c>
      <c r="H34" s="24">
        <f>G34*H$8</f>
        <v>0</v>
      </c>
      <c r="I34" s="23"/>
      <c r="K34" s="22"/>
      <c r="L34" s="159">
        <v>0</v>
      </c>
      <c r="M34" s="24">
        <f>L34*M$8</f>
        <v>0</v>
      </c>
      <c r="N34" s="23"/>
    </row>
    <row r="35" spans="1:14" customFormat="1" ht="14.4">
      <c r="A35" s="38" t="s">
        <v>28</v>
      </c>
      <c r="B35" s="21"/>
      <c r="C35" s="21"/>
      <c r="D35" s="21"/>
      <c r="E35" s="21"/>
      <c r="F35" s="22"/>
      <c r="G35" s="274">
        <v>0</v>
      </c>
      <c r="H35" s="24">
        <f>G35*H$8</f>
        <v>0</v>
      </c>
      <c r="I35" s="23"/>
      <c r="K35" s="22"/>
      <c r="L35" s="159">
        <v>0</v>
      </c>
      <c r="M35" s="24">
        <f>L35*M$8</f>
        <v>0</v>
      </c>
      <c r="N35" s="23"/>
    </row>
    <row r="36" spans="1:14" customFormat="1" ht="14.4">
      <c r="A36" s="38" t="s">
        <v>29</v>
      </c>
      <c r="B36" s="21"/>
      <c r="C36" s="21"/>
      <c r="D36" s="21"/>
      <c r="E36" s="21"/>
      <c r="F36" s="22"/>
      <c r="G36" s="176">
        <v>0</v>
      </c>
      <c r="H36" s="24">
        <f>G36*H$28</f>
        <v>0</v>
      </c>
      <c r="I36" s="23"/>
      <c r="K36" s="22"/>
      <c r="L36" s="159">
        <v>0</v>
      </c>
      <c r="M36" s="24">
        <f>L36*M$28</f>
        <v>0</v>
      </c>
      <c r="N36" s="23"/>
    </row>
    <row r="37" spans="1:14" customFormat="1" ht="14.4">
      <c r="A37" s="11" t="s">
        <v>30</v>
      </c>
      <c r="B37" s="21"/>
      <c r="C37" s="21"/>
      <c r="D37" s="21"/>
      <c r="E37" s="21"/>
      <c r="F37" s="22"/>
      <c r="G37" s="159">
        <f>1-[1]Sales!P15</f>
        <v>1</v>
      </c>
      <c r="H37" s="27">
        <f>'Proforma - KMART 2FT 2015'!S38</f>
        <v>184269.6</v>
      </c>
      <c r="I37" s="23"/>
      <c r="K37" s="22"/>
      <c r="L37" s="159">
        <f>1-[1]Sales!U15</f>
        <v>1</v>
      </c>
      <c r="M37" s="27">
        <f>'Proforma - KMART 2FT  2016'!S35</f>
        <v>389791</v>
      </c>
      <c r="N37" s="23"/>
    </row>
    <row r="38" spans="1:14" customFormat="1" ht="14.4">
      <c r="A38" s="38"/>
      <c r="B38" s="21"/>
      <c r="C38" s="21"/>
      <c r="D38" s="21"/>
      <c r="E38" s="21"/>
      <c r="F38" s="22"/>
      <c r="G38" s="152"/>
      <c r="H38" s="24"/>
      <c r="I38" s="23"/>
      <c r="K38" s="22"/>
      <c r="L38" s="152"/>
      <c r="M38" s="24"/>
      <c r="N38" s="23"/>
    </row>
    <row r="39" spans="1:14" customFormat="1" ht="15" thickBot="1">
      <c r="A39" s="37"/>
      <c r="B39" s="21"/>
      <c r="C39" s="21"/>
      <c r="D39" s="21"/>
      <c r="E39" s="21"/>
      <c r="F39" s="22"/>
      <c r="G39" s="152"/>
      <c r="H39" s="24"/>
      <c r="I39" s="23"/>
      <c r="K39" s="22"/>
      <c r="L39" s="152"/>
      <c r="M39" s="24"/>
      <c r="N39" s="23"/>
    </row>
    <row r="40" spans="1:14" customFormat="1" ht="14.4">
      <c r="A40" s="14" t="s">
        <v>31</v>
      </c>
      <c r="B40" s="15"/>
      <c r="C40" s="15"/>
      <c r="D40" s="15"/>
      <c r="E40" s="15"/>
      <c r="F40" s="34"/>
      <c r="G40" s="152"/>
      <c r="H40" s="35">
        <f>'Proforma - KMART 2FT 2015'!S39</f>
        <v>189653.4</v>
      </c>
      <c r="I40" s="36"/>
      <c r="K40" s="34"/>
      <c r="L40" s="152"/>
      <c r="M40" s="35">
        <f>'Proforma - KMART 2FT  2016'!S36</f>
        <v>400503.886</v>
      </c>
      <c r="N40" s="36"/>
    </row>
    <row r="41" spans="1:14" customFormat="1" ht="15" thickBot="1">
      <c r="A41" s="11"/>
      <c r="B41" s="21"/>
      <c r="C41" s="21"/>
      <c r="D41" s="21"/>
      <c r="E41" s="21"/>
      <c r="F41" s="22"/>
      <c r="G41" s="152"/>
      <c r="H41" s="24"/>
      <c r="I41" s="23"/>
      <c r="K41" s="22"/>
      <c r="L41" s="152"/>
      <c r="M41" s="24"/>
      <c r="N41" s="23"/>
    </row>
    <row r="42" spans="1:14" customFormat="1" ht="14.4">
      <c r="A42" s="39" t="s">
        <v>32</v>
      </c>
      <c r="B42" s="15"/>
      <c r="C42" s="15"/>
      <c r="D42" s="15"/>
      <c r="E42" s="15"/>
      <c r="F42" s="34"/>
      <c r="G42" s="151"/>
      <c r="H42" s="35">
        <f>'Proforma - KMART 2FT 2015'!S41</f>
        <v>119266.6</v>
      </c>
      <c r="I42" s="36"/>
      <c r="K42" s="34"/>
      <c r="L42" s="151"/>
      <c r="M42" s="35">
        <f>'Proforma - KMART 2FT  2016'!S38</f>
        <v>265088.51400000002</v>
      </c>
      <c r="N42" s="36"/>
    </row>
    <row r="43" spans="1:14" ht="13.8">
      <c r="A43" s="40"/>
      <c r="B43" s="41"/>
      <c r="C43" s="41"/>
      <c r="D43" s="41"/>
      <c r="E43" s="41"/>
      <c r="F43" s="42"/>
      <c r="G43" s="151"/>
      <c r="H43" s="41"/>
      <c r="I43" s="43"/>
      <c r="K43" s="42"/>
      <c r="L43" s="151"/>
      <c r="M43" s="41"/>
      <c r="N43" s="43"/>
    </row>
    <row r="44" spans="1:14" s="1" customFormat="1" ht="14.4" thickBot="1">
      <c r="A44" s="44" t="s">
        <v>33</v>
      </c>
      <c r="B44" s="45"/>
      <c r="C44" s="45"/>
      <c r="D44" s="45"/>
      <c r="E44" s="45"/>
      <c r="F44" s="46"/>
      <c r="G44" s="153"/>
      <c r="H44" s="276">
        <f>'Proforma - KMART 2FT 2015'!S43</f>
        <v>0.3860760067331348</v>
      </c>
      <c r="I44" s="47"/>
      <c r="K44" s="46"/>
      <c r="L44" s="153"/>
      <c r="M44" s="270">
        <f>IFERROR(M42/M28,0)</f>
        <v>0.39827455061085437</v>
      </c>
      <c r="N44" s="47"/>
    </row>
    <row r="45" spans="1:14" s="1" customFormat="1" ht="13.8">
      <c r="A45" s="39"/>
      <c r="B45" s="48"/>
      <c r="C45" s="48"/>
      <c r="D45" s="48"/>
      <c r="E45" s="48"/>
      <c r="F45" s="49"/>
      <c r="G45" s="154"/>
      <c r="H45" s="48"/>
      <c r="I45" s="50"/>
      <c r="K45" s="49"/>
      <c r="L45" s="154"/>
      <c r="M45" s="48"/>
      <c r="N45" s="50"/>
    </row>
    <row r="46" spans="1:14" s="1" customFormat="1" ht="13.8">
      <c r="A46" s="51" t="s">
        <v>34</v>
      </c>
      <c r="B46" s="52"/>
      <c r="C46" s="52"/>
      <c r="D46" s="52"/>
      <c r="E46" s="52"/>
      <c r="F46" s="53"/>
      <c r="G46" s="155"/>
      <c r="H46" s="54">
        <f>IFERROR((H8-H37)/H8,0)</f>
        <v>0.5379398194583751</v>
      </c>
      <c r="I46" s="55"/>
      <c r="K46" s="53"/>
      <c r="L46" s="155"/>
      <c r="M46" s="54">
        <f>IFERROR((M8-M37)/M8,0)</f>
        <v>0.52610149297281528</v>
      </c>
      <c r="N46" s="55"/>
    </row>
    <row r="47" spans="1:14" s="1" customFormat="1" ht="13.8">
      <c r="A47" s="51"/>
      <c r="B47" s="52"/>
      <c r="C47" s="52"/>
      <c r="D47" s="52"/>
      <c r="E47" s="52"/>
      <c r="F47" s="53"/>
      <c r="G47" s="155"/>
      <c r="H47" s="54"/>
      <c r="I47" s="55"/>
      <c r="K47" s="53"/>
      <c r="L47" s="155"/>
      <c r="M47" s="54"/>
      <c r="N47" s="55"/>
    </row>
    <row r="48" spans="1:14">
      <c r="A48" s="56"/>
      <c r="B48" s="57"/>
      <c r="C48" s="57"/>
      <c r="D48" s="57"/>
      <c r="E48" s="57"/>
      <c r="F48" s="58"/>
      <c r="G48" s="156"/>
      <c r="H48" s="59"/>
      <c r="I48" s="60"/>
      <c r="K48" s="58"/>
      <c r="L48" s="156"/>
      <c r="M48" s="59"/>
      <c r="N48" s="60"/>
    </row>
    <row r="50" spans="1:13" s="1" customFormat="1">
      <c r="A50" s="3"/>
      <c r="G50" s="157"/>
      <c r="H50" s="29"/>
      <c r="L50" s="157"/>
      <c r="M50" s="29"/>
    </row>
  </sheetData>
  <mergeCells count="2">
    <mergeCell ref="G2:I2"/>
    <mergeCell ref="L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F2975"/>
  <sheetViews>
    <sheetView workbookViewId="0">
      <pane xSplit="3" ySplit="6" topLeftCell="Q30" activePane="bottomRight" state="frozen"/>
      <selection pane="topRight" activeCell="D1" sqref="D1"/>
      <selection pane="bottomLeft" activeCell="A9" sqref="A9"/>
      <selection pane="bottomRight" activeCell="R28" sqref="R28"/>
    </sheetView>
  </sheetViews>
  <sheetFormatPr defaultRowHeight="14.4"/>
  <cols>
    <col min="1" max="1" width="27" customWidth="1"/>
    <col min="2" max="2" width="1.6640625" customWidth="1"/>
    <col min="3" max="3" width="36.44140625" customWidth="1"/>
    <col min="4" max="13" width="17" style="138" customWidth="1"/>
    <col min="14" max="14" width="19" style="138" bestFit="1" customWidth="1"/>
    <col min="15" max="17" width="17" style="138" customWidth="1"/>
    <col min="18" max="18" width="3.5546875" customWidth="1"/>
    <col min="19" max="19" width="15.44140625" bestFit="1" customWidth="1"/>
    <col min="20" max="20" width="14.6640625" bestFit="1" customWidth="1"/>
    <col min="21" max="21" width="8.88671875" bestFit="1" customWidth="1"/>
    <col min="22" max="22" width="12.33203125" bestFit="1" customWidth="1"/>
    <col min="23" max="23" width="113" bestFit="1" customWidth="1"/>
  </cols>
  <sheetData>
    <row r="1" spans="1:35" ht="17.399999999999999">
      <c r="A1" t="s">
        <v>35</v>
      </c>
      <c r="B1" s="62"/>
      <c r="C1" s="63" t="s">
        <v>60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S1" s="65"/>
      <c r="U1" t="s">
        <v>21</v>
      </c>
      <c r="V1" s="66"/>
    </row>
    <row r="2" spans="1:35" s="65" customFormat="1" ht="15" thickBot="1">
      <c r="A2" s="65" t="s">
        <v>121</v>
      </c>
      <c r="B2" s="67"/>
      <c r="D2" s="68" t="s">
        <v>21</v>
      </c>
      <c r="E2" s="172"/>
      <c r="F2" s="172" t="s">
        <v>21</v>
      </c>
      <c r="G2" s="68" t="s">
        <v>21</v>
      </c>
      <c r="H2" s="68" t="s">
        <v>21</v>
      </c>
      <c r="I2" s="68" t="s">
        <v>21</v>
      </c>
      <c r="J2" s="68" t="s">
        <v>21</v>
      </c>
      <c r="K2" s="68" t="s">
        <v>21</v>
      </c>
      <c r="L2" s="68" t="s">
        <v>21</v>
      </c>
      <c r="M2" s="68"/>
      <c r="N2" s="68" t="s">
        <v>21</v>
      </c>
      <c r="O2" s="68" t="s">
        <v>21</v>
      </c>
      <c r="P2" s="68" t="s">
        <v>21</v>
      </c>
      <c r="Q2" s="68" t="s">
        <v>21</v>
      </c>
      <c r="R2"/>
      <c r="T2"/>
      <c r="U2"/>
      <c r="V2" s="66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ht="16.2" thickBot="1">
      <c r="A3" s="77">
        <v>700</v>
      </c>
      <c r="B3" s="69"/>
      <c r="D3" s="140">
        <v>1</v>
      </c>
      <c r="E3" s="141">
        <v>2</v>
      </c>
      <c r="F3" s="141">
        <v>3</v>
      </c>
      <c r="G3" s="141">
        <v>4</v>
      </c>
      <c r="H3" s="141">
        <v>5</v>
      </c>
      <c r="I3" s="141">
        <v>6</v>
      </c>
      <c r="J3" s="141">
        <v>7</v>
      </c>
      <c r="K3" s="141">
        <v>8</v>
      </c>
      <c r="L3" s="141">
        <v>9</v>
      </c>
      <c r="M3" s="141">
        <v>10</v>
      </c>
      <c r="N3" s="141">
        <v>11</v>
      </c>
      <c r="O3" s="140">
        <v>12</v>
      </c>
      <c r="P3" s="140">
        <v>13</v>
      </c>
      <c r="Q3" s="259">
        <v>14</v>
      </c>
      <c r="R3" t="s">
        <v>21</v>
      </c>
      <c r="S3" s="65"/>
      <c r="V3" s="66"/>
    </row>
    <row r="4" spans="1:35" s="73" customFormat="1" ht="16.2" thickBot="1">
      <c r="A4" s="77" t="s">
        <v>21</v>
      </c>
      <c r="B4" s="70"/>
      <c r="C4" s="71" t="s">
        <v>36</v>
      </c>
      <c r="D4" s="72" t="s">
        <v>2</v>
      </c>
      <c r="E4" s="72" t="s">
        <v>2</v>
      </c>
      <c r="F4" s="72" t="s">
        <v>2</v>
      </c>
      <c r="G4" s="72" t="s">
        <v>2</v>
      </c>
      <c r="H4" s="179" t="s">
        <v>2</v>
      </c>
      <c r="I4" s="179" t="s">
        <v>2</v>
      </c>
      <c r="J4" s="179" t="s">
        <v>2</v>
      </c>
      <c r="K4" s="139" t="s">
        <v>2</v>
      </c>
      <c r="L4" s="139" t="s">
        <v>2</v>
      </c>
      <c r="M4" s="139" t="s">
        <v>2</v>
      </c>
      <c r="N4" s="139" t="s">
        <v>2</v>
      </c>
      <c r="O4" s="139" t="s">
        <v>2</v>
      </c>
      <c r="P4" s="139" t="s">
        <v>2</v>
      </c>
      <c r="Q4" s="139" t="s">
        <v>2</v>
      </c>
      <c r="S4" s="65"/>
      <c r="T4" s="74"/>
      <c r="V4" s="75"/>
      <c r="W4" s="76"/>
      <c r="X4"/>
      <c r="Y4"/>
      <c r="Z4"/>
      <c r="AA4"/>
      <c r="AB4"/>
    </row>
    <row r="5" spans="1:35" s="78" customFormat="1" ht="16.2" thickBot="1">
      <c r="A5" s="77"/>
      <c r="C5" s="184" t="s">
        <v>55</v>
      </c>
      <c r="D5" s="143" t="s">
        <v>21</v>
      </c>
      <c r="E5" s="143" t="s">
        <v>21</v>
      </c>
      <c r="F5" s="143" t="s">
        <v>101</v>
      </c>
      <c r="G5" s="143">
        <v>5105235</v>
      </c>
      <c r="H5" s="143">
        <v>5113802</v>
      </c>
      <c r="I5" s="143" t="s">
        <v>21</v>
      </c>
      <c r="J5" s="143" t="s">
        <v>21</v>
      </c>
      <c r="K5" s="143">
        <v>5119269</v>
      </c>
      <c r="L5" s="143">
        <v>5119271</v>
      </c>
      <c r="M5" s="143">
        <v>5119274</v>
      </c>
      <c r="N5" s="143">
        <v>5135513</v>
      </c>
      <c r="O5" s="143" t="s">
        <v>21</v>
      </c>
      <c r="P5" s="143" t="s">
        <v>21</v>
      </c>
      <c r="Q5" s="143" t="s">
        <v>21</v>
      </c>
      <c r="R5"/>
      <c r="S5" s="79"/>
      <c r="T5"/>
      <c r="U5"/>
      <c r="V5" s="66"/>
      <c r="W5" s="80"/>
      <c r="X5"/>
      <c r="Y5"/>
      <c r="Z5"/>
      <c r="AA5"/>
      <c r="AB5"/>
      <c r="AC5"/>
      <c r="AD5"/>
      <c r="AE5"/>
      <c r="AF5"/>
      <c r="AG5"/>
      <c r="AH5"/>
      <c r="AI5"/>
    </row>
    <row r="6" spans="1:35" s="180" customFormat="1" ht="58.2" thickBot="1">
      <c r="A6" s="77"/>
      <c r="C6" s="185" t="s">
        <v>56</v>
      </c>
      <c r="D6" s="246" t="s">
        <v>85</v>
      </c>
      <c r="E6" s="246" t="s">
        <v>87</v>
      </c>
      <c r="F6" s="246" t="s">
        <v>88</v>
      </c>
      <c r="G6" s="247" t="s">
        <v>57</v>
      </c>
      <c r="H6" s="248" t="s">
        <v>58</v>
      </c>
      <c r="I6" s="248" t="s">
        <v>92</v>
      </c>
      <c r="J6" s="248" t="s">
        <v>93</v>
      </c>
      <c r="K6" s="246" t="s">
        <v>102</v>
      </c>
      <c r="L6" s="246" t="s">
        <v>103</v>
      </c>
      <c r="M6" s="247" t="s">
        <v>104</v>
      </c>
      <c r="N6" s="249" t="s">
        <v>59</v>
      </c>
      <c r="O6" s="248" t="s">
        <v>105</v>
      </c>
      <c r="P6" s="248" t="s">
        <v>106</v>
      </c>
      <c r="Q6" s="248" t="s">
        <v>107</v>
      </c>
      <c r="R6" s="163"/>
      <c r="S6" s="82"/>
      <c r="T6" s="163"/>
      <c r="U6" s="163"/>
      <c r="V6" s="164"/>
      <c r="W6" s="181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</row>
    <row r="7" spans="1:35" s="78" customFormat="1" ht="16.2" thickBot="1">
      <c r="A7" s="77"/>
      <c r="C7" s="186" t="s">
        <v>0</v>
      </c>
      <c r="D7" s="260">
        <v>0.8</v>
      </c>
      <c r="E7" s="260">
        <v>1.27</v>
      </c>
      <c r="F7" s="260">
        <v>1.27</v>
      </c>
      <c r="G7" s="174">
        <v>6.58</v>
      </c>
      <c r="H7" s="170">
        <v>12.06</v>
      </c>
      <c r="I7" s="170">
        <v>1.03</v>
      </c>
      <c r="J7" s="170">
        <v>1.74</v>
      </c>
      <c r="K7" s="173">
        <v>0.79</v>
      </c>
      <c r="L7" s="173">
        <v>0.69</v>
      </c>
      <c r="M7" s="174">
        <v>1.19</v>
      </c>
      <c r="N7" s="173">
        <v>13.2</v>
      </c>
      <c r="O7" s="170">
        <v>1.43</v>
      </c>
      <c r="P7" s="170">
        <v>1.52</v>
      </c>
      <c r="Q7" s="170">
        <v>1.8</v>
      </c>
      <c r="R7"/>
      <c r="S7" s="82"/>
      <c r="T7"/>
      <c r="U7"/>
      <c r="V7" s="66"/>
      <c r="W7" s="80"/>
      <c r="X7"/>
      <c r="Y7"/>
      <c r="Z7"/>
      <c r="AA7"/>
      <c r="AB7"/>
      <c r="AC7"/>
      <c r="AD7"/>
      <c r="AE7"/>
      <c r="AF7"/>
      <c r="AG7"/>
      <c r="AH7"/>
      <c r="AI7"/>
    </row>
    <row r="8" spans="1:35" s="78" customFormat="1" ht="15.6">
      <c r="A8" s="77"/>
      <c r="C8" s="175" t="s">
        <v>1</v>
      </c>
      <c r="D8" s="177">
        <f t="shared" ref="D8:Q8" si="0">SUM(500*2)</f>
        <v>1000</v>
      </c>
      <c r="E8" s="177">
        <f t="shared" si="0"/>
        <v>1000</v>
      </c>
      <c r="F8" s="177">
        <f t="shared" si="0"/>
        <v>1000</v>
      </c>
      <c r="G8" s="177">
        <f t="shared" si="0"/>
        <v>1000</v>
      </c>
      <c r="H8" s="177">
        <f t="shared" si="0"/>
        <v>1000</v>
      </c>
      <c r="I8" s="177">
        <f t="shared" si="0"/>
        <v>1000</v>
      </c>
      <c r="J8" s="177">
        <f t="shared" si="0"/>
        <v>1000</v>
      </c>
      <c r="K8" s="177">
        <f t="shared" si="0"/>
        <v>1000</v>
      </c>
      <c r="L8" s="177">
        <f t="shared" si="0"/>
        <v>1000</v>
      </c>
      <c r="M8" s="177">
        <f t="shared" si="0"/>
        <v>1000</v>
      </c>
      <c r="N8" s="177">
        <f t="shared" si="0"/>
        <v>1000</v>
      </c>
      <c r="O8" s="177">
        <f t="shared" si="0"/>
        <v>1000</v>
      </c>
      <c r="P8" s="177">
        <f t="shared" si="0"/>
        <v>1000</v>
      </c>
      <c r="Q8" s="177">
        <f t="shared" si="0"/>
        <v>1000</v>
      </c>
      <c r="R8"/>
      <c r="S8" s="82"/>
      <c r="T8"/>
      <c r="U8"/>
      <c r="V8" s="66"/>
      <c r="W8" s="80"/>
      <c r="X8"/>
      <c r="Y8"/>
      <c r="Z8"/>
      <c r="AA8"/>
      <c r="AB8"/>
      <c r="AC8"/>
      <c r="AD8"/>
      <c r="AE8"/>
      <c r="AF8"/>
      <c r="AG8"/>
      <c r="AH8"/>
      <c r="AI8"/>
    </row>
    <row r="9" spans="1:35" s="78" customFormat="1" ht="16.2" thickBot="1">
      <c r="A9" s="77"/>
      <c r="C9" s="81" t="s">
        <v>61</v>
      </c>
      <c r="D9" s="144">
        <f t="shared" ref="D9" si="1">SUM(6*500)</f>
        <v>3000</v>
      </c>
      <c r="E9" s="144">
        <v>8000</v>
      </c>
      <c r="F9" s="144">
        <v>7000</v>
      </c>
      <c r="G9" s="144">
        <v>8000</v>
      </c>
      <c r="H9" s="144">
        <v>8000</v>
      </c>
      <c r="I9" s="144">
        <v>2200</v>
      </c>
      <c r="J9" s="144">
        <v>4500</v>
      </c>
      <c r="K9" s="144">
        <v>13000</v>
      </c>
      <c r="L9" s="144">
        <v>10000</v>
      </c>
      <c r="M9" s="144">
        <v>8000</v>
      </c>
      <c r="N9" s="144">
        <v>10000</v>
      </c>
      <c r="O9" s="144">
        <v>6000</v>
      </c>
      <c r="P9" s="144">
        <v>10000</v>
      </c>
      <c r="Q9" s="144">
        <v>10000</v>
      </c>
      <c r="R9"/>
      <c r="S9" s="82"/>
      <c r="T9"/>
      <c r="U9"/>
      <c r="V9" s="66"/>
      <c r="W9" s="80"/>
      <c r="X9"/>
      <c r="Y9"/>
      <c r="Z9"/>
      <c r="AA9"/>
      <c r="AB9"/>
      <c r="AC9"/>
      <c r="AD9"/>
      <c r="AE9"/>
      <c r="AF9"/>
      <c r="AG9"/>
      <c r="AH9"/>
      <c r="AI9"/>
    </row>
    <row r="10" spans="1:35" s="78" customFormat="1" ht="16.2" thickBot="1">
      <c r="A10" s="77"/>
      <c r="C10" s="178" t="s">
        <v>108</v>
      </c>
      <c r="D10" s="162">
        <v>322</v>
      </c>
      <c r="E10" s="162">
        <v>600</v>
      </c>
      <c r="F10" s="162">
        <v>600</v>
      </c>
      <c r="G10" s="162">
        <v>710</v>
      </c>
      <c r="H10" s="162">
        <v>600</v>
      </c>
      <c r="I10" s="162">
        <v>255</v>
      </c>
      <c r="J10" s="162">
        <v>584</v>
      </c>
      <c r="K10" s="162">
        <v>977</v>
      </c>
      <c r="L10" s="162">
        <v>613</v>
      </c>
      <c r="M10" s="162">
        <v>584</v>
      </c>
      <c r="N10" s="162">
        <v>977</v>
      </c>
      <c r="O10" s="162">
        <v>942</v>
      </c>
      <c r="P10" s="162">
        <v>977</v>
      </c>
      <c r="Q10" s="162">
        <v>977</v>
      </c>
      <c r="R10"/>
      <c r="S10" s="82"/>
      <c r="T10"/>
      <c r="U10"/>
      <c r="V10" s="66"/>
      <c r="W10" s="8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83" customFormat="1"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/>
      <c r="S11" s="86"/>
      <c r="T11"/>
      <c r="U11"/>
      <c r="V11" s="66"/>
      <c r="W11" s="80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s="142" customFormat="1">
      <c r="A12" s="142" t="s">
        <v>37</v>
      </c>
      <c r="D12" s="252">
        <v>1.8</v>
      </c>
      <c r="E12" s="252">
        <v>4.5</v>
      </c>
      <c r="F12" s="252">
        <v>4.5</v>
      </c>
      <c r="G12" s="252">
        <v>12</v>
      </c>
      <c r="H12" s="252">
        <v>20.5</v>
      </c>
      <c r="I12" s="252">
        <v>3</v>
      </c>
      <c r="J12" s="252">
        <v>5</v>
      </c>
      <c r="K12" s="252">
        <v>2</v>
      </c>
      <c r="L12" s="252">
        <v>2</v>
      </c>
      <c r="M12" s="252">
        <v>3</v>
      </c>
      <c r="N12" s="252">
        <v>22</v>
      </c>
      <c r="O12" s="252">
        <v>5</v>
      </c>
      <c r="P12" s="252">
        <v>5</v>
      </c>
      <c r="Q12" s="252">
        <v>5</v>
      </c>
      <c r="R12" s="250"/>
      <c r="S12" s="253"/>
      <c r="T12" s="250"/>
      <c r="U12" s="250"/>
      <c r="V12" s="251"/>
      <c r="W12" s="254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</row>
    <row r="13" spans="1:35" s="83" customFormat="1">
      <c r="A13" s="83" t="s">
        <v>38</v>
      </c>
      <c r="B13" s="142" t="s">
        <v>21</v>
      </c>
      <c r="C13" s="84" t="s">
        <v>21</v>
      </c>
      <c r="D13" s="145">
        <f t="shared" ref="D13" si="2">SUM(D12*2)-0.01</f>
        <v>3.5900000000000003</v>
      </c>
      <c r="E13" s="145">
        <f t="shared" ref="E13" si="3">SUM(E12*2)-0.01</f>
        <v>8.99</v>
      </c>
      <c r="F13" s="145">
        <f t="shared" ref="F13" si="4">SUM(F12*2)-0.01</f>
        <v>8.99</v>
      </c>
      <c r="G13" s="145">
        <f t="shared" ref="G13" si="5">SUM(G12*2)-0.01</f>
        <v>23.99</v>
      </c>
      <c r="H13" s="145">
        <f t="shared" ref="H13:J13" si="6">SUM(H12*2)-0.01</f>
        <v>40.99</v>
      </c>
      <c r="I13" s="145">
        <f t="shared" si="6"/>
        <v>5.99</v>
      </c>
      <c r="J13" s="145">
        <f t="shared" si="6"/>
        <v>9.99</v>
      </c>
      <c r="K13" s="145">
        <f t="shared" ref="K13" si="7">SUM(K12*2)-0.01</f>
        <v>3.99</v>
      </c>
      <c r="L13" s="145">
        <f t="shared" ref="L13" si="8">SUM(L12*2)-0.01</f>
        <v>3.99</v>
      </c>
      <c r="M13" s="145">
        <f t="shared" ref="M13" si="9">SUM(M12*2)-0.01</f>
        <v>5.99</v>
      </c>
      <c r="N13" s="145">
        <f t="shared" ref="N13" si="10">SUM(N12*2)-0.01</f>
        <v>43.99</v>
      </c>
      <c r="O13" s="145">
        <f t="shared" ref="O13:P13" si="11">SUM(O12*2)-0.01</f>
        <v>9.99</v>
      </c>
      <c r="P13" s="145">
        <f t="shared" si="11"/>
        <v>9.99</v>
      </c>
      <c r="Q13" s="145">
        <f t="shared" ref="Q13" si="12">SUM(Q12*2)-0.01</f>
        <v>9.99</v>
      </c>
      <c r="R13"/>
      <c r="S13" s="86"/>
      <c r="T13"/>
      <c r="U13"/>
      <c r="V13" s="66"/>
      <c r="W13" s="89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83" customFormat="1">
      <c r="A14" s="83" t="s">
        <v>39</v>
      </c>
      <c r="B14" s="88"/>
      <c r="C14" s="84"/>
      <c r="D14" s="145">
        <f t="shared" ref="D14" si="13">SUM(D13/0.75)</f>
        <v>4.7866666666666671</v>
      </c>
      <c r="E14" s="145">
        <f t="shared" ref="E14" si="14">SUM(E13/0.75)</f>
        <v>11.986666666666666</v>
      </c>
      <c r="F14" s="145">
        <f t="shared" ref="F14" si="15">SUM(F13/0.75)</f>
        <v>11.986666666666666</v>
      </c>
      <c r="G14" s="145">
        <f t="shared" ref="G14" si="16">SUM(G13/0.75)</f>
        <v>31.986666666666665</v>
      </c>
      <c r="H14" s="145">
        <f t="shared" ref="H14:J14" si="17">SUM(H13/0.75)</f>
        <v>54.653333333333336</v>
      </c>
      <c r="I14" s="145">
        <f t="shared" si="17"/>
        <v>7.9866666666666672</v>
      </c>
      <c r="J14" s="145">
        <f t="shared" si="17"/>
        <v>13.32</v>
      </c>
      <c r="K14" s="145">
        <f t="shared" ref="K14" si="18">SUM(K13/0.75)</f>
        <v>5.32</v>
      </c>
      <c r="L14" s="145">
        <f t="shared" ref="L14" si="19">SUM(L13/0.75)</f>
        <v>5.32</v>
      </c>
      <c r="M14" s="145">
        <f t="shared" ref="M14" si="20">SUM(M13/0.75)</f>
        <v>7.9866666666666672</v>
      </c>
      <c r="N14" s="145">
        <f t="shared" ref="N14" si="21">SUM(N13/0.75)</f>
        <v>58.653333333333336</v>
      </c>
      <c r="O14" s="145">
        <f t="shared" ref="O14:P14" si="22">SUM(O13/0.75)</f>
        <v>13.32</v>
      </c>
      <c r="P14" s="145">
        <f t="shared" si="22"/>
        <v>13.32</v>
      </c>
      <c r="Q14" s="145">
        <f t="shared" ref="Q14" si="23">SUM(Q13/0.75)</f>
        <v>13.32</v>
      </c>
      <c r="R14"/>
      <c r="S14" s="86"/>
      <c r="T14"/>
      <c r="U14"/>
      <c r="V14" s="66"/>
      <c r="W14" s="89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83" customFormat="1">
      <c r="A15" s="83" t="s">
        <v>122</v>
      </c>
      <c r="B15" s="84"/>
      <c r="C15" s="84"/>
      <c r="D15" s="90">
        <f t="shared" ref="D15" si="24">SUM(D13-D12)/D13</f>
        <v>0.49860724233983289</v>
      </c>
      <c r="E15" s="90">
        <f t="shared" ref="E15:O15" si="25">SUM(E13-E12)/E13</f>
        <v>0.49944382647385988</v>
      </c>
      <c r="F15" s="90">
        <f t="shared" si="25"/>
        <v>0.49944382647385988</v>
      </c>
      <c r="G15" s="90">
        <f t="shared" si="25"/>
        <v>0.499791579824927</v>
      </c>
      <c r="H15" s="90">
        <f t="shared" si="25"/>
        <v>0.49987801902903151</v>
      </c>
      <c r="I15" s="90">
        <f t="shared" ref="I15:J15" si="26">SUM(I13-I12)/I13</f>
        <v>0.4991652754590985</v>
      </c>
      <c r="J15" s="90">
        <f t="shared" si="26"/>
        <v>0.49949949949949951</v>
      </c>
      <c r="K15" s="90">
        <f t="shared" si="25"/>
        <v>0.49874686716791983</v>
      </c>
      <c r="L15" s="90">
        <f t="shared" si="25"/>
        <v>0.49874686716791983</v>
      </c>
      <c r="M15" s="90">
        <f t="shared" si="25"/>
        <v>0.4991652754590985</v>
      </c>
      <c r="N15" s="90">
        <f t="shared" si="25"/>
        <v>0.4998863378040464</v>
      </c>
      <c r="O15" s="90">
        <f t="shared" si="25"/>
        <v>0.49949949949949951</v>
      </c>
      <c r="P15" s="90">
        <f t="shared" ref="P15:Q15" si="27">SUM(P13-P12)/P13</f>
        <v>0.49949949949949951</v>
      </c>
      <c r="Q15" s="90">
        <f t="shared" si="27"/>
        <v>0.49949949949949951</v>
      </c>
      <c r="R15"/>
      <c r="S15" s="91" t="s">
        <v>21</v>
      </c>
      <c r="T15"/>
      <c r="U15"/>
      <c r="V15" s="66"/>
      <c r="W15" s="89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s="83" customFormat="1" ht="15" hidden="1" customHeight="1">
      <c r="A16" s="83" t="s">
        <v>40</v>
      </c>
      <c r="B16" s="84" t="s">
        <v>21</v>
      </c>
      <c r="C16" s="84"/>
      <c r="D16" s="92">
        <v>0</v>
      </c>
      <c r="E16" s="92">
        <v>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92">
        <v>0</v>
      </c>
      <c r="P16" s="92">
        <v>0</v>
      </c>
      <c r="Q16" s="92">
        <v>0</v>
      </c>
      <c r="R16"/>
      <c r="S16" s="91"/>
      <c r="T16"/>
      <c r="U16"/>
      <c r="V16" s="66"/>
      <c r="W16" s="89"/>
      <c r="X16"/>
      <c r="Y16"/>
      <c r="Z16"/>
      <c r="AA16"/>
      <c r="AB16"/>
      <c r="AC16"/>
      <c r="AD16"/>
      <c r="AE16"/>
      <c r="AF16"/>
      <c r="AG16"/>
      <c r="AH16"/>
      <c r="AI16"/>
    </row>
    <row r="17" spans="1:58" s="83" customFormat="1" ht="15" hidden="1" customHeight="1">
      <c r="A17" s="83" t="s">
        <v>41</v>
      </c>
      <c r="B17" s="84"/>
      <c r="C17" s="84"/>
      <c r="D17" s="92">
        <f t="shared" ref="D17" si="28">SUM(D12*D16)</f>
        <v>0</v>
      </c>
      <c r="E17" s="92">
        <f t="shared" ref="E17" si="29">SUM(E12*E16)</f>
        <v>0</v>
      </c>
      <c r="F17" s="92">
        <f t="shared" ref="F17" si="30">SUM(F12*F16)</f>
        <v>0</v>
      </c>
      <c r="G17" s="92">
        <f t="shared" ref="G17" si="31">SUM(G12*G16)</f>
        <v>0</v>
      </c>
      <c r="H17" s="92">
        <f t="shared" ref="H17:J17" si="32">SUM(H12*H16)</f>
        <v>0</v>
      </c>
      <c r="I17" s="92">
        <f t="shared" si="32"/>
        <v>0</v>
      </c>
      <c r="J17" s="92">
        <f t="shared" si="32"/>
        <v>0</v>
      </c>
      <c r="K17" s="92">
        <f t="shared" ref="K17" si="33">SUM(K12*K16)</f>
        <v>0</v>
      </c>
      <c r="L17" s="92">
        <f t="shared" ref="L17" si="34">SUM(L12*L16)</f>
        <v>0</v>
      </c>
      <c r="M17" s="92">
        <f t="shared" ref="M17" si="35">SUM(M12*M16)</f>
        <v>0</v>
      </c>
      <c r="N17" s="92">
        <f t="shared" ref="N17" si="36">SUM(N12*N16)</f>
        <v>0</v>
      </c>
      <c r="O17" s="92">
        <f t="shared" ref="O17:P17" si="37">SUM(O12*O16)</f>
        <v>0</v>
      </c>
      <c r="P17" s="92">
        <f t="shared" si="37"/>
        <v>0</v>
      </c>
      <c r="Q17" s="92">
        <f t="shared" ref="Q17" si="38">SUM(Q12*Q16)</f>
        <v>0</v>
      </c>
      <c r="R17"/>
      <c r="S17" s="93" t="s">
        <v>21</v>
      </c>
      <c r="T17"/>
      <c r="U17"/>
      <c r="V17" s="66"/>
      <c r="W17" s="89"/>
      <c r="X17"/>
      <c r="Y17"/>
      <c r="Z17"/>
      <c r="AA17"/>
      <c r="AB17"/>
      <c r="AC17"/>
      <c r="AD17"/>
      <c r="AE17"/>
      <c r="AF17"/>
      <c r="AG17"/>
      <c r="AH17"/>
      <c r="AI17"/>
    </row>
    <row r="18" spans="1:58" s="83" customFormat="1" ht="15" customHeight="1">
      <c r="A18" s="83" t="s">
        <v>123</v>
      </c>
      <c r="B18" s="84"/>
      <c r="C18" s="84"/>
      <c r="D18" s="90">
        <f t="shared" ref="D18" si="39">SUM(D14-D12)/D14</f>
        <v>0.62395543175487467</v>
      </c>
      <c r="E18" s="90">
        <f t="shared" ref="E18:O18" si="40">SUM(E14-E12)/E14</f>
        <v>0.62458286985539491</v>
      </c>
      <c r="F18" s="90">
        <f t="shared" si="40"/>
        <v>0.62458286985539491</v>
      </c>
      <c r="G18" s="90">
        <f t="shared" si="40"/>
        <v>0.62484368486869524</v>
      </c>
      <c r="H18" s="90">
        <f t="shared" si="40"/>
        <v>0.62490851427177363</v>
      </c>
      <c r="I18" s="90">
        <f t="shared" ref="I18:J18" si="41">SUM(I14-I12)/I14</f>
        <v>0.62437395659432393</v>
      </c>
      <c r="J18" s="90">
        <f t="shared" si="41"/>
        <v>0.62462462462462465</v>
      </c>
      <c r="K18" s="90">
        <f t="shared" si="40"/>
        <v>0.62406015037593987</v>
      </c>
      <c r="L18" s="90">
        <f t="shared" si="40"/>
        <v>0.62406015037593987</v>
      </c>
      <c r="M18" s="90">
        <f t="shared" si="40"/>
        <v>0.62437395659432393</v>
      </c>
      <c r="N18" s="90">
        <f t="shared" si="40"/>
        <v>0.62491475335303481</v>
      </c>
      <c r="O18" s="90">
        <f t="shared" si="40"/>
        <v>0.62462462462462465</v>
      </c>
      <c r="P18" s="90">
        <f t="shared" ref="P18:Q18" si="42">SUM(P14-P12)/P14</f>
        <v>0.62462462462462465</v>
      </c>
      <c r="Q18" s="90">
        <f t="shared" si="42"/>
        <v>0.62462462462462465</v>
      </c>
      <c r="R18"/>
      <c r="S18" s="93"/>
      <c r="T18"/>
      <c r="U18"/>
      <c r="V18" s="66"/>
      <c r="W18" s="89"/>
      <c r="X18"/>
      <c r="Y18"/>
      <c r="Z18"/>
      <c r="AA18"/>
      <c r="AB18"/>
      <c r="AC18"/>
      <c r="AD18"/>
      <c r="AE18"/>
      <c r="AF18"/>
      <c r="AG18"/>
      <c r="AH18"/>
      <c r="AI18"/>
    </row>
    <row r="19" spans="1:58" s="83" customFormat="1">
      <c r="A19" s="83" t="s">
        <v>49</v>
      </c>
      <c r="B19" s="84"/>
      <c r="C19" s="84"/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t="s">
        <v>21</v>
      </c>
      <c r="S19" s="91"/>
      <c r="T19"/>
      <c r="U19"/>
      <c r="V19" s="66"/>
      <c r="W19" s="76"/>
      <c r="X19"/>
      <c r="Y19"/>
      <c r="Z19"/>
      <c r="AA19"/>
      <c r="AB19"/>
      <c r="AC19"/>
      <c r="AD19"/>
      <c r="AE19"/>
      <c r="AF19"/>
      <c r="AG19"/>
      <c r="AH19"/>
      <c r="AI19"/>
    </row>
    <row r="20" spans="1:58" s="94" customFormat="1" ht="15" thickBot="1">
      <c r="A20" s="94" t="s">
        <v>52</v>
      </c>
      <c r="D20" s="95">
        <v>1000</v>
      </c>
      <c r="E20" s="95">
        <v>1000</v>
      </c>
      <c r="F20" s="95">
        <v>1000</v>
      </c>
      <c r="G20" s="95">
        <v>1000</v>
      </c>
      <c r="H20" s="95">
        <v>1000</v>
      </c>
      <c r="I20" s="95">
        <v>1000</v>
      </c>
      <c r="J20" s="95">
        <v>1000</v>
      </c>
      <c r="K20" s="95">
        <v>1000</v>
      </c>
      <c r="L20" s="95">
        <v>1000</v>
      </c>
      <c r="M20" s="95">
        <v>1000</v>
      </c>
      <c r="N20" s="95">
        <v>1000</v>
      </c>
      <c r="O20" s="95">
        <v>1000</v>
      </c>
      <c r="P20" s="95">
        <v>1000</v>
      </c>
      <c r="Q20" s="95">
        <v>1000</v>
      </c>
      <c r="R20" s="78" t="s">
        <v>21</v>
      </c>
      <c r="S20" s="96"/>
      <c r="T20"/>
      <c r="U20"/>
      <c r="V20" s="97" t="s">
        <v>21</v>
      </c>
      <c r="W20" s="76"/>
      <c r="X20"/>
      <c r="Y20"/>
      <c r="Z20"/>
      <c r="AA20"/>
      <c r="AB20"/>
      <c r="AC20"/>
      <c r="AD20"/>
      <c r="AE20"/>
      <c r="AF20"/>
      <c r="AG20"/>
      <c r="AH20"/>
      <c r="AI20"/>
    </row>
    <row r="21" spans="1:58" s="94" customFormat="1" ht="15" thickBot="1">
      <c r="A21" s="94" t="s">
        <v>52</v>
      </c>
      <c r="D21" s="92">
        <v>1000</v>
      </c>
      <c r="E21" s="92">
        <v>1000</v>
      </c>
      <c r="F21" s="92">
        <v>1000</v>
      </c>
      <c r="G21" s="92">
        <v>1000</v>
      </c>
      <c r="H21" s="92">
        <v>1000</v>
      </c>
      <c r="I21" s="92">
        <v>1000</v>
      </c>
      <c r="J21" s="92">
        <v>1000</v>
      </c>
      <c r="K21" s="92">
        <v>1000</v>
      </c>
      <c r="L21" s="92">
        <v>1000</v>
      </c>
      <c r="M21" s="92">
        <v>1000</v>
      </c>
      <c r="N21" s="92">
        <v>1000</v>
      </c>
      <c r="O21" s="92">
        <v>1000</v>
      </c>
      <c r="P21" s="92">
        <v>1000</v>
      </c>
      <c r="Q21" s="92">
        <v>1000</v>
      </c>
      <c r="R21" s="78"/>
      <c r="S21" s="96" t="s">
        <v>21</v>
      </c>
      <c r="T21" s="163" t="s">
        <v>21</v>
      </c>
      <c r="U21" s="166" t="s">
        <v>21</v>
      </c>
      <c r="V21" s="100" t="s">
        <v>21</v>
      </c>
      <c r="W21" s="98"/>
      <c r="X21"/>
      <c r="Y21"/>
      <c r="Z21"/>
      <c r="AA21"/>
      <c r="AB21"/>
      <c r="AC21"/>
      <c r="AD21"/>
      <c r="AE21"/>
      <c r="AF21"/>
      <c r="AG21"/>
      <c r="AH21"/>
      <c r="AI21"/>
    </row>
    <row r="22" spans="1:58" s="94" customFormat="1">
      <c r="A22" s="94" t="s">
        <v>118</v>
      </c>
      <c r="D22" s="92">
        <f>SUM(D23/D10)</f>
        <v>10.559006211180124</v>
      </c>
      <c r="E22" s="92">
        <f t="shared" ref="E22:Q22" si="43">SUM(E23/E10)</f>
        <v>14.333333333333334</v>
      </c>
      <c r="F22" s="92">
        <f t="shared" si="43"/>
        <v>14.333333333333334</v>
      </c>
      <c r="G22" s="92">
        <f t="shared" si="43"/>
        <v>11.267605633802816</v>
      </c>
      <c r="H22" s="92">
        <f t="shared" si="43"/>
        <v>13.333333333333334</v>
      </c>
      <c r="I22" s="92">
        <f t="shared" si="43"/>
        <v>17.647058823529413</v>
      </c>
      <c r="J22" s="92">
        <f t="shared" si="43"/>
        <v>7.7054794520547949</v>
      </c>
      <c r="K22" s="92">
        <f t="shared" si="43"/>
        <v>13.306038894575231</v>
      </c>
      <c r="L22" s="92">
        <f t="shared" si="43"/>
        <v>16.31321370309951</v>
      </c>
      <c r="M22" s="92">
        <f t="shared" si="43"/>
        <v>15.41095890410959</v>
      </c>
      <c r="N22" s="92">
        <f t="shared" si="43"/>
        <v>10.235414534288639</v>
      </c>
      <c r="O22" s="92">
        <f t="shared" si="43"/>
        <v>10.615711252653927</v>
      </c>
      <c r="P22" s="92">
        <f t="shared" si="43"/>
        <v>10.235414534288639</v>
      </c>
      <c r="Q22" s="92">
        <f t="shared" si="43"/>
        <v>10.235414534288639</v>
      </c>
      <c r="R22" s="78"/>
      <c r="S22" s="96"/>
      <c r="T22" s="163"/>
      <c r="U22" s="169"/>
      <c r="V22" s="100"/>
      <c r="W22" s="98"/>
      <c r="X22"/>
      <c r="Y22"/>
      <c r="Z22"/>
      <c r="AA22"/>
      <c r="AB22"/>
      <c r="AC22"/>
      <c r="AD22"/>
      <c r="AE22"/>
      <c r="AF22"/>
      <c r="AG22"/>
      <c r="AH22"/>
      <c r="AI22"/>
    </row>
    <row r="23" spans="1:58" s="83" customFormat="1">
      <c r="A23" s="83" t="s">
        <v>50</v>
      </c>
      <c r="B23" s="84"/>
      <c r="C23" s="84"/>
      <c r="D23" s="99">
        <v>3400</v>
      </c>
      <c r="E23" s="99">
        <v>8600</v>
      </c>
      <c r="F23" s="99">
        <v>8600</v>
      </c>
      <c r="G23" s="99">
        <f t="shared" ref="G23:N23" si="44">G9</f>
        <v>8000</v>
      </c>
      <c r="H23" s="99">
        <f t="shared" si="44"/>
        <v>8000</v>
      </c>
      <c r="I23" s="99">
        <v>4500</v>
      </c>
      <c r="J23" s="99">
        <f t="shared" ref="J23" si="45">J9</f>
        <v>4500</v>
      </c>
      <c r="K23" s="99">
        <f t="shared" si="44"/>
        <v>13000</v>
      </c>
      <c r="L23" s="99">
        <f t="shared" si="44"/>
        <v>10000</v>
      </c>
      <c r="M23" s="99">
        <v>9000</v>
      </c>
      <c r="N23" s="99">
        <f t="shared" si="44"/>
        <v>10000</v>
      </c>
      <c r="O23" s="99">
        <v>10000</v>
      </c>
      <c r="P23" s="99">
        <f t="shared" ref="P23:Q23" si="46">P9</f>
        <v>10000</v>
      </c>
      <c r="Q23" s="99">
        <f t="shared" si="46"/>
        <v>10000</v>
      </c>
      <c r="R23"/>
      <c r="S23" s="91"/>
      <c r="T23"/>
      <c r="U23"/>
      <c r="V23" s="100"/>
      <c r="W23" s="80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1:58" s="83" customFormat="1" ht="15" thickBot="1">
      <c r="A24" s="83" t="s">
        <v>51</v>
      </c>
      <c r="B24" s="84"/>
      <c r="C24" s="84"/>
      <c r="D24" s="101">
        <f t="shared" ref="D24:E24" si="47">SUM(D23*D12)</f>
        <v>6120</v>
      </c>
      <c r="E24" s="101">
        <f t="shared" si="47"/>
        <v>38700</v>
      </c>
      <c r="F24" s="101">
        <f t="shared" ref="F24" si="48">SUM(F23*F12)</f>
        <v>38700</v>
      </c>
      <c r="G24" s="101">
        <f t="shared" ref="G24" si="49">SUM(G23*G12)</f>
        <v>96000</v>
      </c>
      <c r="H24" s="101">
        <f t="shared" ref="H24:J24" si="50">SUM(H23*H12)</f>
        <v>164000</v>
      </c>
      <c r="I24" s="101">
        <f t="shared" si="50"/>
        <v>13500</v>
      </c>
      <c r="J24" s="101">
        <f t="shared" si="50"/>
        <v>22500</v>
      </c>
      <c r="K24" s="101">
        <f t="shared" ref="K24" si="51">SUM(K23*K12)</f>
        <v>26000</v>
      </c>
      <c r="L24" s="101">
        <f t="shared" ref="L24" si="52">SUM(L23*L12)</f>
        <v>20000</v>
      </c>
      <c r="M24" s="101">
        <f t="shared" ref="M24" si="53">SUM(M23*M12)</f>
        <v>27000</v>
      </c>
      <c r="N24" s="101">
        <f t="shared" ref="N24" si="54">SUM(N23*N12)</f>
        <v>220000</v>
      </c>
      <c r="O24" s="101">
        <f t="shared" ref="O24:P24" si="55">SUM(O23*O12)</f>
        <v>50000</v>
      </c>
      <c r="P24" s="101">
        <f t="shared" si="55"/>
        <v>50000</v>
      </c>
      <c r="Q24" s="101">
        <f t="shared" ref="Q24" si="56">SUM(Q23*Q12)</f>
        <v>50000</v>
      </c>
      <c r="R24"/>
      <c r="S24" s="102">
        <f>SUM(D24:Q24)</f>
        <v>822520</v>
      </c>
      <c r="T24" s="103" t="s">
        <v>21</v>
      </c>
      <c r="U24" s="83" t="s">
        <v>21</v>
      </c>
      <c r="V24" s="66"/>
      <c r="W24" s="80"/>
      <c r="X24"/>
      <c r="Y24"/>
      <c r="Z24"/>
      <c r="AA24"/>
      <c r="AB24"/>
      <c r="AC24"/>
      <c r="AD24"/>
      <c r="AE24"/>
      <c r="AF24"/>
      <c r="AG24"/>
      <c r="AH24"/>
      <c r="AI24"/>
    </row>
    <row r="25" spans="1:58" s="104" customFormat="1">
      <c r="B25" s="105"/>
      <c r="C25" s="105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82"/>
      <c r="P25" s="182"/>
      <c r="Q25" s="182"/>
      <c r="S25" s="107"/>
      <c r="V25" s="66"/>
      <c r="W25" s="80"/>
      <c r="X25"/>
      <c r="Y25"/>
      <c r="Z25"/>
      <c r="AA25"/>
      <c r="AB25"/>
    </row>
    <row r="26" spans="1:58" s="83" customFormat="1">
      <c r="A26" s="83" t="s">
        <v>119</v>
      </c>
      <c r="B26" s="84"/>
      <c r="C26" s="84">
        <v>0.1</v>
      </c>
      <c r="D26" s="109">
        <f t="shared" ref="D26:K26" si="57">SUM(D$24*$C26)</f>
        <v>612</v>
      </c>
      <c r="E26" s="109">
        <f t="shared" si="57"/>
        <v>3870</v>
      </c>
      <c r="F26" s="109">
        <f t="shared" si="57"/>
        <v>3870</v>
      </c>
      <c r="G26" s="109">
        <f t="shared" si="57"/>
        <v>9600</v>
      </c>
      <c r="H26" s="109">
        <f t="shared" si="57"/>
        <v>16400</v>
      </c>
      <c r="I26" s="109">
        <f t="shared" si="57"/>
        <v>1350</v>
      </c>
      <c r="J26" s="109">
        <f t="shared" si="57"/>
        <v>2250</v>
      </c>
      <c r="K26" s="109">
        <f t="shared" si="57"/>
        <v>2600</v>
      </c>
      <c r="L26" s="109">
        <f t="shared" ref="L26:Q26" si="58">SUM(L$24*$C26)</f>
        <v>2000</v>
      </c>
      <c r="M26" s="109">
        <f t="shared" si="58"/>
        <v>2700</v>
      </c>
      <c r="N26" s="109">
        <f t="shared" si="58"/>
        <v>22000</v>
      </c>
      <c r="O26" s="109">
        <f t="shared" si="58"/>
        <v>5000</v>
      </c>
      <c r="P26" s="109">
        <f t="shared" si="58"/>
        <v>5000</v>
      </c>
      <c r="Q26" s="109">
        <f t="shared" si="58"/>
        <v>5000</v>
      </c>
      <c r="R26"/>
      <c r="S26" s="108">
        <f>SUM($C26*$S$24)</f>
        <v>82252</v>
      </c>
      <c r="T26"/>
      <c r="U26"/>
      <c r="V26" s="110"/>
      <c r="W26" s="76"/>
      <c r="X26"/>
      <c r="Y26"/>
      <c r="Z26"/>
      <c r="AA26"/>
      <c r="AB26"/>
      <c r="AC26"/>
      <c r="AD26"/>
      <c r="AE26"/>
      <c r="AF26"/>
      <c r="AG26"/>
      <c r="AH26"/>
      <c r="AI26"/>
    </row>
    <row r="27" spans="1:58" s="83" customFormat="1">
      <c r="A27" s="83" t="s">
        <v>53</v>
      </c>
      <c r="B27" s="171">
        <v>0.2</v>
      </c>
      <c r="C27" s="84"/>
      <c r="D27" s="109"/>
      <c r="E27" s="109"/>
      <c r="F27" s="109"/>
      <c r="G27" s="109"/>
      <c r="H27" s="109"/>
      <c r="I27" s="109"/>
      <c r="J27" s="109"/>
      <c r="K27" s="109">
        <f>SUM(K21*0.2)</f>
        <v>200</v>
      </c>
      <c r="L27" s="109">
        <f>SUM(L21*0.2)</f>
        <v>200</v>
      </c>
      <c r="M27" s="109">
        <f>SUM(M21*0.2)</f>
        <v>200</v>
      </c>
      <c r="N27" s="109">
        <f>SUM(N21*0.2)</f>
        <v>200</v>
      </c>
      <c r="O27" s="109">
        <f>SUM(O21*0.2)</f>
        <v>200</v>
      </c>
      <c r="P27" s="109">
        <f t="shared" ref="P27:Q27" si="59">SUM(P21*0.2)</f>
        <v>200</v>
      </c>
      <c r="Q27" s="109">
        <f t="shared" si="59"/>
        <v>200</v>
      </c>
      <c r="R27"/>
      <c r="S27" s="109">
        <v>50000</v>
      </c>
      <c r="T27" s="266" t="s">
        <v>114</v>
      </c>
      <c r="U27" s="66"/>
      <c r="V27" s="66"/>
      <c r="W27" s="111"/>
      <c r="X27"/>
      <c r="Y27"/>
      <c r="Z27"/>
      <c r="AA27"/>
      <c r="AB27"/>
      <c r="AC27"/>
      <c r="AD27"/>
      <c r="AE27"/>
      <c r="AF27"/>
      <c r="AG27"/>
      <c r="AH27"/>
      <c r="AI27"/>
    </row>
    <row r="28" spans="1:58" s="83" customFormat="1">
      <c r="A28" s="83" t="s">
        <v>44</v>
      </c>
      <c r="B28" s="84" t="s">
        <v>21</v>
      </c>
      <c r="C28" s="84">
        <v>0.03</v>
      </c>
      <c r="D28" s="109">
        <f t="shared" ref="D28:Q28" si="60">SUM(D$24*$C28)</f>
        <v>183.6</v>
      </c>
      <c r="E28" s="109">
        <f t="shared" si="60"/>
        <v>1161</v>
      </c>
      <c r="F28" s="109">
        <f t="shared" si="60"/>
        <v>1161</v>
      </c>
      <c r="G28" s="109">
        <f t="shared" si="60"/>
        <v>2880</v>
      </c>
      <c r="H28" s="109">
        <f t="shared" si="60"/>
        <v>4920</v>
      </c>
      <c r="I28" s="109">
        <f t="shared" si="60"/>
        <v>405</v>
      </c>
      <c r="J28" s="109">
        <f t="shared" si="60"/>
        <v>675</v>
      </c>
      <c r="K28" s="109">
        <f t="shared" si="60"/>
        <v>780</v>
      </c>
      <c r="L28" s="109">
        <f t="shared" si="60"/>
        <v>600</v>
      </c>
      <c r="M28" s="109">
        <f t="shared" si="60"/>
        <v>810</v>
      </c>
      <c r="N28" s="109">
        <f t="shared" si="60"/>
        <v>6600</v>
      </c>
      <c r="O28" s="109">
        <f t="shared" si="60"/>
        <v>1500</v>
      </c>
      <c r="P28" s="109">
        <f t="shared" si="60"/>
        <v>1500</v>
      </c>
      <c r="Q28" s="109">
        <f t="shared" si="60"/>
        <v>1500</v>
      </c>
      <c r="R28"/>
      <c r="S28" s="112">
        <f>SUM(D28:Q28)</f>
        <v>24675.599999999999</v>
      </c>
      <c r="T28" s="268" t="s">
        <v>115</v>
      </c>
      <c r="U28" s="164"/>
      <c r="V28" s="164"/>
      <c r="W28" s="111"/>
      <c r="X28"/>
      <c r="Y28"/>
      <c r="Z28"/>
      <c r="AA28"/>
      <c r="AB28"/>
      <c r="AC28"/>
      <c r="AD28"/>
      <c r="AE28"/>
      <c r="AF28"/>
      <c r="AG28"/>
      <c r="AH28"/>
      <c r="AI28"/>
    </row>
    <row r="29" spans="1:58">
      <c r="A29" s="113" t="s">
        <v>20</v>
      </c>
      <c r="B29" s="114"/>
      <c r="C29" s="115">
        <f t="shared" ref="C29:H29" si="61">SUM(C26:C28)</f>
        <v>0.13</v>
      </c>
      <c r="D29" s="116">
        <f t="shared" si="61"/>
        <v>795.6</v>
      </c>
      <c r="E29" s="116">
        <f t="shared" si="61"/>
        <v>5031</v>
      </c>
      <c r="F29" s="116">
        <f t="shared" si="61"/>
        <v>5031</v>
      </c>
      <c r="G29" s="116">
        <f t="shared" si="61"/>
        <v>12480</v>
      </c>
      <c r="H29" s="116">
        <f t="shared" si="61"/>
        <v>21320</v>
      </c>
      <c r="I29" s="116">
        <f t="shared" ref="I29:J29" si="62">SUM(I26:I28)</f>
        <v>1755</v>
      </c>
      <c r="J29" s="116">
        <f t="shared" si="62"/>
        <v>2925</v>
      </c>
      <c r="K29" s="116">
        <f>SUM(K26:K28)</f>
        <v>3580</v>
      </c>
      <c r="L29" s="116">
        <f>SUM(L26:L28)</f>
        <v>2800</v>
      </c>
      <c r="M29" s="116">
        <f>SUM(M26:M28)</f>
        <v>3710</v>
      </c>
      <c r="N29" s="116">
        <f>SUM(N26:N28)</f>
        <v>28800</v>
      </c>
      <c r="O29" s="116">
        <f>SUM(O26:O28)</f>
        <v>6700</v>
      </c>
      <c r="P29" s="116">
        <f t="shared" ref="P29:Q29" si="63">SUM(P26:P28)</f>
        <v>6700</v>
      </c>
      <c r="Q29" s="116">
        <f t="shared" si="63"/>
        <v>6700</v>
      </c>
      <c r="S29" s="117">
        <f>SUM(S26:S28)</f>
        <v>156927.6</v>
      </c>
      <c r="U29" s="165"/>
      <c r="V29" s="165"/>
      <c r="W29" s="76"/>
    </row>
    <row r="30" spans="1:58">
      <c r="B30" s="118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S30" s="120"/>
      <c r="U30" s="121"/>
      <c r="V30" s="121"/>
      <c r="W30" s="76"/>
    </row>
    <row r="31" spans="1:58">
      <c r="A31" s="113" t="s">
        <v>22</v>
      </c>
      <c r="B31" s="114"/>
      <c r="C31" s="114"/>
      <c r="D31" s="116">
        <f t="shared" ref="D31:Q31" si="64">SUM(D24-D29)</f>
        <v>5324.4</v>
      </c>
      <c r="E31" s="116">
        <f t="shared" si="64"/>
        <v>33669</v>
      </c>
      <c r="F31" s="116">
        <f t="shared" si="64"/>
        <v>33669</v>
      </c>
      <c r="G31" s="116">
        <f t="shared" si="64"/>
        <v>83520</v>
      </c>
      <c r="H31" s="116">
        <f t="shared" si="64"/>
        <v>142680</v>
      </c>
      <c r="I31" s="116">
        <f t="shared" si="64"/>
        <v>11745</v>
      </c>
      <c r="J31" s="116">
        <f t="shared" si="64"/>
        <v>19575</v>
      </c>
      <c r="K31" s="116">
        <f t="shared" si="64"/>
        <v>22420</v>
      </c>
      <c r="L31" s="116">
        <f t="shared" si="64"/>
        <v>17200</v>
      </c>
      <c r="M31" s="116">
        <f t="shared" si="64"/>
        <v>23290</v>
      </c>
      <c r="N31" s="116">
        <f t="shared" si="64"/>
        <v>191200</v>
      </c>
      <c r="O31" s="116">
        <f t="shared" si="64"/>
        <v>43300</v>
      </c>
      <c r="P31" s="116">
        <f t="shared" si="64"/>
        <v>43300</v>
      </c>
      <c r="Q31" s="116">
        <f t="shared" si="64"/>
        <v>43300</v>
      </c>
      <c r="S31" s="117">
        <f>SUM(S24-S29)</f>
        <v>665592.4</v>
      </c>
      <c r="U31" s="167"/>
      <c r="V31" s="167"/>
      <c r="W31" s="76"/>
    </row>
    <row r="32" spans="1:58">
      <c r="B32" s="118"/>
      <c r="C32" s="118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S32" s="120"/>
      <c r="U32" s="66"/>
      <c r="V32" s="66"/>
      <c r="W32" s="76"/>
    </row>
    <row r="33" spans="1:35" s="83" customFormat="1">
      <c r="B33" s="84"/>
      <c r="C33" s="84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/>
      <c r="S33" s="108"/>
      <c r="T33"/>
      <c r="U33"/>
      <c r="V33" s="122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s="83" customFormat="1">
      <c r="A34" s="83" t="s">
        <v>45</v>
      </c>
      <c r="B34" s="84"/>
      <c r="C34" s="171">
        <v>1.4999999999999999E-2</v>
      </c>
      <c r="D34" s="109">
        <f t="shared" ref="D34:P34" si="65">SUM(D$31*$C34)</f>
        <v>79.865999999999985</v>
      </c>
      <c r="E34" s="109">
        <f t="shared" si="65"/>
        <v>505.03499999999997</v>
      </c>
      <c r="F34" s="109">
        <f t="shared" si="65"/>
        <v>505.03499999999997</v>
      </c>
      <c r="G34" s="109">
        <f t="shared" si="65"/>
        <v>1252.8</v>
      </c>
      <c r="H34" s="109">
        <f t="shared" si="65"/>
        <v>2140.1999999999998</v>
      </c>
      <c r="I34" s="109">
        <f t="shared" si="65"/>
        <v>176.17499999999998</v>
      </c>
      <c r="J34" s="109">
        <f t="shared" si="65"/>
        <v>293.625</v>
      </c>
      <c r="K34" s="109">
        <f t="shared" si="65"/>
        <v>336.3</v>
      </c>
      <c r="L34" s="109">
        <f t="shared" si="65"/>
        <v>258</v>
      </c>
      <c r="M34" s="109">
        <f t="shared" si="65"/>
        <v>349.34999999999997</v>
      </c>
      <c r="N34" s="109">
        <f t="shared" si="65"/>
        <v>2868</v>
      </c>
      <c r="O34" s="109">
        <f t="shared" si="65"/>
        <v>649.5</v>
      </c>
      <c r="P34" s="109">
        <f t="shared" si="65"/>
        <v>649.5</v>
      </c>
      <c r="Q34" s="109">
        <f>SUM(Q$31*$C34)</f>
        <v>649.5</v>
      </c>
      <c r="R34"/>
      <c r="S34" s="108">
        <f>SUM(D34:Q34)</f>
        <v>10712.886</v>
      </c>
      <c r="T34"/>
      <c r="U34"/>
      <c r="V34" s="122" t="s">
        <v>21</v>
      </c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>
      <c r="A35" t="s">
        <v>46</v>
      </c>
      <c r="B35" s="118"/>
      <c r="C35" s="118"/>
      <c r="D35" s="109">
        <f t="shared" ref="D35:Q35" si="66">SUM(D42*D23)</f>
        <v>3196</v>
      </c>
      <c r="E35" s="109">
        <f t="shared" si="66"/>
        <v>8428</v>
      </c>
      <c r="F35" s="109">
        <f t="shared" si="66"/>
        <v>9202</v>
      </c>
      <c r="G35" s="109">
        <f t="shared" si="66"/>
        <v>52640</v>
      </c>
      <c r="H35" s="109">
        <f t="shared" si="66"/>
        <v>96480</v>
      </c>
      <c r="I35" s="109">
        <f t="shared" si="66"/>
        <v>4635</v>
      </c>
      <c r="J35" s="109">
        <f t="shared" si="66"/>
        <v>7830</v>
      </c>
      <c r="K35" s="109">
        <f t="shared" si="66"/>
        <v>10270</v>
      </c>
      <c r="L35" s="109">
        <f t="shared" si="66"/>
        <v>6899.9999999999991</v>
      </c>
      <c r="M35" s="109">
        <f t="shared" si="66"/>
        <v>10710</v>
      </c>
      <c r="N35" s="109">
        <f t="shared" si="66"/>
        <v>132000</v>
      </c>
      <c r="O35" s="109">
        <f t="shared" si="66"/>
        <v>14300</v>
      </c>
      <c r="P35" s="109">
        <f t="shared" si="66"/>
        <v>15200</v>
      </c>
      <c r="Q35" s="109">
        <f t="shared" si="66"/>
        <v>18000</v>
      </c>
      <c r="S35" s="123">
        <f>SUM(D35:Q35)</f>
        <v>389791</v>
      </c>
      <c r="V35" s="121" t="s">
        <v>21</v>
      </c>
      <c r="W35" s="98"/>
    </row>
    <row r="36" spans="1:35">
      <c r="A36" s="113" t="s">
        <v>31</v>
      </c>
      <c r="B36" s="114"/>
      <c r="C36" s="114"/>
      <c r="D36" s="116">
        <f t="shared" ref="D36:O36" si="67">SUM(D33:D35)</f>
        <v>3275.866</v>
      </c>
      <c r="E36" s="116">
        <f>SUM(E33:E35)</f>
        <v>8933.0349999999999</v>
      </c>
      <c r="F36" s="116">
        <f t="shared" ref="F36" si="68">SUM(F33:F35)</f>
        <v>9707.0349999999999</v>
      </c>
      <c r="G36" s="116">
        <f>SUM(G33:G35)</f>
        <v>53892.800000000003</v>
      </c>
      <c r="H36" s="116">
        <f t="shared" si="67"/>
        <v>98620.2</v>
      </c>
      <c r="I36" s="116">
        <f t="shared" ref="I36:J36" si="69">SUM(I33:I35)</f>
        <v>4811.1750000000002</v>
      </c>
      <c r="J36" s="116">
        <f t="shared" si="69"/>
        <v>8123.625</v>
      </c>
      <c r="K36" s="116">
        <f t="shared" ref="K36:M36" si="70">SUM(K33:K35)</f>
        <v>10606.3</v>
      </c>
      <c r="L36" s="116">
        <f t="shared" si="70"/>
        <v>7157.9999999999991</v>
      </c>
      <c r="M36" s="116">
        <f t="shared" si="70"/>
        <v>11059.35</v>
      </c>
      <c r="N36" s="116">
        <f t="shared" si="67"/>
        <v>134868</v>
      </c>
      <c r="O36" s="116">
        <f t="shared" si="67"/>
        <v>14949.5</v>
      </c>
      <c r="P36" s="116">
        <f t="shared" ref="P36:Q36" si="71">SUM(P33:P35)</f>
        <v>15849.5</v>
      </c>
      <c r="Q36" s="116">
        <f t="shared" si="71"/>
        <v>18649.5</v>
      </c>
      <c r="S36" s="117">
        <f>SUM(S33:S35)</f>
        <v>400503.886</v>
      </c>
      <c r="V36" s="124"/>
      <c r="W36" s="98"/>
    </row>
    <row r="37" spans="1:35">
      <c r="B37" s="118"/>
      <c r="C37" s="118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S37" s="120"/>
      <c r="V37" s="66"/>
      <c r="W37" s="98"/>
    </row>
    <row r="38" spans="1:35" ht="15" thickBot="1">
      <c r="A38" s="113" t="s">
        <v>47</v>
      </c>
      <c r="B38" s="118"/>
      <c r="C38" s="118"/>
      <c r="D38" s="125">
        <f t="shared" ref="D38:O38" si="72">D31-D36</f>
        <v>2048.5339999999997</v>
      </c>
      <c r="E38" s="125">
        <f>E31-E36</f>
        <v>24735.965</v>
      </c>
      <c r="F38" s="125">
        <f t="shared" ref="F38" si="73">F31-F36</f>
        <v>23961.965</v>
      </c>
      <c r="G38" s="125">
        <f>G31-G36</f>
        <v>29627.199999999997</v>
      </c>
      <c r="H38" s="125">
        <f t="shared" si="72"/>
        <v>44059.8</v>
      </c>
      <c r="I38" s="125">
        <f t="shared" ref="I38:J38" si="74">I31-I36</f>
        <v>6933.8249999999998</v>
      </c>
      <c r="J38" s="125">
        <f t="shared" si="74"/>
        <v>11451.375</v>
      </c>
      <c r="K38" s="125">
        <f t="shared" ref="K38:M38" si="75">K31-K36</f>
        <v>11813.7</v>
      </c>
      <c r="L38" s="125">
        <f t="shared" si="75"/>
        <v>10042</v>
      </c>
      <c r="M38" s="125">
        <f t="shared" si="75"/>
        <v>12230.65</v>
      </c>
      <c r="N38" s="125">
        <f t="shared" si="72"/>
        <v>56332</v>
      </c>
      <c r="O38" s="125">
        <f t="shared" si="72"/>
        <v>28350.5</v>
      </c>
      <c r="P38" s="125">
        <f t="shared" ref="P38:Q38" si="76">P31-P36</f>
        <v>27450.5</v>
      </c>
      <c r="Q38" s="125">
        <f t="shared" si="76"/>
        <v>24650.5</v>
      </c>
      <c r="S38" s="126">
        <f>S31-S36</f>
        <v>265088.51400000002</v>
      </c>
      <c r="V38" s="127"/>
      <c r="W38" s="80"/>
    </row>
    <row r="39" spans="1:35" ht="6" customHeight="1">
      <c r="B39" s="118"/>
      <c r="C39" s="105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04"/>
      <c r="S39" s="129"/>
      <c r="W39" s="89"/>
    </row>
    <row r="40" spans="1:35" s="132" customFormat="1" ht="15" thickBot="1">
      <c r="A40" s="130" t="s">
        <v>48</v>
      </c>
      <c r="B40" s="118"/>
      <c r="C40" s="105"/>
      <c r="D40" s="131">
        <f t="shared" ref="D40:S40" si="77">D38/D31</f>
        <v>0.38474457215836522</v>
      </c>
      <c r="E40" s="131">
        <f>E38/E31</f>
        <v>0.73468071519795664</v>
      </c>
      <c r="F40" s="131">
        <f t="shared" ref="F40" si="78">F38/F31</f>
        <v>0.71169220945083012</v>
      </c>
      <c r="G40" s="131">
        <f>G38/G31</f>
        <v>0.35473180076628347</v>
      </c>
      <c r="H40" s="131">
        <f t="shared" si="77"/>
        <v>0.30880151387720778</v>
      </c>
      <c r="I40" s="131">
        <f t="shared" ref="I40:J40" si="79">I38/I31</f>
        <v>0.59036398467432949</v>
      </c>
      <c r="J40" s="131">
        <f t="shared" si="79"/>
        <v>0.58499999999999996</v>
      </c>
      <c r="K40" s="131">
        <f t="shared" ref="K40:M40" si="80">K38/K31</f>
        <v>0.52692685102586978</v>
      </c>
      <c r="L40" s="131">
        <f t="shared" si="80"/>
        <v>0.58383720930232563</v>
      </c>
      <c r="M40" s="131">
        <f t="shared" si="80"/>
        <v>0.52514598540145985</v>
      </c>
      <c r="N40" s="131">
        <f t="shared" si="77"/>
        <v>0.29462343096234311</v>
      </c>
      <c r="O40" s="131">
        <f t="shared" si="77"/>
        <v>0.65474595842956118</v>
      </c>
      <c r="P40" s="131">
        <f t="shared" ref="P40:Q40" si="81">P38/P31</f>
        <v>0.63396073903002315</v>
      </c>
      <c r="Q40" s="131">
        <f t="shared" si="81"/>
        <v>0.56929561200923784</v>
      </c>
      <c r="R40" s="104"/>
      <c r="S40" s="131">
        <f t="shared" si="77"/>
        <v>0.39827455061085437</v>
      </c>
      <c r="T40"/>
      <c r="U40" s="83" t="s">
        <v>21</v>
      </c>
      <c r="V40"/>
      <c r="W40" s="89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s="133" customFormat="1" ht="15" thickBot="1"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83"/>
      <c r="P41" s="183"/>
      <c r="Q41" s="183"/>
      <c r="R41" s="134"/>
      <c r="V41"/>
      <c r="W41" s="89"/>
      <c r="X41"/>
      <c r="Y41"/>
      <c r="Z41"/>
      <c r="AA41"/>
      <c r="AB41"/>
    </row>
    <row r="42" spans="1:35" s="135" customFormat="1" ht="15" thickBot="1">
      <c r="A42" s="163" t="s">
        <v>0</v>
      </c>
      <c r="B42" s="136"/>
      <c r="C42" s="136"/>
      <c r="D42" s="146">
        <v>0.94</v>
      </c>
      <c r="E42" s="146">
        <v>0.98</v>
      </c>
      <c r="F42" s="146">
        <v>1.07</v>
      </c>
      <c r="G42" s="146">
        <f>G7</f>
        <v>6.58</v>
      </c>
      <c r="H42" s="146">
        <f t="shared" ref="H42:Q42" si="82">H7</f>
        <v>12.06</v>
      </c>
      <c r="I42" s="146">
        <f t="shared" si="82"/>
        <v>1.03</v>
      </c>
      <c r="J42" s="146">
        <f t="shared" si="82"/>
        <v>1.74</v>
      </c>
      <c r="K42" s="146">
        <f t="shared" si="82"/>
        <v>0.79</v>
      </c>
      <c r="L42" s="146">
        <f t="shared" si="82"/>
        <v>0.69</v>
      </c>
      <c r="M42" s="146">
        <f t="shared" si="82"/>
        <v>1.19</v>
      </c>
      <c r="N42" s="146">
        <f t="shared" si="82"/>
        <v>13.2</v>
      </c>
      <c r="O42" s="146">
        <f t="shared" si="82"/>
        <v>1.43</v>
      </c>
      <c r="P42" s="146">
        <f t="shared" si="82"/>
        <v>1.52</v>
      </c>
      <c r="Q42" s="146">
        <f t="shared" si="82"/>
        <v>1.8</v>
      </c>
      <c r="S42" s="137"/>
      <c r="U42" s="135" t="s">
        <v>21</v>
      </c>
      <c r="W42" s="87"/>
    </row>
    <row r="43" spans="1:35"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W43" s="76"/>
    </row>
    <row r="44" spans="1:35"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</row>
    <row r="45" spans="1:35"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</row>
    <row r="46" spans="1:35"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</row>
    <row r="47" spans="1:35"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</row>
    <row r="48" spans="1:35"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</row>
    <row r="49" spans="4:19"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</row>
    <row r="50" spans="4:19"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</row>
    <row r="51" spans="4:19"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</row>
    <row r="52" spans="4:19"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</row>
    <row r="53" spans="4:19"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</row>
    <row r="54" spans="4:19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</row>
    <row r="55" spans="4:19"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</row>
    <row r="56" spans="4:19"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</row>
    <row r="57" spans="4:19"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</row>
    <row r="58" spans="4:19"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</row>
    <row r="59" spans="4:19"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</row>
    <row r="60" spans="4:19"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</row>
    <row r="61" spans="4:19"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</row>
    <row r="62" spans="4:19"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</row>
    <row r="63" spans="4:19"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</row>
    <row r="64" spans="4:19"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</row>
    <row r="65" spans="4:19"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</row>
    <row r="66" spans="4:19"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</row>
    <row r="67" spans="4:19"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</row>
    <row r="68" spans="4:19"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</row>
    <row r="69" spans="4:19"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</row>
    <row r="70" spans="4:19"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</row>
    <row r="71" spans="4:19"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</row>
    <row r="72" spans="4:19"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</row>
    <row r="73" spans="4:19"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</row>
    <row r="74" spans="4:19"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</row>
    <row r="75" spans="4:19"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</row>
    <row r="76" spans="4:19"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</row>
    <row r="77" spans="4:19"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</row>
    <row r="78" spans="4:19"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</row>
    <row r="79" spans="4:19"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</row>
    <row r="80" spans="4:19"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</row>
    <row r="81" spans="4:19"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</row>
    <row r="82" spans="4:19"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</row>
    <row r="83" spans="4:19"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</row>
    <row r="84" spans="4:19"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</row>
    <row r="85" spans="4:19"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</row>
    <row r="86" spans="4:19"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</row>
    <row r="87" spans="4:19"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</row>
    <row r="88" spans="4:19"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</row>
    <row r="89" spans="4:19"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</row>
    <row r="90" spans="4:19"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</row>
    <row r="91" spans="4:19"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</row>
    <row r="92" spans="4:19"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</row>
    <row r="93" spans="4:19"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</row>
    <row r="94" spans="4:19"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</row>
    <row r="95" spans="4:19"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</row>
    <row r="96" spans="4:19"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</row>
    <row r="97" spans="4:19"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</row>
    <row r="98" spans="4:19"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</row>
    <row r="99" spans="4:19"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</row>
    <row r="100" spans="4:19"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</row>
    <row r="101" spans="4:19"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</row>
    <row r="102" spans="4:19"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</row>
    <row r="103" spans="4:19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</row>
    <row r="104" spans="4:19"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</row>
    <row r="105" spans="4:19"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</row>
    <row r="106" spans="4:19"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</row>
    <row r="107" spans="4:19"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</row>
    <row r="108" spans="4:19"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</row>
    <row r="109" spans="4:19"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</row>
    <row r="110" spans="4:19"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</row>
    <row r="111" spans="4:19"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</row>
    <row r="112" spans="4:19"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</row>
    <row r="113" spans="4:19"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</row>
    <row r="114" spans="4:19"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</row>
    <row r="115" spans="4:19"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</row>
    <row r="116" spans="4:19"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</row>
    <row r="117" spans="4:19"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</row>
    <row r="118" spans="4:19"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</row>
    <row r="119" spans="4:19"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</row>
    <row r="120" spans="4:19"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</row>
    <row r="121" spans="4:19"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</row>
    <row r="122" spans="4:19"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</row>
    <row r="123" spans="4:19"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</row>
    <row r="124" spans="4:19"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</row>
    <row r="125" spans="4:19"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</row>
    <row r="126" spans="4:19"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</row>
    <row r="127" spans="4:19"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</row>
    <row r="128" spans="4:19"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</row>
    <row r="129" spans="4:19"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</row>
    <row r="130" spans="4:19"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</row>
    <row r="131" spans="4:19"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</row>
    <row r="132" spans="4:19"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</row>
    <row r="133" spans="4:19"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</row>
    <row r="134" spans="4:19"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</row>
    <row r="135" spans="4:19"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</row>
    <row r="136" spans="4:19"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</row>
    <row r="137" spans="4:19"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</row>
    <row r="138" spans="4:19"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</row>
    <row r="139" spans="4:19"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</row>
    <row r="140" spans="4:19"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</row>
    <row r="141" spans="4:19"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</row>
    <row r="142" spans="4:19"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</row>
    <row r="143" spans="4:19"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</row>
    <row r="144" spans="4:19"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</row>
    <row r="145" spans="4:19"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</row>
    <row r="146" spans="4:19"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</row>
    <row r="147" spans="4:19"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</row>
    <row r="148" spans="4:19"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</row>
    <row r="149" spans="4:19"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</row>
    <row r="150" spans="4:19"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</row>
    <row r="151" spans="4:19"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</row>
    <row r="152" spans="4:19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</row>
    <row r="153" spans="4:19"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</row>
    <row r="154" spans="4:19"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</row>
    <row r="155" spans="4:19"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</row>
    <row r="156" spans="4:19"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</row>
    <row r="157" spans="4:19"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</row>
    <row r="158" spans="4:19"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</row>
    <row r="159" spans="4:19"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</row>
    <row r="160" spans="4:19"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</row>
    <row r="161" spans="4:19"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</row>
    <row r="162" spans="4:19"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</row>
    <row r="163" spans="4:19"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</row>
    <row r="164" spans="4:19"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</row>
    <row r="165" spans="4:19"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</row>
    <row r="166" spans="4:19"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</row>
    <row r="167" spans="4:19"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</row>
    <row r="168" spans="4:19"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</row>
    <row r="169" spans="4:19"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</row>
    <row r="170" spans="4:19"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</row>
    <row r="171" spans="4:19"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</row>
    <row r="172" spans="4:19"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</row>
    <row r="173" spans="4:19"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</row>
    <row r="174" spans="4:19"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</row>
    <row r="175" spans="4:19"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</row>
    <row r="176" spans="4:19"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</row>
    <row r="177" spans="4:19"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</row>
    <row r="178" spans="4:19"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</row>
    <row r="179" spans="4:19"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</row>
    <row r="180" spans="4:19"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</row>
    <row r="181" spans="4:19"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</row>
    <row r="182" spans="4:19"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</row>
    <row r="183" spans="4:19"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</row>
    <row r="184" spans="4:19"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</row>
    <row r="185" spans="4:19"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</row>
    <row r="186" spans="4:19"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</row>
    <row r="187" spans="4:19"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</row>
    <row r="188" spans="4:19"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</row>
    <row r="189" spans="4:19"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</row>
    <row r="190" spans="4:19"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</row>
    <row r="191" spans="4:19"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</row>
    <row r="192" spans="4:19"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</row>
    <row r="193" spans="4:19"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</row>
    <row r="194" spans="4:19"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</row>
    <row r="195" spans="4:19"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</row>
    <row r="196" spans="4:19"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</row>
    <row r="197" spans="4:19"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</row>
    <row r="198" spans="4:19"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</row>
    <row r="199" spans="4:19"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</row>
    <row r="200" spans="4:19"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</row>
    <row r="201" spans="4:19"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</row>
    <row r="202" spans="4:19"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</row>
    <row r="203" spans="4:19"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</row>
    <row r="204" spans="4:19"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</row>
    <row r="205" spans="4:19"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</row>
    <row r="206" spans="4:19"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</row>
    <row r="207" spans="4:19"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</row>
    <row r="208" spans="4:19"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</row>
    <row r="209" spans="4:19"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</row>
    <row r="210" spans="4:19"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</row>
    <row r="211" spans="4:19"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</row>
    <row r="212" spans="4:19"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</row>
    <row r="213" spans="4:19"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</row>
    <row r="214" spans="4:19"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</row>
    <row r="215" spans="4:19"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</row>
    <row r="216" spans="4:19"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</row>
    <row r="217" spans="4:19"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</row>
    <row r="218" spans="4:19"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</row>
    <row r="219" spans="4:19"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</row>
    <row r="220" spans="4:19"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</row>
    <row r="221" spans="4:19"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</row>
    <row r="222" spans="4:19"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</row>
    <row r="223" spans="4:19"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</row>
    <row r="224" spans="4:19"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</row>
    <row r="225" spans="4:19"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</row>
    <row r="226" spans="4:19"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</row>
    <row r="227" spans="4:19"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</row>
    <row r="228" spans="4:19"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</row>
    <row r="229" spans="4:19"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</row>
    <row r="230" spans="4:19"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</row>
    <row r="231" spans="4:19"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</row>
    <row r="232" spans="4:19"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</row>
    <row r="233" spans="4:19"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</row>
    <row r="234" spans="4:19"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</row>
    <row r="235" spans="4:19"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</row>
    <row r="236" spans="4:19"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</row>
    <row r="237" spans="4:19"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</row>
    <row r="238" spans="4:19"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</row>
    <row r="239" spans="4:19"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</row>
    <row r="240" spans="4:19"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</row>
    <row r="241" spans="4:19"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</row>
    <row r="242" spans="4:19"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</row>
    <row r="243" spans="4:19"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</row>
    <row r="244" spans="4:19"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</row>
    <row r="245" spans="4:19"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</row>
    <row r="246" spans="4:19"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</row>
    <row r="247" spans="4:19"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</row>
    <row r="248" spans="4:19"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</row>
    <row r="249" spans="4:19"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</row>
    <row r="250" spans="4:19"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</row>
    <row r="251" spans="4:19"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</row>
    <row r="252" spans="4:19"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</row>
    <row r="253" spans="4:19"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</row>
    <row r="254" spans="4:19"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</row>
    <row r="255" spans="4:19"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</row>
    <row r="256" spans="4:19"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</row>
    <row r="257" spans="4:19"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</row>
    <row r="258" spans="4:19"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</row>
    <row r="259" spans="4:19"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</row>
    <row r="260" spans="4:19"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</row>
    <row r="261" spans="4:19"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</row>
    <row r="262" spans="4:19"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</row>
    <row r="263" spans="4:19"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</row>
    <row r="264" spans="4:19"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</row>
    <row r="265" spans="4:19"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</row>
    <row r="266" spans="4:19"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</row>
    <row r="267" spans="4:19"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</row>
    <row r="268" spans="4:19"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</row>
    <row r="269" spans="4:19"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</row>
    <row r="270" spans="4:19"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</row>
    <row r="271" spans="4:19"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</row>
    <row r="272" spans="4:19"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</row>
    <row r="273" spans="4:19"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</row>
    <row r="274" spans="4:19"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</row>
    <row r="275" spans="4:19"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</row>
    <row r="276" spans="4:19"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</row>
    <row r="277" spans="4:19"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</row>
    <row r="278" spans="4:19"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</row>
    <row r="279" spans="4:19"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</row>
    <row r="280" spans="4:19"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</row>
    <row r="281" spans="4:19"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</row>
    <row r="282" spans="4:19"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</row>
    <row r="283" spans="4:19"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</row>
    <row r="284" spans="4:19"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</row>
    <row r="285" spans="4:19"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</row>
    <row r="286" spans="4:19"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</row>
    <row r="287" spans="4:19"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</row>
    <row r="288" spans="4:19"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</row>
    <row r="289" spans="4:19"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</row>
    <row r="290" spans="4:19"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</row>
    <row r="291" spans="4:19"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</row>
    <row r="292" spans="4:19"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</row>
    <row r="293" spans="4:19"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</row>
    <row r="294" spans="4:19"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</row>
    <row r="295" spans="4:19"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</row>
    <row r="296" spans="4:19"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</row>
    <row r="297" spans="4:19"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</row>
    <row r="298" spans="4:19"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</row>
    <row r="299" spans="4:19"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</row>
    <row r="300" spans="4:19"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</row>
    <row r="301" spans="4:19"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</row>
    <row r="302" spans="4:19"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</row>
    <row r="303" spans="4:19"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</row>
    <row r="304" spans="4:19"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</row>
    <row r="305" spans="4:19"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</row>
    <row r="306" spans="4:19"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</row>
    <row r="307" spans="4:19"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</row>
    <row r="308" spans="4:19"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</row>
    <row r="309" spans="4:19"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</row>
    <row r="310" spans="4:19"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</row>
    <row r="311" spans="4:19"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</row>
    <row r="312" spans="4:19"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</row>
    <row r="313" spans="4:19"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</row>
    <row r="314" spans="4:19"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</row>
    <row r="315" spans="4:19"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</row>
    <row r="316" spans="4:19"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</row>
    <row r="317" spans="4:19"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</row>
    <row r="318" spans="4:19"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</row>
    <row r="319" spans="4:19"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</row>
    <row r="320" spans="4:19"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</row>
    <row r="321" spans="4:19"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</row>
    <row r="322" spans="4:19"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</row>
    <row r="323" spans="4:19"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</row>
    <row r="324" spans="4:19"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</row>
    <row r="325" spans="4:19"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</row>
    <row r="326" spans="4:19"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</row>
    <row r="327" spans="4:19"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</row>
    <row r="328" spans="4:19"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</row>
    <row r="329" spans="4:19"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</row>
    <row r="330" spans="4:19"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</row>
    <row r="331" spans="4:19"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</row>
    <row r="332" spans="4:19"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</row>
    <row r="333" spans="4:19"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</row>
    <row r="334" spans="4:19"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</row>
    <row r="335" spans="4:19"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</row>
    <row r="336" spans="4:19"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</row>
    <row r="337" spans="4:19"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</row>
    <row r="338" spans="4:19"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</row>
    <row r="339" spans="4:19"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</row>
    <row r="340" spans="4:19"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</row>
    <row r="341" spans="4:19"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</row>
    <row r="342" spans="4:19"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</row>
    <row r="343" spans="4:19"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</row>
    <row r="344" spans="4:19"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</row>
    <row r="345" spans="4:19"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</row>
    <row r="346" spans="4:19"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</row>
    <row r="347" spans="4:19"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</row>
    <row r="348" spans="4:19"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</row>
    <row r="349" spans="4:19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</row>
    <row r="350" spans="4:19"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</row>
    <row r="351" spans="4:19"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</row>
    <row r="352" spans="4:19"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</row>
    <row r="353" spans="4:19"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</row>
    <row r="354" spans="4:19"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</row>
    <row r="355" spans="4:19"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</row>
    <row r="356" spans="4:19"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</row>
    <row r="357" spans="4:19"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</row>
    <row r="358" spans="4:19"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</row>
    <row r="359" spans="4:19"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</row>
    <row r="360" spans="4:19"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</row>
    <row r="361" spans="4:19"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</row>
    <row r="362" spans="4:19"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</row>
    <row r="363" spans="4:19"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</row>
    <row r="364" spans="4:19"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</row>
    <row r="365" spans="4:19"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</row>
    <row r="366" spans="4:19"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</row>
    <row r="367" spans="4:19"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</row>
    <row r="368" spans="4:19"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</row>
    <row r="369" spans="4:19"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</row>
    <row r="370" spans="4:19"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</row>
    <row r="371" spans="4:19"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</row>
    <row r="372" spans="4:19"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</row>
    <row r="373" spans="4:19"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</row>
    <row r="374" spans="4:19"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</row>
    <row r="375" spans="4:19"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</row>
    <row r="376" spans="4:19"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</row>
    <row r="377" spans="4:19"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</row>
    <row r="378" spans="4:19"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</row>
    <row r="379" spans="4:19"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</row>
    <row r="380" spans="4:19"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</row>
    <row r="381" spans="4:19"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</row>
    <row r="382" spans="4:19"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</row>
    <row r="383" spans="4:19"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</row>
    <row r="384" spans="4:19"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</row>
    <row r="385" spans="4:19"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</row>
    <row r="386" spans="4:19"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</row>
    <row r="387" spans="4:19"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</row>
    <row r="388" spans="4:19"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</row>
    <row r="389" spans="4:19"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</row>
    <row r="390" spans="4:19"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</row>
    <row r="391" spans="4:19"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</row>
    <row r="392" spans="4:19"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</row>
    <row r="393" spans="4:19"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</row>
    <row r="394" spans="4:19"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</row>
    <row r="395" spans="4:19"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</row>
    <row r="396" spans="4:19"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</row>
    <row r="397" spans="4:19"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</row>
    <row r="398" spans="4:19"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</row>
    <row r="399" spans="4:19"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</row>
    <row r="400" spans="4:19"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</row>
    <row r="401" spans="4:19"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</row>
    <row r="402" spans="4:19"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</row>
    <row r="403" spans="4:19"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</row>
    <row r="404" spans="4:19"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</row>
    <row r="405" spans="4:19"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</row>
    <row r="406" spans="4:19"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</row>
    <row r="407" spans="4:19"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</row>
    <row r="408" spans="4:19"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</row>
    <row r="409" spans="4:19"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</row>
    <row r="410" spans="4:19"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</row>
    <row r="411" spans="4:19"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</row>
    <row r="412" spans="4:19"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</row>
    <row r="413" spans="4:19"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</row>
    <row r="414" spans="4:19"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</row>
    <row r="415" spans="4:19"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</row>
    <row r="416" spans="4:19"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</row>
    <row r="417" spans="4:19"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</row>
    <row r="418" spans="4:19"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</row>
    <row r="419" spans="4:19"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</row>
    <row r="420" spans="4:19"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</row>
    <row r="421" spans="4:19"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</row>
    <row r="422" spans="4:19"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</row>
    <row r="423" spans="4:19"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</row>
    <row r="424" spans="4:19"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</row>
    <row r="425" spans="4:19"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</row>
    <row r="426" spans="4:19"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</row>
    <row r="427" spans="4:19"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</row>
    <row r="428" spans="4:19"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</row>
    <row r="429" spans="4:19"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</row>
    <row r="430" spans="4:19"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</row>
    <row r="431" spans="4:19"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</row>
    <row r="432" spans="4:19"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</row>
    <row r="433" spans="4:19"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</row>
    <row r="434" spans="4:19"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</row>
    <row r="435" spans="4:19"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</row>
    <row r="436" spans="4:19"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</row>
    <row r="437" spans="4:19"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</row>
    <row r="438" spans="4:19"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</row>
    <row r="439" spans="4:19"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</row>
    <row r="440" spans="4:19"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</row>
    <row r="441" spans="4:19"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</row>
    <row r="442" spans="4:19"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</row>
    <row r="443" spans="4:19"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</row>
    <row r="444" spans="4:19"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</row>
    <row r="445" spans="4:19"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</row>
    <row r="446" spans="4:19"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</row>
    <row r="447" spans="4:19"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</row>
    <row r="448" spans="4:19"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</row>
    <row r="449" spans="4:19"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</row>
    <row r="450" spans="4:19"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</row>
    <row r="451" spans="4:19"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</row>
    <row r="452" spans="4:19"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</row>
    <row r="453" spans="4:19"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</row>
    <row r="454" spans="4:19"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</row>
    <row r="455" spans="4:19"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</row>
    <row r="456" spans="4:19"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</row>
    <row r="457" spans="4:19"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</row>
    <row r="458" spans="4:19"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</row>
    <row r="459" spans="4:19"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</row>
    <row r="460" spans="4:19"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</row>
    <row r="461" spans="4:19"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</row>
    <row r="462" spans="4:19"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</row>
    <row r="463" spans="4:19"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</row>
    <row r="464" spans="4:19"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</row>
    <row r="465" spans="4:19"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</row>
    <row r="466" spans="4:19"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</row>
    <row r="467" spans="4:19"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</row>
    <row r="468" spans="4:19"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</row>
    <row r="469" spans="4:19"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</row>
    <row r="470" spans="4:19"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</row>
    <row r="471" spans="4:19"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</row>
    <row r="472" spans="4:19"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</row>
    <row r="473" spans="4:19"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</row>
    <row r="474" spans="4:19"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</row>
    <row r="475" spans="4:19"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</row>
    <row r="476" spans="4:19"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</row>
    <row r="477" spans="4:19"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</row>
    <row r="478" spans="4:19"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</row>
    <row r="479" spans="4:19"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</row>
    <row r="480" spans="4:19"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</row>
    <row r="481" spans="4:19"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</row>
    <row r="482" spans="4:19"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</row>
    <row r="483" spans="4:19"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</row>
    <row r="484" spans="4:19"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</row>
    <row r="485" spans="4:19"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</row>
    <row r="486" spans="4:19"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</row>
    <row r="487" spans="4:19"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</row>
    <row r="488" spans="4:19"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</row>
    <row r="489" spans="4:19"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</row>
    <row r="490" spans="4:19"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</row>
    <row r="491" spans="4:19"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</row>
    <row r="492" spans="4:19"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</row>
    <row r="493" spans="4:19"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</row>
    <row r="494" spans="4:19"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</row>
    <row r="495" spans="4:19"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</row>
    <row r="496" spans="4:19"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</row>
    <row r="497" spans="4:19"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</row>
    <row r="498" spans="4:19"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</row>
    <row r="499" spans="4:19"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</row>
    <row r="500" spans="4:19"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</row>
    <row r="501" spans="4:19"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</row>
    <row r="502" spans="4:19"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</row>
    <row r="503" spans="4:19"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</row>
    <row r="504" spans="4:19"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</row>
    <row r="505" spans="4:19"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</row>
    <row r="506" spans="4:19"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</row>
    <row r="507" spans="4:19"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</row>
    <row r="508" spans="4:19"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</row>
    <row r="509" spans="4:19"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</row>
    <row r="510" spans="4:19"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</row>
    <row r="511" spans="4:19"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</row>
    <row r="512" spans="4:19"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</row>
    <row r="513" spans="4:19"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</row>
    <row r="514" spans="4:19"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</row>
    <row r="515" spans="4:19"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</row>
    <row r="516" spans="4:19"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</row>
    <row r="517" spans="4:19"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</row>
    <row r="518" spans="4:19"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</row>
    <row r="519" spans="4:19"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</row>
    <row r="520" spans="4:19"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</row>
    <row r="521" spans="4:19"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</row>
    <row r="522" spans="4:19"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</row>
    <row r="523" spans="4:19"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</row>
    <row r="524" spans="4:19"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</row>
    <row r="525" spans="4:19"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</row>
    <row r="526" spans="4:19"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</row>
    <row r="527" spans="4:19"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</row>
    <row r="528" spans="4:19"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</row>
    <row r="529" spans="4:19"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</row>
    <row r="530" spans="4:19"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</row>
    <row r="531" spans="4:19"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</row>
    <row r="532" spans="4:19"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</row>
    <row r="533" spans="4:19"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</row>
    <row r="534" spans="4:19"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</row>
    <row r="535" spans="4:19"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</row>
    <row r="536" spans="4:19"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</row>
    <row r="537" spans="4:19"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</row>
    <row r="538" spans="4:19"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</row>
    <row r="539" spans="4:19"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</row>
    <row r="540" spans="4:19"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</row>
    <row r="541" spans="4:19"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</row>
    <row r="542" spans="4:19"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</row>
    <row r="543" spans="4:19"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</row>
    <row r="544" spans="4:19"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</row>
    <row r="545" spans="4:19"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</row>
    <row r="546" spans="4:19"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</row>
    <row r="547" spans="4:19"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</row>
    <row r="548" spans="4:19"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</row>
    <row r="549" spans="4:19"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</row>
    <row r="550" spans="4:19"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</row>
    <row r="551" spans="4:19"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</row>
    <row r="552" spans="4:19"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</row>
    <row r="553" spans="4:19"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</row>
    <row r="554" spans="4:19"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</row>
    <row r="555" spans="4:19"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</row>
    <row r="556" spans="4:19"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</row>
    <row r="557" spans="4:19"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</row>
    <row r="558" spans="4:19"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</row>
    <row r="559" spans="4:19"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</row>
    <row r="560" spans="4:19"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</row>
    <row r="561" spans="4:19"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</row>
    <row r="562" spans="4:19"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</row>
    <row r="563" spans="4:19"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</row>
    <row r="564" spans="4:19"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</row>
    <row r="565" spans="4:19"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</row>
    <row r="566" spans="4:19"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</row>
    <row r="567" spans="4:19"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</row>
    <row r="568" spans="4:19"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</row>
    <row r="569" spans="4:19"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</row>
    <row r="570" spans="4:19"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</row>
    <row r="571" spans="4:19"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</row>
    <row r="572" spans="4:19"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</row>
    <row r="573" spans="4:19"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</row>
    <row r="574" spans="4:19"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</row>
    <row r="575" spans="4:19"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</row>
    <row r="576" spans="4:19"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</row>
    <row r="577" spans="4:19"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</row>
    <row r="578" spans="4:19"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</row>
    <row r="579" spans="4:19"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</row>
    <row r="580" spans="4:19"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</row>
    <row r="581" spans="4:19"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</row>
    <row r="582" spans="4:19"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</row>
    <row r="583" spans="4:19"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</row>
    <row r="584" spans="4:19"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</row>
    <row r="585" spans="4:19"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</row>
    <row r="586" spans="4:19"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</row>
    <row r="587" spans="4:19"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</row>
    <row r="588" spans="4:19"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</row>
    <row r="589" spans="4:19"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</row>
    <row r="590" spans="4:19"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</row>
    <row r="591" spans="4:19"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</row>
    <row r="592" spans="4:19"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</row>
    <row r="593" spans="4:19"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</row>
    <row r="594" spans="4:19"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</row>
    <row r="595" spans="4:19"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</row>
    <row r="596" spans="4:19"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</row>
    <row r="597" spans="4:19"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</row>
    <row r="598" spans="4:19"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</row>
    <row r="599" spans="4:19"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</row>
    <row r="600" spans="4:19"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</row>
    <row r="601" spans="4:19"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</row>
    <row r="602" spans="4:19"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</row>
    <row r="603" spans="4:19"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</row>
    <row r="604" spans="4:19"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</row>
    <row r="605" spans="4:19"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</row>
    <row r="606" spans="4:19"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</row>
    <row r="607" spans="4:19"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</row>
    <row r="608" spans="4:19"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</row>
    <row r="609" spans="4:19"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</row>
    <row r="610" spans="4:19"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</row>
    <row r="611" spans="4:19"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</row>
    <row r="612" spans="4:19"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</row>
    <row r="613" spans="4:19"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</row>
    <row r="614" spans="4:19"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</row>
    <row r="615" spans="4:19"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</row>
    <row r="616" spans="4:19"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</row>
    <row r="617" spans="4:19"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</row>
    <row r="618" spans="4:19"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</row>
    <row r="619" spans="4:19"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</row>
    <row r="620" spans="4:19"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</row>
    <row r="621" spans="4:19"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</row>
    <row r="622" spans="4:19"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</row>
    <row r="623" spans="4:19"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</row>
    <row r="624" spans="4:19"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</row>
    <row r="625" spans="4:19"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</row>
    <row r="626" spans="4:19"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</row>
    <row r="627" spans="4:19"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</row>
    <row r="628" spans="4:19"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</row>
    <row r="629" spans="4:19"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</row>
    <row r="630" spans="4:19"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</row>
    <row r="631" spans="4:19"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</row>
    <row r="632" spans="4:19"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</row>
    <row r="633" spans="4:19"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</row>
    <row r="634" spans="4:19"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</row>
    <row r="635" spans="4:19"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</row>
    <row r="636" spans="4:19"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</row>
    <row r="637" spans="4:19"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</row>
    <row r="638" spans="4:19"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</row>
    <row r="639" spans="4:19"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</row>
    <row r="640" spans="4:19"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</row>
    <row r="641" spans="4:19"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</row>
    <row r="642" spans="4:19"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</row>
    <row r="643" spans="4:19"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</row>
    <row r="644" spans="4:19"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</row>
    <row r="645" spans="4:19"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</row>
    <row r="646" spans="4:19"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</row>
    <row r="647" spans="4:19"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</row>
    <row r="648" spans="4:19"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</row>
    <row r="649" spans="4:19"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</row>
    <row r="650" spans="4:19"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</row>
    <row r="651" spans="4:19"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</row>
    <row r="652" spans="4:19"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</row>
    <row r="653" spans="4:19"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</row>
    <row r="654" spans="4:19"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</row>
    <row r="655" spans="4:19"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</row>
    <row r="656" spans="4:19"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</row>
    <row r="657" spans="4:19"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</row>
    <row r="658" spans="4:19"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</row>
    <row r="659" spans="4:19"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</row>
    <row r="660" spans="4:19"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</row>
    <row r="661" spans="4:19"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</row>
    <row r="662" spans="4:19"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</row>
    <row r="663" spans="4:19"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</row>
    <row r="664" spans="4:19"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</row>
    <row r="665" spans="4:19"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</row>
    <row r="666" spans="4:19"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</row>
    <row r="667" spans="4:19"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</row>
    <row r="668" spans="4:19"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</row>
    <row r="669" spans="4:19"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</row>
    <row r="670" spans="4:19"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</row>
    <row r="671" spans="4:19"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</row>
    <row r="672" spans="4:19"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</row>
    <row r="673" spans="4:19"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</row>
    <row r="674" spans="4:19"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</row>
    <row r="675" spans="4:19"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</row>
    <row r="676" spans="4:19"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</row>
    <row r="677" spans="4:19"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</row>
    <row r="678" spans="4:19"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</row>
    <row r="679" spans="4:19"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</row>
    <row r="680" spans="4:19"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</row>
    <row r="681" spans="4:19"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</row>
    <row r="682" spans="4:19"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</row>
    <row r="683" spans="4:19"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</row>
    <row r="684" spans="4:19"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</row>
    <row r="685" spans="4:19"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</row>
    <row r="686" spans="4:19"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</row>
    <row r="687" spans="4:19"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</row>
    <row r="688" spans="4:19"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</row>
    <row r="689" spans="4:19"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</row>
    <row r="690" spans="4:19"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</row>
    <row r="691" spans="4:19"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</row>
    <row r="692" spans="4:19"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</row>
    <row r="693" spans="4:19"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</row>
    <row r="694" spans="4:19"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</row>
    <row r="695" spans="4:19"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</row>
    <row r="696" spans="4:19"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</row>
    <row r="697" spans="4:19"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</row>
    <row r="698" spans="4:19"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</row>
    <row r="699" spans="4:19"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</row>
    <row r="700" spans="4:19"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</row>
    <row r="701" spans="4:19"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</row>
    <row r="702" spans="4:19"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</row>
    <row r="703" spans="4:19"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</row>
    <row r="704" spans="4:19"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</row>
    <row r="705" spans="4:19"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</row>
    <row r="706" spans="4:19"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</row>
    <row r="707" spans="4:19"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</row>
    <row r="708" spans="4:19"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</row>
    <row r="709" spans="4:19"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</row>
    <row r="710" spans="4:19"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</row>
    <row r="711" spans="4:19"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</row>
    <row r="712" spans="4:19"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</row>
    <row r="713" spans="4:19"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</row>
    <row r="714" spans="4:19"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</row>
    <row r="715" spans="4:19"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</row>
    <row r="716" spans="4:19"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</row>
    <row r="717" spans="4:19"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</row>
    <row r="718" spans="4:19"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</row>
    <row r="719" spans="4:19"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</row>
    <row r="720" spans="4:19"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</row>
    <row r="721" spans="4:19"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</row>
    <row r="722" spans="4:19"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</row>
    <row r="723" spans="4:19"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</row>
    <row r="724" spans="4:19"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</row>
    <row r="725" spans="4:19"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</row>
    <row r="726" spans="4:19"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</row>
    <row r="727" spans="4:19"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</row>
    <row r="728" spans="4:19"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</row>
    <row r="729" spans="4:19"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</row>
    <row r="730" spans="4:19"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</row>
    <row r="731" spans="4:19"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</row>
    <row r="732" spans="4:19"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</row>
    <row r="733" spans="4:19"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</row>
    <row r="734" spans="4:19"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</row>
    <row r="735" spans="4:19"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</row>
    <row r="736" spans="4:19"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</row>
    <row r="737" spans="4:19"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</row>
    <row r="738" spans="4:19"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</row>
    <row r="739" spans="4:19"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</row>
    <row r="740" spans="4:19"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</row>
    <row r="741" spans="4:19"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</row>
    <row r="742" spans="4:19"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</row>
    <row r="743" spans="4:19"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</row>
    <row r="744" spans="4:19"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</row>
    <row r="745" spans="4:19"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</row>
    <row r="746" spans="4:19"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</row>
    <row r="747" spans="4:19"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</row>
    <row r="748" spans="4:19"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</row>
    <row r="749" spans="4:19"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</row>
    <row r="750" spans="4:19"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</row>
    <row r="751" spans="4:19"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</row>
    <row r="752" spans="4:19"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</row>
    <row r="753" spans="4:19"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</row>
    <row r="754" spans="4:19"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</row>
    <row r="755" spans="4:19"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</row>
    <row r="756" spans="4:19"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</row>
    <row r="757" spans="4:19"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</row>
    <row r="758" spans="4:19"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</row>
    <row r="759" spans="4:19"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</row>
    <row r="760" spans="4:19"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</row>
    <row r="761" spans="4:19"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</row>
    <row r="762" spans="4:19"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</row>
    <row r="763" spans="4:19"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</row>
    <row r="764" spans="4:19"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</row>
    <row r="765" spans="4:19"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</row>
    <row r="766" spans="4:19"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</row>
    <row r="767" spans="4:19"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</row>
    <row r="768" spans="4:19"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</row>
    <row r="769" spans="4:19"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</row>
    <row r="770" spans="4:19"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</row>
    <row r="771" spans="4:19"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</row>
    <row r="772" spans="4:19"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</row>
    <row r="773" spans="4:19"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</row>
    <row r="774" spans="4:19"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</row>
    <row r="775" spans="4:19"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</row>
    <row r="776" spans="4:19"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</row>
    <row r="777" spans="4:19"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</row>
    <row r="778" spans="4:19"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</row>
    <row r="779" spans="4:19"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</row>
    <row r="780" spans="4:19"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</row>
    <row r="781" spans="4:19"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</row>
    <row r="782" spans="4:19"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</row>
    <row r="783" spans="4:19"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</row>
    <row r="784" spans="4:19"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</row>
    <row r="785" spans="4:19"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</row>
    <row r="786" spans="4:19"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</row>
    <row r="787" spans="4:19"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</row>
    <row r="788" spans="4:19"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</row>
    <row r="789" spans="4:19"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</row>
    <row r="790" spans="4:19"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</row>
    <row r="791" spans="4:19"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</row>
    <row r="792" spans="4:19"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</row>
    <row r="793" spans="4:19"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</row>
    <row r="794" spans="4:19"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</row>
    <row r="795" spans="4:19"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</row>
    <row r="796" spans="4:19"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</row>
    <row r="797" spans="4:19"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</row>
    <row r="798" spans="4:19"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</row>
    <row r="799" spans="4:19"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</row>
    <row r="800" spans="4:19"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</row>
    <row r="801" spans="4:19"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</row>
    <row r="802" spans="4:19"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</row>
    <row r="803" spans="4:19"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</row>
    <row r="804" spans="4:19"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</row>
    <row r="805" spans="4:19"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</row>
    <row r="806" spans="4:19"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</row>
    <row r="807" spans="4:19"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</row>
    <row r="808" spans="4:19"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</row>
    <row r="809" spans="4:19"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</row>
    <row r="810" spans="4:19"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</row>
    <row r="811" spans="4:19"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</row>
    <row r="812" spans="4:19"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</row>
    <row r="813" spans="4:19"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</row>
    <row r="814" spans="4:19"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</row>
    <row r="815" spans="4:19"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</row>
    <row r="816" spans="4:19"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</row>
    <row r="817" spans="4:19"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</row>
    <row r="818" spans="4:19"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</row>
    <row r="819" spans="4:19"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</row>
    <row r="820" spans="4:19"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</row>
    <row r="821" spans="4:19"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</row>
    <row r="822" spans="4:19"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</row>
    <row r="823" spans="4:19"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</row>
    <row r="824" spans="4:19"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</row>
    <row r="825" spans="4:19"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</row>
    <row r="826" spans="4:19"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</row>
    <row r="827" spans="4:19"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</row>
    <row r="828" spans="4:19"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</row>
    <row r="829" spans="4:19"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</row>
    <row r="830" spans="4:19"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</row>
    <row r="831" spans="4:19"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</row>
    <row r="832" spans="4:19"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</row>
    <row r="833" spans="4:19"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</row>
    <row r="834" spans="4:19"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</row>
    <row r="835" spans="4:19"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</row>
    <row r="836" spans="4:19"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</row>
    <row r="837" spans="4:19"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</row>
    <row r="838" spans="4:19"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</row>
    <row r="839" spans="4:19"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</row>
    <row r="840" spans="4:19"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</row>
    <row r="841" spans="4:19"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</row>
    <row r="842" spans="4:19"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</row>
    <row r="843" spans="4:19"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</row>
    <row r="844" spans="4:19"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</row>
    <row r="845" spans="4:19"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</row>
    <row r="846" spans="4:19"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</row>
    <row r="847" spans="4:19"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</row>
    <row r="848" spans="4:19"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</row>
    <row r="849" spans="4:19"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</row>
    <row r="850" spans="4:19"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</row>
    <row r="851" spans="4:19"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</row>
    <row r="852" spans="4:19"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</row>
    <row r="853" spans="4:19"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</row>
    <row r="854" spans="4:19"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</row>
    <row r="855" spans="4:19"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</row>
    <row r="856" spans="4:19"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</row>
    <row r="857" spans="4:19"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</row>
    <row r="858" spans="4:19"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</row>
    <row r="859" spans="4:19"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</row>
    <row r="860" spans="4:19"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</row>
    <row r="861" spans="4:19"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</row>
    <row r="862" spans="4:19"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</row>
    <row r="863" spans="4:19"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</row>
    <row r="864" spans="4:19"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</row>
    <row r="865" spans="4:19"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</row>
    <row r="866" spans="4:19"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</row>
    <row r="867" spans="4:19"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</row>
    <row r="868" spans="4:19"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</row>
    <row r="869" spans="4:19"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</row>
    <row r="870" spans="4:19"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</row>
    <row r="871" spans="4:19"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</row>
    <row r="872" spans="4:19"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</row>
    <row r="873" spans="4:19"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</row>
    <row r="874" spans="4:19"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</row>
    <row r="875" spans="4:19"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</row>
    <row r="876" spans="4:19"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</row>
    <row r="877" spans="4:19"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</row>
    <row r="878" spans="4:19"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</row>
    <row r="879" spans="4:19"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</row>
    <row r="880" spans="4:19"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</row>
    <row r="881" spans="4:19"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</row>
    <row r="882" spans="4:19"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</row>
    <row r="883" spans="4:19"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</row>
    <row r="884" spans="4:19"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</row>
    <row r="885" spans="4:19"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</row>
    <row r="886" spans="4:19"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</row>
    <row r="887" spans="4:19"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</row>
    <row r="888" spans="4:19"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</row>
    <row r="889" spans="4:19"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</row>
    <row r="890" spans="4:19"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</row>
    <row r="891" spans="4:19"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</row>
    <row r="892" spans="4:19"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</row>
    <row r="893" spans="4:19"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</row>
    <row r="894" spans="4:19"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</row>
    <row r="895" spans="4:19"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</row>
    <row r="896" spans="4:19"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</row>
    <row r="897" spans="4:19"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</row>
    <row r="898" spans="4:19"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</row>
    <row r="899" spans="4:19"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</row>
    <row r="900" spans="4:19"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</row>
    <row r="901" spans="4:19"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</row>
    <row r="902" spans="4:19"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</row>
    <row r="903" spans="4:19"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</row>
    <row r="904" spans="4:19"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</row>
    <row r="905" spans="4:19"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</row>
    <row r="906" spans="4:19"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</row>
    <row r="907" spans="4:19"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</row>
    <row r="908" spans="4:19"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</row>
    <row r="909" spans="4:19"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</row>
    <row r="910" spans="4:19"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</row>
    <row r="911" spans="4:19"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</row>
    <row r="912" spans="4:19"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</row>
    <row r="913" spans="4:19"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</row>
    <row r="914" spans="4:19"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</row>
    <row r="915" spans="4:19"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</row>
    <row r="916" spans="4:19"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</row>
    <row r="917" spans="4:19"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</row>
    <row r="918" spans="4:19"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</row>
    <row r="919" spans="4:19"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</row>
    <row r="920" spans="4:19"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</row>
    <row r="921" spans="4:19"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</row>
    <row r="922" spans="4:19"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</row>
    <row r="923" spans="4:19"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</row>
    <row r="924" spans="4:19"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</row>
    <row r="925" spans="4:19"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</row>
    <row r="926" spans="4:19"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</row>
    <row r="927" spans="4:19"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</row>
    <row r="928" spans="4:19"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</row>
    <row r="929" spans="4:19"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</row>
    <row r="930" spans="4:19"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</row>
    <row r="931" spans="4:19"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</row>
    <row r="932" spans="4:19"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</row>
    <row r="933" spans="4:19"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</row>
    <row r="934" spans="4:19"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</row>
    <row r="935" spans="4:19"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</row>
    <row r="936" spans="4:19"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</row>
    <row r="937" spans="4:19"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</row>
    <row r="938" spans="4:19"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</row>
    <row r="939" spans="4:19"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</row>
    <row r="940" spans="4:19"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</row>
    <row r="941" spans="4:19"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</row>
    <row r="942" spans="4:19"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</row>
    <row r="943" spans="4:19"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</row>
    <row r="944" spans="4:19"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</row>
    <row r="945" spans="4:19"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</row>
    <row r="946" spans="4:19"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</row>
    <row r="947" spans="4:19"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</row>
    <row r="948" spans="4:19"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</row>
    <row r="949" spans="4:19"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</row>
    <row r="950" spans="4:19"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</row>
    <row r="951" spans="4:19"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</row>
    <row r="952" spans="4:19"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</row>
    <row r="953" spans="4:19"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</row>
    <row r="954" spans="4:19"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</row>
    <row r="955" spans="4:19"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</row>
    <row r="956" spans="4:19"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</row>
    <row r="957" spans="4:19"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</row>
    <row r="958" spans="4:19"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</row>
    <row r="959" spans="4:19"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</row>
    <row r="960" spans="4:19"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</row>
    <row r="961" spans="4:19"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</row>
    <row r="962" spans="4:19"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</row>
    <row r="963" spans="4:19"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</row>
    <row r="964" spans="4:19"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</row>
    <row r="965" spans="4:19"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</row>
    <row r="966" spans="4:19"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</row>
    <row r="967" spans="4:19"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</row>
    <row r="968" spans="4:19"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</row>
    <row r="969" spans="4:19"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</row>
    <row r="970" spans="4:19"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</row>
    <row r="971" spans="4:19"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</row>
    <row r="972" spans="4:19"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</row>
    <row r="973" spans="4:19"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</row>
    <row r="974" spans="4:19"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</row>
    <row r="975" spans="4:19"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</row>
    <row r="976" spans="4:19"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</row>
    <row r="977" spans="4:19"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</row>
    <row r="978" spans="4:19"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</row>
    <row r="979" spans="4:19"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</row>
    <row r="980" spans="4:19"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</row>
    <row r="981" spans="4:19"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</row>
    <row r="982" spans="4:19"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</row>
    <row r="983" spans="4:19"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</row>
    <row r="984" spans="4:19"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</row>
    <row r="985" spans="4:19"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</row>
    <row r="986" spans="4:19"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</row>
    <row r="987" spans="4:19"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</row>
    <row r="988" spans="4:19"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</row>
    <row r="989" spans="4:19"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</row>
    <row r="990" spans="4:19"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</row>
    <row r="991" spans="4:19"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</row>
    <row r="992" spans="4:19"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</row>
    <row r="993" spans="4:19"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</row>
    <row r="994" spans="4:19"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</row>
    <row r="995" spans="4:19"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</row>
    <row r="996" spans="4:19"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</row>
    <row r="997" spans="4:19"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</row>
    <row r="998" spans="4:19"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</row>
    <row r="999" spans="4:19"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</row>
    <row r="1000" spans="4:19"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</row>
    <row r="1001" spans="4:19"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</row>
    <row r="1002" spans="4:19"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</row>
    <row r="1003" spans="4:19"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</row>
    <row r="1004" spans="4:19"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</row>
    <row r="1005" spans="4:19"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</row>
    <row r="1006" spans="4:19">
      <c r="D1006" s="104"/>
      <c r="E1006" s="104"/>
      <c r="F1006" s="104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</row>
    <row r="1007" spans="4:19">
      <c r="D1007" s="104"/>
      <c r="E1007" s="104"/>
      <c r="F1007" s="104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</row>
    <row r="1008" spans="4:19">
      <c r="D1008" s="104"/>
      <c r="E1008" s="104"/>
      <c r="F1008" s="104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</row>
    <row r="1009" spans="4:19">
      <c r="D1009" s="104"/>
      <c r="E1009" s="104"/>
      <c r="F1009" s="104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</row>
    <row r="1010" spans="4:19">
      <c r="D1010" s="104"/>
      <c r="E1010" s="104"/>
      <c r="F1010" s="104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</row>
    <row r="1011" spans="4:19">
      <c r="D1011" s="104"/>
      <c r="E1011" s="104"/>
      <c r="F1011" s="104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</row>
    <row r="1012" spans="4:19">
      <c r="D1012" s="104"/>
      <c r="E1012" s="104"/>
      <c r="F1012" s="104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</row>
    <row r="1013" spans="4:19">
      <c r="D1013" s="104"/>
      <c r="E1013" s="104"/>
      <c r="F1013" s="104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</row>
    <row r="1014" spans="4:19">
      <c r="D1014" s="104"/>
      <c r="E1014" s="104"/>
      <c r="F1014" s="104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</row>
    <row r="1015" spans="4:19">
      <c r="D1015" s="104"/>
      <c r="E1015" s="104"/>
      <c r="F1015" s="104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</row>
    <row r="1016" spans="4:19">
      <c r="D1016" s="104"/>
      <c r="E1016" s="104"/>
      <c r="F1016" s="104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</row>
    <row r="1017" spans="4:19">
      <c r="D1017" s="104"/>
      <c r="E1017" s="104"/>
      <c r="F1017" s="104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</row>
    <row r="1018" spans="4:19">
      <c r="D1018" s="104"/>
      <c r="E1018" s="104"/>
      <c r="F1018" s="104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</row>
    <row r="1019" spans="4:19">
      <c r="D1019" s="104"/>
      <c r="E1019" s="104"/>
      <c r="F1019" s="104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</row>
    <row r="1020" spans="4:19">
      <c r="D1020" s="104"/>
      <c r="E1020" s="104"/>
      <c r="F1020" s="104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</row>
    <row r="1021" spans="4:19">
      <c r="D1021" s="104"/>
      <c r="E1021" s="104"/>
      <c r="F1021" s="104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</row>
    <row r="1022" spans="4:19">
      <c r="D1022" s="104"/>
      <c r="E1022" s="104"/>
      <c r="F1022" s="104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</row>
    <row r="1023" spans="4:19">
      <c r="D1023" s="104"/>
      <c r="E1023" s="104"/>
      <c r="F1023" s="104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</row>
    <row r="1024" spans="4:19">
      <c r="D1024" s="104"/>
      <c r="E1024" s="104"/>
      <c r="F1024" s="104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</row>
    <row r="1025" spans="4:19">
      <c r="D1025" s="104"/>
      <c r="E1025" s="104"/>
      <c r="F1025" s="104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</row>
    <row r="1026" spans="4:19">
      <c r="D1026" s="104"/>
      <c r="E1026" s="104"/>
      <c r="F1026" s="104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</row>
    <row r="1027" spans="4:19">
      <c r="D1027" s="104"/>
      <c r="E1027" s="104"/>
      <c r="F1027" s="104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</row>
    <row r="1028" spans="4:19">
      <c r="D1028" s="104"/>
      <c r="E1028" s="104"/>
      <c r="F1028" s="104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</row>
    <row r="1029" spans="4:19">
      <c r="D1029" s="104"/>
      <c r="E1029" s="104"/>
      <c r="F1029" s="104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</row>
    <row r="1030" spans="4:19">
      <c r="D1030" s="104"/>
      <c r="E1030" s="104"/>
      <c r="F1030" s="104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</row>
    <row r="1031" spans="4:19">
      <c r="D1031" s="104"/>
      <c r="E1031" s="104"/>
      <c r="F1031" s="104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</row>
    <row r="1032" spans="4:19">
      <c r="D1032" s="104"/>
      <c r="E1032" s="104"/>
      <c r="F1032" s="104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</row>
    <row r="1033" spans="4:19">
      <c r="D1033" s="104"/>
      <c r="E1033" s="104"/>
      <c r="F1033" s="104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</row>
    <row r="1034" spans="4:19">
      <c r="D1034" s="104"/>
      <c r="E1034" s="104"/>
      <c r="F1034" s="104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</row>
    <row r="1035" spans="4:19">
      <c r="D1035" s="104"/>
      <c r="E1035" s="104"/>
      <c r="F1035" s="104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</row>
    <row r="1036" spans="4:19">
      <c r="D1036" s="104"/>
      <c r="E1036" s="104"/>
      <c r="F1036" s="104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</row>
    <row r="1037" spans="4:19">
      <c r="D1037" s="104"/>
      <c r="E1037" s="104"/>
      <c r="F1037" s="104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</row>
    <row r="1038" spans="4:19">
      <c r="D1038" s="104"/>
      <c r="E1038" s="104"/>
      <c r="F1038" s="104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</row>
    <row r="1039" spans="4:19">
      <c r="D1039" s="104"/>
      <c r="E1039" s="104"/>
      <c r="F1039" s="104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</row>
    <row r="1040" spans="4:19">
      <c r="D1040" s="104"/>
      <c r="E1040" s="104"/>
      <c r="F1040" s="104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</row>
    <row r="1041" spans="4:19">
      <c r="D1041" s="104"/>
      <c r="E1041" s="104"/>
      <c r="F1041" s="104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</row>
    <row r="1042" spans="4:19">
      <c r="D1042" s="104"/>
      <c r="E1042" s="104"/>
      <c r="F1042" s="104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</row>
    <row r="1043" spans="4:19">
      <c r="D1043" s="104"/>
      <c r="E1043" s="104"/>
      <c r="F1043" s="104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</row>
    <row r="1044" spans="4:19">
      <c r="D1044" s="104"/>
      <c r="E1044" s="104"/>
      <c r="F1044" s="104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</row>
    <row r="1045" spans="4:19">
      <c r="D1045" s="104"/>
      <c r="E1045" s="104"/>
      <c r="F1045" s="104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</row>
    <row r="1046" spans="4:19">
      <c r="D1046" s="104"/>
      <c r="E1046" s="104"/>
      <c r="F1046" s="104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</row>
    <row r="1047" spans="4:19">
      <c r="D1047" s="104"/>
      <c r="E1047" s="104"/>
      <c r="F1047" s="104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</row>
    <row r="1048" spans="4:19">
      <c r="D1048" s="104"/>
      <c r="E1048" s="104"/>
      <c r="F1048" s="104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</row>
    <row r="1049" spans="4:19">
      <c r="D1049" s="104"/>
      <c r="E1049" s="104"/>
      <c r="F1049" s="104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</row>
    <row r="1050" spans="4:19">
      <c r="D1050" s="104"/>
      <c r="E1050" s="104"/>
      <c r="F1050" s="104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</row>
    <row r="1051" spans="4:19">
      <c r="D1051" s="104"/>
      <c r="E1051" s="104"/>
      <c r="F1051" s="104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</row>
    <row r="1052" spans="4:19">
      <c r="D1052" s="104"/>
      <c r="E1052" s="104"/>
      <c r="F1052" s="104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</row>
    <row r="1053" spans="4:19">
      <c r="D1053" s="104"/>
      <c r="E1053" s="104"/>
      <c r="F1053" s="104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</row>
    <row r="1054" spans="4:19">
      <c r="D1054" s="104"/>
      <c r="E1054" s="104"/>
      <c r="F1054" s="104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</row>
    <row r="1055" spans="4:19">
      <c r="D1055" s="104"/>
      <c r="E1055" s="104"/>
      <c r="F1055" s="104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</row>
    <row r="1056" spans="4:19">
      <c r="D1056" s="104"/>
      <c r="E1056" s="104"/>
      <c r="F1056" s="104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</row>
    <row r="1057" spans="4:19">
      <c r="D1057" s="104"/>
      <c r="E1057" s="104"/>
      <c r="F1057" s="104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</row>
    <row r="1058" spans="4:19">
      <c r="D1058" s="104"/>
      <c r="E1058" s="104"/>
      <c r="F1058" s="104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</row>
    <row r="1059" spans="4:19">
      <c r="D1059" s="104"/>
      <c r="E1059" s="104"/>
      <c r="F1059" s="104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</row>
    <row r="1060" spans="4:19">
      <c r="D1060" s="104"/>
      <c r="E1060" s="104"/>
      <c r="F1060" s="104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</row>
    <row r="1061" spans="4:19">
      <c r="D1061" s="104"/>
      <c r="E1061" s="104"/>
      <c r="F1061" s="104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</row>
    <row r="1062" spans="4:19">
      <c r="D1062" s="104"/>
      <c r="E1062" s="104"/>
      <c r="F1062" s="104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</row>
    <row r="1063" spans="4:19">
      <c r="D1063" s="104"/>
      <c r="E1063" s="104"/>
      <c r="F1063" s="104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</row>
    <row r="1064" spans="4:19">
      <c r="D1064" s="104"/>
      <c r="E1064" s="104"/>
      <c r="F1064" s="104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</row>
    <row r="1065" spans="4:19">
      <c r="D1065" s="104"/>
      <c r="E1065" s="104"/>
      <c r="F1065" s="104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</row>
    <row r="1066" spans="4:19">
      <c r="D1066" s="104"/>
      <c r="E1066" s="104"/>
      <c r="F1066" s="104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</row>
    <row r="1067" spans="4:19">
      <c r="D1067" s="104"/>
      <c r="E1067" s="104"/>
      <c r="F1067" s="104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</row>
    <row r="1068" spans="4:19">
      <c r="D1068" s="104"/>
      <c r="E1068" s="104"/>
      <c r="F1068" s="104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</row>
    <row r="1069" spans="4:19">
      <c r="D1069" s="104"/>
      <c r="E1069" s="104"/>
      <c r="F1069" s="104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</row>
    <row r="1070" spans="4:19">
      <c r="D1070" s="104"/>
      <c r="E1070" s="104"/>
      <c r="F1070" s="104"/>
      <c r="G1070" s="104"/>
      <c r="H1070" s="104"/>
      <c r="I1070" s="104"/>
      <c r="J1070" s="104"/>
      <c r="K1070" s="104"/>
      <c r="L1070" s="104"/>
      <c r="M1070" s="104"/>
      <c r="N1070" s="104"/>
      <c r="O1070" s="104"/>
      <c r="P1070" s="104"/>
      <c r="Q1070" s="104"/>
      <c r="R1070" s="104"/>
      <c r="S1070" s="104"/>
    </row>
    <row r="1071" spans="4:19">
      <c r="D1071" s="104"/>
      <c r="E1071" s="104"/>
      <c r="F1071" s="104"/>
      <c r="G1071" s="104"/>
      <c r="H1071" s="104"/>
      <c r="I1071" s="104"/>
      <c r="J1071" s="104"/>
      <c r="K1071" s="104"/>
      <c r="L1071" s="104"/>
      <c r="M1071" s="104"/>
      <c r="N1071" s="104"/>
      <c r="O1071" s="104"/>
      <c r="P1071" s="104"/>
      <c r="Q1071" s="104"/>
      <c r="R1071" s="104"/>
      <c r="S1071" s="104"/>
    </row>
    <row r="1072" spans="4:19">
      <c r="D1072" s="104"/>
      <c r="E1072" s="104"/>
      <c r="F1072" s="104"/>
      <c r="G1072" s="104"/>
      <c r="H1072" s="104"/>
      <c r="I1072" s="104"/>
      <c r="J1072" s="104"/>
      <c r="K1072" s="104"/>
      <c r="L1072" s="104"/>
      <c r="M1072" s="104"/>
      <c r="N1072" s="104"/>
      <c r="O1072" s="104"/>
      <c r="P1072" s="104"/>
      <c r="Q1072" s="104"/>
      <c r="R1072" s="104"/>
      <c r="S1072" s="104"/>
    </row>
    <row r="1073" spans="4:19">
      <c r="D1073" s="104"/>
      <c r="E1073" s="104"/>
      <c r="F1073" s="104"/>
      <c r="G1073" s="104"/>
      <c r="H1073" s="104"/>
      <c r="I1073" s="104"/>
      <c r="J1073" s="104"/>
      <c r="K1073" s="104"/>
      <c r="L1073" s="104"/>
      <c r="M1073" s="104"/>
      <c r="N1073" s="104"/>
      <c r="O1073" s="104"/>
      <c r="P1073" s="104"/>
      <c r="Q1073" s="104"/>
      <c r="R1073" s="104"/>
      <c r="S1073" s="104"/>
    </row>
    <row r="1074" spans="4:19">
      <c r="D1074" s="104"/>
      <c r="E1074" s="104"/>
      <c r="F1074" s="104"/>
      <c r="G1074" s="104"/>
      <c r="H1074" s="104"/>
      <c r="I1074" s="104"/>
      <c r="J1074" s="104"/>
      <c r="K1074" s="104"/>
      <c r="L1074" s="104"/>
      <c r="M1074" s="104"/>
      <c r="N1074" s="104"/>
      <c r="O1074" s="104"/>
      <c r="P1074" s="104"/>
      <c r="Q1074" s="104"/>
      <c r="R1074" s="104"/>
      <c r="S1074" s="104"/>
    </row>
    <row r="1075" spans="4:19">
      <c r="D1075" s="104"/>
      <c r="E1075" s="104"/>
      <c r="F1075" s="104"/>
      <c r="G1075" s="104"/>
      <c r="H1075" s="104"/>
      <c r="I1075" s="104"/>
      <c r="J1075" s="104"/>
      <c r="K1075" s="104"/>
      <c r="L1075" s="104"/>
      <c r="M1075" s="104"/>
      <c r="N1075" s="104"/>
      <c r="O1075" s="104"/>
      <c r="P1075" s="104"/>
      <c r="Q1075" s="104"/>
      <c r="R1075" s="104"/>
      <c r="S1075" s="104"/>
    </row>
    <row r="1076" spans="4:19">
      <c r="D1076" s="104"/>
      <c r="E1076" s="104"/>
      <c r="F1076" s="104"/>
      <c r="G1076" s="104"/>
      <c r="H1076" s="104"/>
      <c r="I1076" s="104"/>
      <c r="J1076" s="104"/>
      <c r="K1076" s="104"/>
      <c r="L1076" s="104"/>
      <c r="M1076" s="104"/>
      <c r="N1076" s="104"/>
      <c r="O1076" s="104"/>
      <c r="P1076" s="104"/>
      <c r="Q1076" s="104"/>
      <c r="R1076" s="104"/>
      <c r="S1076" s="104"/>
    </row>
    <row r="1077" spans="4:19">
      <c r="D1077" s="104"/>
      <c r="E1077" s="104"/>
      <c r="F1077" s="104"/>
      <c r="G1077" s="104"/>
      <c r="H1077" s="104"/>
      <c r="I1077" s="104"/>
      <c r="J1077" s="104"/>
      <c r="K1077" s="104"/>
      <c r="L1077" s="104"/>
      <c r="M1077" s="104"/>
      <c r="N1077" s="104"/>
      <c r="O1077" s="104"/>
      <c r="P1077" s="104"/>
      <c r="Q1077" s="104"/>
      <c r="R1077" s="104"/>
      <c r="S1077" s="104"/>
    </row>
    <row r="1078" spans="4:19">
      <c r="D1078" s="104"/>
      <c r="E1078" s="104"/>
      <c r="F1078" s="104"/>
      <c r="G1078" s="104"/>
      <c r="H1078" s="104"/>
      <c r="I1078" s="104"/>
      <c r="J1078" s="104"/>
      <c r="K1078" s="104"/>
      <c r="L1078" s="104"/>
      <c r="M1078" s="104"/>
      <c r="N1078" s="104"/>
      <c r="O1078" s="104"/>
      <c r="P1078" s="104"/>
      <c r="Q1078" s="104"/>
      <c r="R1078" s="104"/>
      <c r="S1078" s="104"/>
    </row>
    <row r="1079" spans="4:19">
      <c r="D1079" s="104"/>
      <c r="E1079" s="104"/>
      <c r="F1079" s="104"/>
      <c r="G1079" s="104"/>
      <c r="H1079" s="104"/>
      <c r="I1079" s="104"/>
      <c r="J1079" s="104"/>
      <c r="K1079" s="104"/>
      <c r="L1079" s="104"/>
      <c r="M1079" s="104"/>
      <c r="N1079" s="104"/>
      <c r="O1079" s="104"/>
      <c r="P1079" s="104"/>
      <c r="Q1079" s="104"/>
      <c r="R1079" s="104"/>
      <c r="S1079" s="104"/>
    </row>
    <row r="1080" spans="4:19">
      <c r="D1080" s="104"/>
      <c r="E1080" s="104"/>
      <c r="F1080" s="104"/>
      <c r="G1080" s="104"/>
      <c r="H1080" s="104"/>
      <c r="I1080" s="104"/>
      <c r="J1080" s="104"/>
      <c r="K1080" s="104"/>
      <c r="L1080" s="104"/>
      <c r="M1080" s="104"/>
      <c r="N1080" s="104"/>
      <c r="O1080" s="104"/>
      <c r="P1080" s="104"/>
      <c r="Q1080" s="104"/>
      <c r="R1080" s="104"/>
      <c r="S1080" s="104"/>
    </row>
    <row r="1081" spans="4:19">
      <c r="D1081" s="104"/>
      <c r="E1081" s="104"/>
      <c r="F1081" s="104"/>
      <c r="G1081" s="104"/>
      <c r="H1081" s="104"/>
      <c r="I1081" s="104"/>
      <c r="J1081" s="104"/>
      <c r="K1081" s="104"/>
      <c r="L1081" s="104"/>
      <c r="M1081" s="104"/>
      <c r="N1081" s="104"/>
      <c r="O1081" s="104"/>
      <c r="P1081" s="104"/>
      <c r="Q1081" s="104"/>
      <c r="R1081" s="104"/>
      <c r="S1081" s="104"/>
    </row>
    <row r="1082" spans="4:19">
      <c r="D1082" s="104"/>
      <c r="E1082" s="104"/>
      <c r="F1082" s="104"/>
      <c r="G1082" s="104"/>
      <c r="H1082" s="104"/>
      <c r="I1082" s="104"/>
      <c r="J1082" s="104"/>
      <c r="K1082" s="104"/>
      <c r="L1082" s="104"/>
      <c r="M1082" s="104"/>
      <c r="N1082" s="104"/>
      <c r="O1082" s="104"/>
      <c r="P1082" s="104"/>
      <c r="Q1082" s="104"/>
      <c r="R1082" s="104"/>
      <c r="S1082" s="104"/>
    </row>
    <row r="1083" spans="4:19">
      <c r="D1083" s="104"/>
      <c r="E1083" s="104"/>
      <c r="F1083" s="104"/>
      <c r="G1083" s="104"/>
      <c r="H1083" s="104"/>
      <c r="I1083" s="104"/>
      <c r="J1083" s="104"/>
      <c r="K1083" s="104"/>
      <c r="L1083" s="104"/>
      <c r="M1083" s="104"/>
      <c r="N1083" s="104"/>
      <c r="O1083" s="104"/>
      <c r="P1083" s="104"/>
      <c r="Q1083" s="104"/>
      <c r="R1083" s="104"/>
      <c r="S1083" s="104"/>
    </row>
    <row r="1084" spans="4:19">
      <c r="D1084" s="104"/>
      <c r="E1084" s="104"/>
      <c r="F1084" s="104"/>
      <c r="G1084" s="104"/>
      <c r="H1084" s="104"/>
      <c r="I1084" s="104"/>
      <c r="J1084" s="104"/>
      <c r="K1084" s="104"/>
      <c r="L1084" s="104"/>
      <c r="M1084" s="104"/>
      <c r="N1084" s="104"/>
      <c r="O1084" s="104"/>
      <c r="P1084" s="104"/>
      <c r="Q1084" s="104"/>
      <c r="R1084" s="104"/>
      <c r="S1084" s="104"/>
    </row>
    <row r="1085" spans="4:19">
      <c r="D1085" s="104"/>
      <c r="E1085" s="104"/>
      <c r="F1085" s="104"/>
      <c r="G1085" s="104"/>
      <c r="H1085" s="104"/>
      <c r="I1085" s="104"/>
      <c r="J1085" s="104"/>
      <c r="K1085" s="104"/>
      <c r="L1085" s="104"/>
      <c r="M1085" s="104"/>
      <c r="N1085" s="104"/>
      <c r="O1085" s="104"/>
      <c r="P1085" s="104"/>
      <c r="Q1085" s="104"/>
      <c r="R1085" s="104"/>
      <c r="S1085" s="104"/>
    </row>
    <row r="1086" spans="4:19">
      <c r="D1086" s="104"/>
      <c r="E1086" s="104"/>
      <c r="F1086" s="104"/>
      <c r="G1086" s="104"/>
      <c r="H1086" s="104"/>
      <c r="I1086" s="104"/>
      <c r="J1086" s="104"/>
      <c r="K1086" s="104"/>
      <c r="L1086" s="104"/>
      <c r="M1086" s="104"/>
      <c r="N1086" s="104"/>
      <c r="O1086" s="104"/>
      <c r="P1086" s="104"/>
      <c r="Q1086" s="104"/>
      <c r="R1086" s="104"/>
      <c r="S1086" s="104"/>
    </row>
    <row r="1087" spans="4:19">
      <c r="D1087" s="104"/>
      <c r="E1087" s="104"/>
      <c r="F1087" s="104"/>
      <c r="G1087" s="104"/>
      <c r="H1087" s="104"/>
      <c r="I1087" s="104"/>
      <c r="J1087" s="104"/>
      <c r="K1087" s="104"/>
      <c r="L1087" s="104"/>
      <c r="M1087" s="104"/>
      <c r="N1087" s="104"/>
      <c r="O1087" s="104"/>
      <c r="P1087" s="104"/>
      <c r="Q1087" s="104"/>
      <c r="R1087" s="104"/>
      <c r="S1087" s="104"/>
    </row>
    <row r="1088" spans="4:19">
      <c r="D1088" s="104"/>
      <c r="E1088" s="104"/>
      <c r="F1088" s="104"/>
      <c r="G1088" s="104"/>
      <c r="H1088" s="104"/>
      <c r="I1088" s="104"/>
      <c r="J1088" s="104"/>
      <c r="K1088" s="104"/>
      <c r="L1088" s="104"/>
      <c r="M1088" s="104"/>
      <c r="N1088" s="104"/>
      <c r="O1088" s="104"/>
      <c r="P1088" s="104"/>
      <c r="Q1088" s="104"/>
      <c r="R1088" s="104"/>
      <c r="S1088" s="104"/>
    </row>
    <row r="1089" spans="4:19">
      <c r="D1089" s="104"/>
      <c r="E1089" s="104"/>
      <c r="F1089" s="104"/>
      <c r="G1089" s="104"/>
      <c r="H1089" s="104"/>
      <c r="I1089" s="104"/>
      <c r="J1089" s="104"/>
      <c r="K1089" s="104"/>
      <c r="L1089" s="104"/>
      <c r="M1089" s="104"/>
      <c r="N1089" s="104"/>
      <c r="O1089" s="104"/>
      <c r="P1089" s="104"/>
      <c r="Q1089" s="104"/>
      <c r="R1089" s="104"/>
      <c r="S1089" s="104"/>
    </row>
    <row r="1090" spans="4:19">
      <c r="D1090" s="104"/>
      <c r="E1090" s="104"/>
      <c r="F1090" s="104"/>
      <c r="G1090" s="104"/>
      <c r="H1090" s="104"/>
      <c r="I1090" s="104"/>
      <c r="J1090" s="104"/>
      <c r="K1090" s="104"/>
      <c r="L1090" s="104"/>
      <c r="M1090" s="104"/>
      <c r="N1090" s="104"/>
      <c r="O1090" s="104"/>
      <c r="P1090" s="104"/>
      <c r="Q1090" s="104"/>
      <c r="R1090" s="104"/>
      <c r="S1090" s="104"/>
    </row>
    <row r="1091" spans="4:19">
      <c r="D1091" s="104"/>
      <c r="E1091" s="104"/>
      <c r="F1091" s="104"/>
      <c r="G1091" s="104"/>
      <c r="H1091" s="104"/>
      <c r="I1091" s="104"/>
      <c r="J1091" s="104"/>
      <c r="K1091" s="104"/>
      <c r="L1091" s="104"/>
      <c r="M1091" s="104"/>
      <c r="N1091" s="104"/>
      <c r="O1091" s="104"/>
      <c r="P1091" s="104"/>
      <c r="Q1091" s="104"/>
      <c r="R1091" s="104"/>
      <c r="S1091" s="104"/>
    </row>
    <row r="1092" spans="4:19">
      <c r="D1092" s="104"/>
      <c r="E1092" s="104"/>
      <c r="F1092" s="104"/>
      <c r="G1092" s="104"/>
      <c r="H1092" s="104"/>
      <c r="I1092" s="104"/>
      <c r="J1092" s="104"/>
      <c r="K1092" s="104"/>
      <c r="L1092" s="104"/>
      <c r="M1092" s="104"/>
      <c r="N1092" s="104"/>
      <c r="O1092" s="104"/>
      <c r="P1092" s="104"/>
      <c r="Q1092" s="104"/>
      <c r="R1092" s="104"/>
      <c r="S1092" s="104"/>
    </row>
    <row r="1093" spans="4:19">
      <c r="D1093" s="104"/>
      <c r="E1093" s="104"/>
      <c r="F1093" s="104"/>
      <c r="G1093" s="104"/>
      <c r="H1093" s="104"/>
      <c r="I1093" s="104"/>
      <c r="J1093" s="104"/>
      <c r="K1093" s="104"/>
      <c r="L1093" s="104"/>
      <c r="M1093" s="104"/>
      <c r="N1093" s="104"/>
      <c r="O1093" s="104"/>
      <c r="P1093" s="104"/>
      <c r="Q1093" s="104"/>
      <c r="R1093" s="104"/>
      <c r="S1093" s="104"/>
    </row>
    <row r="1094" spans="4:19">
      <c r="D1094" s="104"/>
      <c r="E1094" s="104"/>
      <c r="F1094" s="104"/>
      <c r="G1094" s="104"/>
      <c r="H1094" s="104"/>
      <c r="I1094" s="104"/>
      <c r="J1094" s="104"/>
      <c r="K1094" s="104"/>
      <c r="L1094" s="104"/>
      <c r="M1094" s="104"/>
      <c r="N1094" s="104"/>
      <c r="O1094" s="104"/>
      <c r="P1094" s="104"/>
      <c r="Q1094" s="104"/>
      <c r="R1094" s="104"/>
      <c r="S1094" s="104"/>
    </row>
    <row r="1095" spans="4:19">
      <c r="D1095" s="104"/>
      <c r="E1095" s="104"/>
      <c r="F1095" s="104"/>
      <c r="G1095" s="104"/>
      <c r="H1095" s="104"/>
      <c r="I1095" s="104"/>
      <c r="J1095" s="104"/>
      <c r="K1095" s="104"/>
      <c r="L1095" s="104"/>
      <c r="M1095" s="104"/>
      <c r="N1095" s="104"/>
      <c r="O1095" s="104"/>
      <c r="P1095" s="104"/>
      <c r="Q1095" s="104"/>
      <c r="R1095" s="104"/>
      <c r="S1095" s="104"/>
    </row>
    <row r="1096" spans="4:19">
      <c r="D1096" s="104"/>
      <c r="E1096" s="104"/>
      <c r="F1096" s="104"/>
      <c r="G1096" s="104"/>
      <c r="H1096" s="104"/>
      <c r="I1096" s="104"/>
      <c r="J1096" s="104"/>
      <c r="K1096" s="104"/>
      <c r="L1096" s="104"/>
      <c r="M1096" s="104"/>
      <c r="N1096" s="104"/>
      <c r="O1096" s="104"/>
      <c r="P1096" s="104"/>
      <c r="Q1096" s="104"/>
      <c r="R1096" s="104"/>
      <c r="S1096" s="104"/>
    </row>
    <row r="1097" spans="4:19">
      <c r="D1097" s="104"/>
      <c r="E1097" s="104"/>
      <c r="F1097" s="104"/>
      <c r="G1097" s="104"/>
      <c r="H1097" s="104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104"/>
    </row>
    <row r="1098" spans="4:19">
      <c r="D1098" s="104"/>
      <c r="E1098" s="104"/>
      <c r="F1098" s="104"/>
      <c r="G1098" s="104"/>
      <c r="H1098" s="104"/>
      <c r="I1098" s="104"/>
      <c r="J1098" s="104"/>
      <c r="K1098" s="104"/>
      <c r="L1098" s="104"/>
      <c r="M1098" s="104"/>
      <c r="N1098" s="104"/>
      <c r="O1098" s="104"/>
      <c r="P1098" s="104"/>
      <c r="Q1098" s="104"/>
      <c r="R1098" s="104"/>
      <c r="S1098" s="104"/>
    </row>
    <row r="1099" spans="4:19">
      <c r="D1099" s="104"/>
      <c r="E1099" s="104"/>
      <c r="F1099" s="104"/>
      <c r="G1099" s="104"/>
      <c r="H1099" s="104"/>
      <c r="I1099" s="104"/>
      <c r="J1099" s="104"/>
      <c r="K1099" s="104"/>
      <c r="L1099" s="104"/>
      <c r="M1099" s="104"/>
      <c r="N1099" s="104"/>
      <c r="O1099" s="104"/>
      <c r="P1099" s="104"/>
      <c r="Q1099" s="104"/>
      <c r="R1099" s="104"/>
      <c r="S1099" s="104"/>
    </row>
    <row r="1100" spans="4:19">
      <c r="D1100" s="104"/>
      <c r="E1100" s="104"/>
      <c r="F1100" s="104"/>
      <c r="G1100" s="104"/>
      <c r="H1100" s="104"/>
      <c r="I1100" s="104"/>
      <c r="J1100" s="104"/>
      <c r="K1100" s="104"/>
      <c r="L1100" s="104"/>
      <c r="M1100" s="104"/>
      <c r="N1100" s="104"/>
      <c r="O1100" s="104"/>
      <c r="P1100" s="104"/>
      <c r="Q1100" s="104"/>
      <c r="R1100" s="104"/>
      <c r="S1100" s="104"/>
    </row>
    <row r="1101" spans="4:19">
      <c r="D1101" s="104"/>
      <c r="E1101" s="104"/>
      <c r="F1101" s="104"/>
      <c r="G1101" s="104"/>
      <c r="H1101" s="104"/>
      <c r="I1101" s="104"/>
      <c r="J1101" s="104"/>
      <c r="K1101" s="104"/>
      <c r="L1101" s="104"/>
      <c r="M1101" s="104"/>
      <c r="N1101" s="104"/>
      <c r="O1101" s="104"/>
      <c r="P1101" s="104"/>
      <c r="Q1101" s="104"/>
      <c r="R1101" s="104"/>
      <c r="S1101" s="104"/>
    </row>
    <row r="1102" spans="4:19">
      <c r="D1102" s="104"/>
      <c r="E1102" s="104"/>
      <c r="F1102" s="104"/>
      <c r="G1102" s="104"/>
      <c r="H1102" s="104"/>
      <c r="I1102" s="104"/>
      <c r="J1102" s="104"/>
      <c r="K1102" s="104"/>
      <c r="L1102" s="104"/>
      <c r="M1102" s="104"/>
      <c r="N1102" s="104"/>
      <c r="O1102" s="104"/>
      <c r="P1102" s="104"/>
      <c r="Q1102" s="104"/>
      <c r="R1102" s="104"/>
      <c r="S1102" s="104"/>
    </row>
    <row r="1103" spans="4:19">
      <c r="D1103" s="104"/>
      <c r="E1103" s="104"/>
      <c r="F1103" s="104"/>
      <c r="G1103" s="104"/>
      <c r="H1103" s="104"/>
      <c r="I1103" s="104"/>
      <c r="J1103" s="104"/>
      <c r="K1103" s="104"/>
      <c r="L1103" s="104"/>
      <c r="M1103" s="104"/>
      <c r="N1103" s="104"/>
      <c r="O1103" s="104"/>
      <c r="P1103" s="104"/>
      <c r="Q1103" s="104"/>
      <c r="R1103" s="104"/>
      <c r="S1103" s="104"/>
    </row>
    <row r="1104" spans="4:19">
      <c r="D1104" s="104"/>
      <c r="E1104" s="104"/>
      <c r="F1104" s="104"/>
      <c r="G1104" s="104"/>
      <c r="H1104" s="104"/>
      <c r="I1104" s="104"/>
      <c r="J1104" s="104"/>
      <c r="K1104" s="104"/>
      <c r="L1104" s="104"/>
      <c r="M1104" s="104"/>
      <c r="N1104" s="104"/>
      <c r="O1104" s="104"/>
      <c r="P1104" s="104"/>
      <c r="Q1104" s="104"/>
      <c r="R1104" s="104"/>
      <c r="S1104" s="104"/>
    </row>
    <row r="1105" spans="4:19">
      <c r="D1105" s="104"/>
      <c r="E1105" s="104"/>
      <c r="F1105" s="104"/>
      <c r="G1105" s="104"/>
      <c r="H1105" s="104"/>
      <c r="I1105" s="104"/>
      <c r="J1105" s="104"/>
      <c r="K1105" s="104"/>
      <c r="L1105" s="104"/>
      <c r="M1105" s="104"/>
      <c r="N1105" s="104"/>
      <c r="O1105" s="104"/>
      <c r="P1105" s="104"/>
      <c r="Q1105" s="104"/>
      <c r="R1105" s="104"/>
      <c r="S1105" s="104"/>
    </row>
    <row r="1106" spans="4:19">
      <c r="D1106" s="104"/>
      <c r="E1106" s="104"/>
      <c r="F1106" s="104"/>
      <c r="G1106" s="104"/>
      <c r="H1106" s="104"/>
      <c r="I1106" s="104"/>
      <c r="J1106" s="104"/>
      <c r="K1106" s="104"/>
      <c r="L1106" s="104"/>
      <c r="M1106" s="104"/>
      <c r="N1106" s="104"/>
      <c r="O1106" s="104"/>
      <c r="P1106" s="104"/>
      <c r="Q1106" s="104"/>
      <c r="R1106" s="104"/>
      <c r="S1106" s="104"/>
    </row>
    <row r="1107" spans="4:19">
      <c r="D1107" s="104"/>
      <c r="E1107" s="104"/>
      <c r="F1107" s="104"/>
      <c r="G1107" s="104"/>
      <c r="H1107" s="104"/>
      <c r="I1107" s="104"/>
      <c r="J1107" s="104"/>
      <c r="K1107" s="104"/>
      <c r="L1107" s="104"/>
      <c r="M1107" s="104"/>
      <c r="N1107" s="104"/>
      <c r="O1107" s="104"/>
      <c r="P1107" s="104"/>
      <c r="Q1107" s="104"/>
      <c r="R1107" s="104"/>
      <c r="S1107" s="104"/>
    </row>
    <row r="1108" spans="4:19">
      <c r="D1108" s="104"/>
      <c r="E1108" s="104"/>
      <c r="F1108" s="104"/>
      <c r="G1108" s="104"/>
      <c r="H1108" s="104"/>
      <c r="I1108" s="104"/>
      <c r="J1108" s="104"/>
      <c r="K1108" s="104"/>
      <c r="L1108" s="104"/>
      <c r="M1108" s="104"/>
      <c r="N1108" s="104"/>
      <c r="O1108" s="104"/>
      <c r="P1108" s="104"/>
      <c r="Q1108" s="104"/>
      <c r="R1108" s="104"/>
      <c r="S1108" s="104"/>
    </row>
    <row r="1109" spans="4:19">
      <c r="D1109" s="104"/>
      <c r="E1109" s="104"/>
      <c r="F1109" s="104"/>
      <c r="G1109" s="104"/>
      <c r="H1109" s="104"/>
      <c r="I1109" s="104"/>
      <c r="J1109" s="104"/>
      <c r="K1109" s="104"/>
      <c r="L1109" s="104"/>
      <c r="M1109" s="104"/>
      <c r="N1109" s="104"/>
      <c r="O1109" s="104"/>
      <c r="P1109" s="104"/>
      <c r="Q1109" s="104"/>
      <c r="R1109" s="104"/>
      <c r="S1109" s="104"/>
    </row>
    <row r="1110" spans="4:19">
      <c r="D1110" s="104"/>
      <c r="E1110" s="104"/>
      <c r="F1110" s="104"/>
      <c r="G1110" s="104"/>
      <c r="H1110" s="104"/>
      <c r="I1110" s="104"/>
      <c r="J1110" s="104"/>
      <c r="K1110" s="104"/>
      <c r="L1110" s="104"/>
      <c r="M1110" s="104"/>
      <c r="N1110" s="104"/>
      <c r="O1110" s="104"/>
      <c r="P1110" s="104"/>
      <c r="Q1110" s="104"/>
      <c r="R1110" s="104"/>
      <c r="S1110" s="104"/>
    </row>
    <row r="1111" spans="4:19">
      <c r="D1111" s="104"/>
      <c r="E1111" s="104"/>
      <c r="F1111" s="104"/>
      <c r="G1111" s="104"/>
      <c r="H1111" s="104"/>
      <c r="I1111" s="104"/>
      <c r="J1111" s="104"/>
      <c r="K1111" s="104"/>
      <c r="L1111" s="104"/>
      <c r="M1111" s="104"/>
      <c r="N1111" s="104"/>
      <c r="O1111" s="104"/>
      <c r="P1111" s="104"/>
      <c r="Q1111" s="104"/>
      <c r="R1111" s="104"/>
      <c r="S1111" s="104"/>
    </row>
    <row r="1112" spans="4:19">
      <c r="D1112" s="104"/>
      <c r="E1112" s="104"/>
      <c r="F1112" s="104"/>
      <c r="G1112" s="104"/>
      <c r="H1112" s="104"/>
      <c r="I1112" s="104"/>
      <c r="J1112" s="104"/>
      <c r="K1112" s="104"/>
      <c r="L1112" s="104"/>
      <c r="M1112" s="104"/>
      <c r="N1112" s="104"/>
      <c r="O1112" s="104"/>
      <c r="P1112" s="104"/>
      <c r="Q1112" s="104"/>
      <c r="R1112" s="104"/>
      <c r="S1112" s="104"/>
    </row>
    <row r="1113" spans="4:19">
      <c r="D1113" s="104"/>
      <c r="E1113" s="104"/>
      <c r="F1113" s="104"/>
      <c r="G1113" s="104"/>
      <c r="H1113" s="104"/>
      <c r="I1113" s="104"/>
      <c r="J1113" s="104"/>
      <c r="K1113" s="104"/>
      <c r="L1113" s="104"/>
      <c r="M1113" s="104"/>
      <c r="N1113" s="104"/>
      <c r="O1113" s="104"/>
      <c r="P1113" s="104"/>
      <c r="Q1113" s="104"/>
      <c r="R1113" s="104"/>
      <c r="S1113" s="104"/>
    </row>
    <row r="1114" spans="4:19">
      <c r="D1114" s="104"/>
      <c r="E1114" s="104"/>
      <c r="F1114" s="104"/>
      <c r="G1114" s="104"/>
      <c r="H1114" s="104"/>
      <c r="I1114" s="104"/>
      <c r="J1114" s="104"/>
      <c r="K1114" s="104"/>
      <c r="L1114" s="104"/>
      <c r="M1114" s="104"/>
      <c r="N1114" s="104"/>
      <c r="O1114" s="104"/>
      <c r="P1114" s="104"/>
      <c r="Q1114" s="104"/>
      <c r="R1114" s="104"/>
      <c r="S1114" s="104"/>
    </row>
    <row r="1115" spans="4:19">
      <c r="D1115" s="104"/>
      <c r="E1115" s="104"/>
      <c r="F1115" s="104"/>
      <c r="G1115" s="104"/>
      <c r="H1115" s="104"/>
      <c r="I1115" s="104"/>
      <c r="J1115" s="104"/>
      <c r="K1115" s="104"/>
      <c r="L1115" s="104"/>
      <c r="M1115" s="104"/>
      <c r="N1115" s="104"/>
      <c r="O1115" s="104"/>
      <c r="P1115" s="104"/>
      <c r="Q1115" s="104"/>
      <c r="R1115" s="104"/>
      <c r="S1115" s="104"/>
    </row>
    <row r="1116" spans="4:19">
      <c r="D1116" s="104"/>
      <c r="E1116" s="104"/>
      <c r="F1116" s="104"/>
      <c r="G1116" s="104"/>
      <c r="H1116" s="104"/>
      <c r="I1116" s="104"/>
      <c r="J1116" s="104"/>
      <c r="K1116" s="104"/>
      <c r="L1116" s="104"/>
      <c r="M1116" s="104"/>
      <c r="N1116" s="104"/>
      <c r="O1116" s="104"/>
      <c r="P1116" s="104"/>
      <c r="Q1116" s="104"/>
      <c r="R1116" s="104"/>
      <c r="S1116" s="104"/>
    </row>
    <row r="1117" spans="4:19">
      <c r="D1117" s="104"/>
      <c r="E1117" s="104"/>
      <c r="F1117" s="104"/>
      <c r="G1117" s="104"/>
      <c r="H1117" s="104"/>
      <c r="I1117" s="104"/>
      <c r="J1117" s="104"/>
      <c r="K1117" s="104"/>
      <c r="L1117" s="104"/>
      <c r="M1117" s="104"/>
      <c r="N1117" s="104"/>
      <c r="O1117" s="104"/>
      <c r="P1117" s="104"/>
      <c r="Q1117" s="104"/>
      <c r="R1117" s="104"/>
      <c r="S1117" s="104"/>
    </row>
    <row r="1118" spans="4:19">
      <c r="D1118" s="104"/>
      <c r="E1118" s="104"/>
      <c r="F1118" s="104"/>
      <c r="G1118" s="104"/>
      <c r="H1118" s="104"/>
      <c r="I1118" s="104"/>
      <c r="J1118" s="104"/>
      <c r="K1118" s="104"/>
      <c r="L1118" s="104"/>
      <c r="M1118" s="104"/>
      <c r="N1118" s="104"/>
      <c r="O1118" s="104"/>
      <c r="P1118" s="104"/>
      <c r="Q1118" s="104"/>
      <c r="R1118" s="104"/>
      <c r="S1118" s="104"/>
    </row>
    <row r="1119" spans="4:19">
      <c r="D1119" s="104"/>
      <c r="E1119" s="104"/>
      <c r="F1119" s="104"/>
      <c r="G1119" s="104"/>
      <c r="H1119" s="104"/>
      <c r="I1119" s="104"/>
      <c r="J1119" s="104"/>
      <c r="K1119" s="104"/>
      <c r="L1119" s="104"/>
      <c r="M1119" s="104"/>
      <c r="N1119" s="104"/>
      <c r="O1119" s="104"/>
      <c r="P1119" s="104"/>
      <c r="Q1119" s="104"/>
      <c r="R1119" s="104"/>
      <c r="S1119" s="104"/>
    </row>
    <row r="1120" spans="4:19">
      <c r="D1120" s="104"/>
      <c r="E1120" s="104"/>
      <c r="F1120" s="104"/>
      <c r="G1120" s="104"/>
      <c r="H1120" s="104"/>
      <c r="I1120" s="104"/>
      <c r="J1120" s="104"/>
      <c r="K1120" s="104"/>
      <c r="L1120" s="104"/>
      <c r="M1120" s="104"/>
      <c r="N1120" s="104"/>
      <c r="O1120" s="104"/>
      <c r="P1120" s="104"/>
      <c r="Q1120" s="104"/>
      <c r="R1120" s="104"/>
      <c r="S1120" s="104"/>
    </row>
    <row r="1121" spans="4:19">
      <c r="D1121" s="104"/>
      <c r="E1121" s="104"/>
      <c r="F1121" s="104"/>
      <c r="G1121" s="104"/>
      <c r="H1121" s="104"/>
      <c r="I1121" s="104"/>
      <c r="J1121" s="104"/>
      <c r="K1121" s="104"/>
      <c r="L1121" s="104"/>
      <c r="M1121" s="104"/>
      <c r="N1121" s="104"/>
      <c r="O1121" s="104"/>
      <c r="P1121" s="104"/>
      <c r="Q1121" s="104"/>
      <c r="R1121" s="104"/>
      <c r="S1121" s="104"/>
    </row>
    <row r="1122" spans="4:19">
      <c r="D1122" s="104"/>
      <c r="E1122" s="104"/>
      <c r="F1122" s="104"/>
      <c r="G1122" s="104"/>
      <c r="H1122" s="104"/>
      <c r="I1122" s="104"/>
      <c r="J1122" s="104"/>
      <c r="K1122" s="104"/>
      <c r="L1122" s="104"/>
      <c r="M1122" s="104"/>
      <c r="N1122" s="104"/>
      <c r="O1122" s="104"/>
      <c r="P1122" s="104"/>
      <c r="Q1122" s="104"/>
      <c r="R1122" s="104"/>
      <c r="S1122" s="104"/>
    </row>
    <row r="1123" spans="4:19">
      <c r="D1123" s="104"/>
      <c r="E1123" s="104"/>
      <c r="F1123" s="104"/>
      <c r="G1123" s="104"/>
      <c r="H1123" s="104"/>
      <c r="I1123" s="104"/>
      <c r="J1123" s="104"/>
      <c r="K1123" s="104"/>
      <c r="L1123" s="104"/>
      <c r="M1123" s="104"/>
      <c r="N1123" s="104"/>
      <c r="O1123" s="104"/>
      <c r="P1123" s="104"/>
      <c r="Q1123" s="104"/>
      <c r="R1123" s="104"/>
      <c r="S1123" s="104"/>
    </row>
    <row r="1124" spans="4:19">
      <c r="D1124" s="104"/>
      <c r="E1124" s="104"/>
      <c r="F1124" s="104"/>
      <c r="G1124" s="104"/>
      <c r="H1124" s="104"/>
      <c r="I1124" s="104"/>
      <c r="J1124" s="104"/>
      <c r="K1124" s="104"/>
      <c r="L1124" s="104"/>
      <c r="M1124" s="104"/>
      <c r="N1124" s="104"/>
      <c r="O1124" s="104"/>
      <c r="P1124" s="104"/>
      <c r="Q1124" s="104"/>
      <c r="R1124" s="104"/>
      <c r="S1124" s="104"/>
    </row>
    <row r="1125" spans="4:19">
      <c r="D1125" s="104"/>
      <c r="E1125" s="104"/>
      <c r="F1125" s="104"/>
      <c r="G1125" s="104"/>
      <c r="H1125" s="104"/>
      <c r="I1125" s="104"/>
      <c r="J1125" s="104"/>
      <c r="K1125" s="104"/>
      <c r="L1125" s="104"/>
      <c r="M1125" s="104"/>
      <c r="N1125" s="104"/>
      <c r="O1125" s="104"/>
      <c r="P1125" s="104"/>
      <c r="Q1125" s="104"/>
      <c r="R1125" s="104"/>
      <c r="S1125" s="104"/>
    </row>
    <row r="1126" spans="4:19">
      <c r="D1126" s="104"/>
      <c r="E1126" s="104"/>
      <c r="F1126" s="104"/>
      <c r="G1126" s="104"/>
      <c r="H1126" s="104"/>
      <c r="I1126" s="104"/>
      <c r="J1126" s="104"/>
      <c r="K1126" s="104"/>
      <c r="L1126" s="104"/>
      <c r="M1126" s="104"/>
      <c r="N1126" s="104"/>
      <c r="O1126" s="104"/>
      <c r="P1126" s="104"/>
      <c r="Q1126" s="104"/>
      <c r="R1126" s="104"/>
      <c r="S1126" s="104"/>
    </row>
    <row r="1127" spans="4:19">
      <c r="D1127" s="104"/>
      <c r="E1127" s="104"/>
      <c r="F1127" s="104"/>
      <c r="G1127" s="104"/>
      <c r="H1127" s="104"/>
      <c r="I1127" s="104"/>
      <c r="J1127" s="104"/>
      <c r="K1127" s="104"/>
      <c r="L1127" s="104"/>
      <c r="M1127" s="104"/>
      <c r="N1127" s="104"/>
      <c r="O1127" s="104"/>
      <c r="P1127" s="104"/>
      <c r="Q1127" s="104"/>
      <c r="R1127" s="104"/>
      <c r="S1127" s="104"/>
    </row>
    <row r="1128" spans="4:19">
      <c r="D1128" s="104"/>
      <c r="E1128" s="104"/>
      <c r="F1128" s="104"/>
      <c r="G1128" s="104"/>
      <c r="H1128" s="104"/>
      <c r="I1128" s="104"/>
      <c r="J1128" s="104"/>
      <c r="K1128" s="104"/>
      <c r="L1128" s="104"/>
      <c r="M1128" s="104"/>
      <c r="N1128" s="104"/>
      <c r="O1128" s="104"/>
      <c r="P1128" s="104"/>
      <c r="Q1128" s="104"/>
      <c r="R1128" s="104"/>
      <c r="S1128" s="104"/>
    </row>
    <row r="1129" spans="4:19">
      <c r="D1129" s="104"/>
      <c r="E1129" s="104"/>
      <c r="F1129" s="104"/>
      <c r="G1129" s="104"/>
      <c r="H1129" s="104"/>
      <c r="I1129" s="104"/>
      <c r="J1129" s="104"/>
      <c r="K1129" s="104"/>
      <c r="L1129" s="104"/>
      <c r="M1129" s="104"/>
      <c r="N1129" s="104"/>
      <c r="O1129" s="104"/>
      <c r="P1129" s="104"/>
      <c r="Q1129" s="104"/>
      <c r="R1129" s="104"/>
      <c r="S1129" s="104"/>
    </row>
    <row r="1130" spans="4:19">
      <c r="D1130" s="104"/>
      <c r="E1130" s="104"/>
      <c r="F1130" s="104"/>
      <c r="G1130" s="104"/>
      <c r="H1130" s="104"/>
      <c r="I1130" s="104"/>
      <c r="J1130" s="104"/>
      <c r="K1130" s="104"/>
      <c r="L1130" s="104"/>
      <c r="M1130" s="104"/>
      <c r="N1130" s="104"/>
      <c r="O1130" s="104"/>
      <c r="P1130" s="104"/>
      <c r="Q1130" s="104"/>
      <c r="R1130" s="104"/>
      <c r="S1130" s="104"/>
    </row>
    <row r="1131" spans="4:19">
      <c r="D1131" s="104"/>
      <c r="E1131" s="104"/>
      <c r="F1131" s="104"/>
      <c r="G1131" s="104"/>
      <c r="H1131" s="104"/>
      <c r="I1131" s="104"/>
      <c r="J1131" s="104"/>
      <c r="K1131" s="104"/>
      <c r="L1131" s="104"/>
      <c r="M1131" s="104"/>
      <c r="N1131" s="104"/>
      <c r="O1131" s="104"/>
      <c r="P1131" s="104"/>
      <c r="Q1131" s="104"/>
      <c r="R1131" s="104"/>
      <c r="S1131" s="104"/>
    </row>
    <row r="1132" spans="4:19">
      <c r="D1132" s="104"/>
      <c r="E1132" s="104"/>
      <c r="F1132" s="104"/>
      <c r="G1132" s="104"/>
      <c r="H1132" s="104"/>
      <c r="I1132" s="104"/>
      <c r="J1132" s="104"/>
      <c r="K1132" s="104"/>
      <c r="L1132" s="104"/>
      <c r="M1132" s="104"/>
      <c r="N1132" s="104"/>
      <c r="O1132" s="104"/>
      <c r="P1132" s="104"/>
      <c r="Q1132" s="104"/>
      <c r="R1132" s="104"/>
      <c r="S1132" s="104"/>
    </row>
    <row r="1133" spans="4:19">
      <c r="D1133" s="104"/>
      <c r="E1133" s="104"/>
      <c r="F1133" s="104"/>
      <c r="G1133" s="104"/>
      <c r="H1133" s="104"/>
      <c r="I1133" s="104"/>
      <c r="J1133" s="104"/>
      <c r="K1133" s="104"/>
      <c r="L1133" s="104"/>
      <c r="M1133" s="104"/>
      <c r="N1133" s="104"/>
      <c r="O1133" s="104"/>
      <c r="P1133" s="104"/>
      <c r="Q1133" s="104"/>
      <c r="R1133" s="104"/>
      <c r="S1133" s="104"/>
    </row>
    <row r="1134" spans="4:19">
      <c r="D1134" s="104"/>
      <c r="E1134" s="104"/>
      <c r="F1134" s="104"/>
      <c r="G1134" s="104"/>
      <c r="H1134" s="104"/>
      <c r="I1134" s="104"/>
      <c r="J1134" s="104"/>
      <c r="K1134" s="104"/>
      <c r="L1134" s="104"/>
      <c r="M1134" s="104"/>
      <c r="N1134" s="104"/>
      <c r="O1134" s="104"/>
      <c r="P1134" s="104"/>
      <c r="Q1134" s="104"/>
      <c r="R1134" s="104"/>
      <c r="S1134" s="104"/>
    </row>
    <row r="1135" spans="4:19">
      <c r="D1135" s="104"/>
      <c r="E1135" s="104"/>
      <c r="F1135" s="104"/>
      <c r="G1135" s="104"/>
      <c r="H1135" s="104"/>
      <c r="I1135" s="104"/>
      <c r="J1135" s="104"/>
      <c r="K1135" s="104"/>
      <c r="L1135" s="104"/>
      <c r="M1135" s="104"/>
      <c r="N1135" s="104"/>
      <c r="O1135" s="104"/>
      <c r="P1135" s="104"/>
      <c r="Q1135" s="104"/>
      <c r="R1135" s="104"/>
      <c r="S1135" s="104"/>
    </row>
    <row r="1136" spans="4:19">
      <c r="D1136" s="104"/>
      <c r="E1136" s="104"/>
      <c r="F1136" s="104"/>
      <c r="G1136" s="104"/>
      <c r="H1136" s="104"/>
      <c r="I1136" s="104"/>
      <c r="J1136" s="104"/>
      <c r="K1136" s="104"/>
      <c r="L1136" s="104"/>
      <c r="M1136" s="104"/>
      <c r="N1136" s="104"/>
      <c r="O1136" s="104"/>
      <c r="P1136" s="104"/>
      <c r="Q1136" s="104"/>
      <c r="R1136" s="104"/>
      <c r="S1136" s="104"/>
    </row>
    <row r="1137" spans="4:19">
      <c r="D1137" s="104"/>
      <c r="E1137" s="104"/>
      <c r="F1137" s="104"/>
      <c r="G1137" s="104"/>
      <c r="H1137" s="104"/>
      <c r="I1137" s="104"/>
      <c r="J1137" s="104"/>
      <c r="K1137" s="104"/>
      <c r="L1137" s="104"/>
      <c r="M1137" s="104"/>
      <c r="N1137" s="104"/>
      <c r="O1137" s="104"/>
      <c r="P1137" s="104"/>
      <c r="Q1137" s="104"/>
      <c r="R1137" s="104"/>
      <c r="S1137" s="104"/>
    </row>
    <row r="1138" spans="4:19">
      <c r="D1138" s="104"/>
      <c r="E1138" s="104"/>
      <c r="F1138" s="104"/>
      <c r="G1138" s="104"/>
      <c r="H1138" s="104"/>
      <c r="I1138" s="104"/>
      <c r="J1138" s="104"/>
      <c r="K1138" s="104"/>
      <c r="L1138" s="104"/>
      <c r="M1138" s="104"/>
      <c r="N1138" s="104"/>
      <c r="O1138" s="104"/>
      <c r="P1138" s="104"/>
      <c r="Q1138" s="104"/>
      <c r="R1138" s="104"/>
      <c r="S1138" s="104"/>
    </row>
    <row r="1139" spans="4:19">
      <c r="D1139" s="104"/>
      <c r="E1139" s="104"/>
      <c r="F1139" s="104"/>
      <c r="G1139" s="104"/>
      <c r="H1139" s="104"/>
      <c r="I1139" s="104"/>
      <c r="J1139" s="104"/>
      <c r="K1139" s="104"/>
      <c r="L1139" s="104"/>
      <c r="M1139" s="104"/>
      <c r="N1139" s="104"/>
      <c r="O1139" s="104"/>
      <c r="P1139" s="104"/>
      <c r="Q1139" s="104"/>
      <c r="R1139" s="104"/>
      <c r="S1139" s="104"/>
    </row>
    <row r="1140" spans="4:19">
      <c r="D1140" s="104"/>
      <c r="E1140" s="104"/>
      <c r="F1140" s="104"/>
      <c r="G1140" s="104"/>
      <c r="H1140" s="104"/>
      <c r="I1140" s="104"/>
      <c r="J1140" s="104"/>
      <c r="K1140" s="104"/>
      <c r="L1140" s="104"/>
      <c r="M1140" s="104"/>
      <c r="N1140" s="104"/>
      <c r="O1140" s="104"/>
      <c r="P1140" s="104"/>
      <c r="Q1140" s="104"/>
      <c r="R1140" s="104"/>
      <c r="S1140" s="104"/>
    </row>
    <row r="1141" spans="4:19">
      <c r="D1141" s="104"/>
      <c r="E1141" s="104"/>
      <c r="F1141" s="104"/>
      <c r="G1141" s="104"/>
      <c r="H1141" s="104"/>
      <c r="I1141" s="104"/>
      <c r="J1141" s="104"/>
      <c r="K1141" s="104"/>
      <c r="L1141" s="104"/>
      <c r="M1141" s="104"/>
      <c r="N1141" s="104"/>
      <c r="O1141" s="104"/>
      <c r="P1141" s="104"/>
      <c r="Q1141" s="104"/>
      <c r="R1141" s="104"/>
      <c r="S1141" s="104"/>
    </row>
    <row r="1142" spans="4:19">
      <c r="D1142" s="104"/>
      <c r="E1142" s="104"/>
      <c r="F1142" s="104"/>
      <c r="G1142" s="104"/>
      <c r="H1142" s="104"/>
      <c r="I1142" s="104"/>
      <c r="J1142" s="104"/>
      <c r="K1142" s="104"/>
      <c r="L1142" s="104"/>
      <c r="M1142" s="104"/>
      <c r="N1142" s="104"/>
      <c r="O1142" s="104"/>
      <c r="P1142" s="104"/>
      <c r="Q1142" s="104"/>
      <c r="R1142" s="104"/>
      <c r="S1142" s="104"/>
    </row>
    <row r="1143" spans="4:19">
      <c r="D1143" s="104"/>
      <c r="E1143" s="104"/>
      <c r="F1143" s="104"/>
      <c r="G1143" s="104"/>
      <c r="H1143" s="104"/>
      <c r="I1143" s="104"/>
      <c r="J1143" s="104"/>
      <c r="K1143" s="104"/>
      <c r="L1143" s="104"/>
      <c r="M1143" s="104"/>
      <c r="N1143" s="104"/>
      <c r="O1143" s="104"/>
      <c r="P1143" s="104"/>
      <c r="Q1143" s="104"/>
      <c r="R1143" s="104"/>
      <c r="S1143" s="104"/>
    </row>
    <row r="1144" spans="4:19">
      <c r="D1144" s="104"/>
      <c r="E1144" s="104"/>
      <c r="F1144" s="104"/>
      <c r="G1144" s="104"/>
      <c r="H1144" s="104"/>
      <c r="I1144" s="104"/>
      <c r="J1144" s="104"/>
      <c r="K1144" s="104"/>
      <c r="L1144" s="104"/>
      <c r="M1144" s="104"/>
      <c r="N1144" s="104"/>
      <c r="O1144" s="104"/>
      <c r="P1144" s="104"/>
      <c r="Q1144" s="104"/>
      <c r="R1144" s="104"/>
      <c r="S1144" s="104"/>
    </row>
    <row r="1145" spans="4:19">
      <c r="D1145" s="104"/>
      <c r="E1145" s="104"/>
      <c r="F1145" s="104"/>
      <c r="G1145" s="104"/>
      <c r="H1145" s="104"/>
      <c r="I1145" s="104"/>
      <c r="J1145" s="104"/>
      <c r="K1145" s="104"/>
      <c r="L1145" s="104"/>
      <c r="M1145" s="104"/>
      <c r="N1145" s="104"/>
      <c r="O1145" s="104"/>
      <c r="P1145" s="104"/>
      <c r="Q1145" s="104"/>
      <c r="R1145" s="104"/>
      <c r="S1145" s="104"/>
    </row>
    <row r="1146" spans="4:19">
      <c r="D1146" s="104"/>
      <c r="E1146" s="104"/>
      <c r="F1146" s="104"/>
      <c r="G1146" s="104"/>
      <c r="H1146" s="104"/>
      <c r="I1146" s="104"/>
      <c r="J1146" s="104"/>
      <c r="K1146" s="104"/>
      <c r="L1146" s="104"/>
      <c r="M1146" s="104"/>
      <c r="N1146" s="104"/>
      <c r="O1146" s="104"/>
      <c r="P1146" s="104"/>
      <c r="Q1146" s="104"/>
      <c r="R1146" s="104"/>
      <c r="S1146" s="104"/>
    </row>
    <row r="1147" spans="4:19">
      <c r="D1147" s="104"/>
      <c r="E1147" s="104"/>
      <c r="F1147" s="104"/>
      <c r="G1147" s="104"/>
      <c r="H1147" s="104"/>
      <c r="I1147" s="104"/>
      <c r="J1147" s="104"/>
      <c r="K1147" s="104"/>
      <c r="L1147" s="104"/>
      <c r="M1147" s="104"/>
      <c r="N1147" s="104"/>
      <c r="O1147" s="104"/>
      <c r="P1147" s="104"/>
      <c r="Q1147" s="104"/>
      <c r="R1147" s="104"/>
      <c r="S1147" s="104"/>
    </row>
    <row r="1148" spans="4:19">
      <c r="D1148" s="104"/>
      <c r="E1148" s="104"/>
      <c r="F1148" s="104"/>
      <c r="G1148" s="104"/>
      <c r="H1148" s="104"/>
      <c r="I1148" s="104"/>
      <c r="J1148" s="104"/>
      <c r="K1148" s="104"/>
      <c r="L1148" s="104"/>
      <c r="M1148" s="104"/>
      <c r="N1148" s="104"/>
      <c r="O1148" s="104"/>
      <c r="P1148" s="104"/>
      <c r="Q1148" s="104"/>
      <c r="R1148" s="104"/>
      <c r="S1148" s="104"/>
    </row>
    <row r="1149" spans="4:19">
      <c r="D1149" s="104"/>
      <c r="E1149" s="104"/>
      <c r="F1149" s="104"/>
      <c r="G1149" s="104"/>
      <c r="H1149" s="104"/>
      <c r="I1149" s="104"/>
      <c r="J1149" s="104"/>
      <c r="K1149" s="104"/>
      <c r="L1149" s="104"/>
      <c r="M1149" s="104"/>
      <c r="N1149" s="104"/>
      <c r="O1149" s="104"/>
      <c r="P1149" s="104"/>
      <c r="Q1149" s="104"/>
      <c r="R1149" s="104"/>
      <c r="S1149" s="104"/>
    </row>
    <row r="1150" spans="4:19">
      <c r="D1150" s="104"/>
      <c r="E1150" s="104"/>
      <c r="F1150" s="104"/>
      <c r="G1150" s="104"/>
      <c r="H1150" s="104"/>
      <c r="I1150" s="104"/>
      <c r="J1150" s="104"/>
      <c r="K1150" s="104"/>
      <c r="L1150" s="104"/>
      <c r="M1150" s="104"/>
      <c r="N1150" s="104"/>
      <c r="O1150" s="104"/>
      <c r="P1150" s="104"/>
      <c r="Q1150" s="104"/>
      <c r="R1150" s="104"/>
      <c r="S1150" s="104"/>
    </row>
    <row r="1151" spans="4:19">
      <c r="D1151" s="104"/>
      <c r="E1151" s="104"/>
      <c r="F1151" s="104"/>
      <c r="G1151" s="104"/>
      <c r="H1151" s="104"/>
      <c r="I1151" s="104"/>
      <c r="J1151" s="104"/>
      <c r="K1151" s="104"/>
      <c r="L1151" s="104"/>
      <c r="M1151" s="104"/>
      <c r="N1151" s="104"/>
      <c r="O1151" s="104"/>
      <c r="P1151" s="104"/>
      <c r="Q1151" s="104"/>
      <c r="R1151" s="104"/>
      <c r="S1151" s="104"/>
    </row>
    <row r="1152" spans="4:19">
      <c r="D1152" s="104"/>
      <c r="E1152" s="104"/>
      <c r="F1152" s="104"/>
      <c r="G1152" s="104"/>
      <c r="H1152" s="104"/>
      <c r="I1152" s="104"/>
      <c r="J1152" s="104"/>
      <c r="K1152" s="104"/>
      <c r="L1152" s="104"/>
      <c r="M1152" s="104"/>
      <c r="N1152" s="104"/>
      <c r="O1152" s="104"/>
      <c r="P1152" s="104"/>
      <c r="Q1152" s="104"/>
      <c r="R1152" s="104"/>
      <c r="S1152" s="104"/>
    </row>
    <row r="1153" spans="4:19">
      <c r="D1153" s="104"/>
      <c r="E1153" s="104"/>
      <c r="F1153" s="104"/>
      <c r="G1153" s="104"/>
      <c r="H1153" s="104"/>
      <c r="I1153" s="104"/>
      <c r="J1153" s="104"/>
      <c r="K1153" s="104"/>
      <c r="L1153" s="104"/>
      <c r="M1153" s="104"/>
      <c r="N1153" s="104"/>
      <c r="O1153" s="104"/>
      <c r="P1153" s="104"/>
      <c r="Q1153" s="104"/>
      <c r="R1153" s="104"/>
      <c r="S1153" s="104"/>
    </row>
    <row r="1154" spans="4:19">
      <c r="D1154" s="104"/>
      <c r="E1154" s="104"/>
      <c r="F1154" s="104"/>
      <c r="G1154" s="104"/>
      <c r="H1154" s="104"/>
      <c r="I1154" s="104"/>
      <c r="J1154" s="104"/>
      <c r="K1154" s="104"/>
      <c r="L1154" s="104"/>
      <c r="M1154" s="104"/>
      <c r="N1154" s="104"/>
      <c r="O1154" s="104"/>
      <c r="P1154" s="104"/>
      <c r="Q1154" s="104"/>
      <c r="R1154" s="104"/>
      <c r="S1154" s="104"/>
    </row>
    <row r="1155" spans="4:19">
      <c r="D1155" s="104"/>
      <c r="E1155" s="104"/>
      <c r="F1155" s="104"/>
      <c r="G1155" s="104"/>
      <c r="H1155" s="104"/>
      <c r="I1155" s="104"/>
      <c r="J1155" s="104"/>
      <c r="K1155" s="104"/>
      <c r="L1155" s="104"/>
      <c r="M1155" s="104"/>
      <c r="N1155" s="104"/>
      <c r="O1155" s="104"/>
      <c r="P1155" s="104"/>
      <c r="Q1155" s="104"/>
      <c r="R1155" s="104"/>
      <c r="S1155" s="104"/>
    </row>
    <row r="1156" spans="4:19">
      <c r="D1156" s="104"/>
      <c r="E1156" s="104"/>
      <c r="F1156" s="104"/>
      <c r="G1156" s="104"/>
      <c r="H1156" s="104"/>
      <c r="I1156" s="104"/>
      <c r="J1156" s="104"/>
      <c r="K1156" s="104"/>
      <c r="L1156" s="104"/>
      <c r="M1156" s="104"/>
      <c r="N1156" s="104"/>
      <c r="O1156" s="104"/>
      <c r="P1156" s="104"/>
      <c r="Q1156" s="104"/>
      <c r="R1156" s="104"/>
      <c r="S1156" s="104"/>
    </row>
    <row r="1157" spans="4:19">
      <c r="D1157" s="104"/>
      <c r="E1157" s="104"/>
      <c r="F1157" s="104"/>
      <c r="G1157" s="104"/>
      <c r="H1157" s="104"/>
      <c r="I1157" s="104"/>
      <c r="J1157" s="104"/>
      <c r="K1157" s="104"/>
      <c r="L1157" s="104"/>
      <c r="M1157" s="104"/>
      <c r="N1157" s="104"/>
      <c r="O1157" s="104"/>
      <c r="P1157" s="104"/>
      <c r="Q1157" s="104"/>
      <c r="R1157" s="104"/>
      <c r="S1157" s="104"/>
    </row>
    <row r="1158" spans="4:19">
      <c r="D1158" s="104"/>
      <c r="E1158" s="104"/>
      <c r="F1158" s="104"/>
      <c r="G1158" s="104"/>
      <c r="H1158" s="104"/>
      <c r="I1158" s="104"/>
      <c r="J1158" s="104"/>
      <c r="K1158" s="104"/>
      <c r="L1158" s="104"/>
      <c r="M1158" s="104"/>
      <c r="N1158" s="104"/>
      <c r="O1158" s="104"/>
      <c r="P1158" s="104"/>
      <c r="Q1158" s="104"/>
      <c r="R1158" s="104"/>
      <c r="S1158" s="104"/>
    </row>
    <row r="1159" spans="4:19">
      <c r="D1159" s="104"/>
      <c r="E1159" s="104"/>
      <c r="F1159" s="104"/>
      <c r="G1159" s="104"/>
      <c r="H1159" s="104"/>
      <c r="I1159" s="104"/>
      <c r="J1159" s="104"/>
      <c r="K1159" s="104"/>
      <c r="L1159" s="104"/>
      <c r="M1159" s="104"/>
      <c r="N1159" s="104"/>
      <c r="O1159" s="104"/>
      <c r="P1159" s="104"/>
      <c r="Q1159" s="104"/>
      <c r="R1159" s="104"/>
      <c r="S1159" s="104"/>
    </row>
    <row r="1160" spans="4:19">
      <c r="D1160" s="104"/>
      <c r="E1160" s="104"/>
      <c r="F1160" s="104"/>
      <c r="G1160" s="104"/>
      <c r="H1160" s="104"/>
      <c r="I1160" s="104"/>
      <c r="J1160" s="104"/>
      <c r="K1160" s="104"/>
      <c r="L1160" s="104"/>
      <c r="M1160" s="104"/>
      <c r="N1160" s="104"/>
      <c r="O1160" s="104"/>
      <c r="P1160" s="104"/>
      <c r="Q1160" s="104"/>
      <c r="R1160" s="104"/>
      <c r="S1160" s="104"/>
    </row>
    <row r="1161" spans="4:19">
      <c r="D1161" s="104"/>
      <c r="E1161" s="104"/>
      <c r="F1161" s="104"/>
      <c r="G1161" s="104"/>
      <c r="H1161" s="104"/>
      <c r="I1161" s="104"/>
      <c r="J1161" s="104"/>
      <c r="K1161" s="104"/>
      <c r="L1161" s="104"/>
      <c r="M1161" s="104"/>
      <c r="N1161" s="104"/>
      <c r="O1161" s="104"/>
      <c r="P1161" s="104"/>
      <c r="Q1161" s="104"/>
      <c r="R1161" s="104"/>
      <c r="S1161" s="104"/>
    </row>
    <row r="1162" spans="4:19">
      <c r="D1162" s="104"/>
      <c r="E1162" s="104"/>
      <c r="F1162" s="104"/>
      <c r="G1162" s="104"/>
      <c r="H1162" s="104"/>
      <c r="I1162" s="104"/>
      <c r="J1162" s="104"/>
      <c r="K1162" s="104"/>
      <c r="L1162" s="104"/>
      <c r="M1162" s="104"/>
      <c r="N1162" s="104"/>
      <c r="O1162" s="104"/>
      <c r="P1162" s="104"/>
      <c r="Q1162" s="104"/>
      <c r="R1162" s="104"/>
      <c r="S1162" s="104"/>
    </row>
    <row r="1163" spans="4:19">
      <c r="D1163" s="104"/>
      <c r="E1163" s="104"/>
      <c r="F1163" s="104"/>
      <c r="G1163" s="104"/>
      <c r="H1163" s="104"/>
      <c r="I1163" s="104"/>
      <c r="J1163" s="104"/>
      <c r="K1163" s="104"/>
      <c r="L1163" s="104"/>
      <c r="M1163" s="104"/>
      <c r="N1163" s="104"/>
      <c r="O1163" s="104"/>
      <c r="P1163" s="104"/>
      <c r="Q1163" s="104"/>
      <c r="R1163" s="104"/>
      <c r="S1163" s="104"/>
    </row>
    <row r="1164" spans="4:19">
      <c r="D1164" s="104"/>
      <c r="E1164" s="104"/>
      <c r="F1164" s="104"/>
      <c r="G1164" s="104"/>
      <c r="H1164" s="104"/>
      <c r="I1164" s="104"/>
      <c r="J1164" s="104"/>
      <c r="K1164" s="104"/>
      <c r="L1164" s="104"/>
      <c r="M1164" s="104"/>
      <c r="N1164" s="104"/>
      <c r="O1164" s="104"/>
      <c r="P1164" s="104"/>
      <c r="Q1164" s="104"/>
      <c r="R1164" s="104"/>
      <c r="S1164" s="104"/>
    </row>
    <row r="1165" spans="4:19">
      <c r="D1165" s="104"/>
      <c r="E1165" s="104"/>
      <c r="F1165" s="104"/>
      <c r="G1165" s="104"/>
      <c r="H1165" s="104"/>
      <c r="I1165" s="104"/>
      <c r="J1165" s="104"/>
      <c r="K1165" s="104"/>
      <c r="L1165" s="104"/>
      <c r="M1165" s="104"/>
      <c r="N1165" s="104"/>
      <c r="O1165" s="104"/>
      <c r="P1165" s="104"/>
      <c r="Q1165" s="104"/>
      <c r="R1165" s="104"/>
      <c r="S1165" s="104"/>
    </row>
    <row r="1166" spans="4:19">
      <c r="D1166" s="104"/>
      <c r="E1166" s="104"/>
      <c r="F1166" s="104"/>
      <c r="G1166" s="104"/>
      <c r="H1166" s="104"/>
      <c r="I1166" s="104"/>
      <c r="J1166" s="104"/>
      <c r="K1166" s="104"/>
      <c r="L1166" s="104"/>
      <c r="M1166" s="104"/>
      <c r="N1166" s="104"/>
      <c r="O1166" s="104"/>
      <c r="P1166" s="104"/>
      <c r="Q1166" s="104"/>
      <c r="R1166" s="104"/>
      <c r="S1166" s="104"/>
    </row>
    <row r="1167" spans="4:19">
      <c r="D1167" s="104"/>
      <c r="E1167" s="104"/>
      <c r="F1167" s="104"/>
      <c r="G1167" s="104"/>
      <c r="H1167" s="104"/>
      <c r="I1167" s="104"/>
      <c r="J1167" s="104"/>
      <c r="K1167" s="104"/>
      <c r="L1167" s="104"/>
      <c r="M1167" s="104"/>
      <c r="N1167" s="104"/>
      <c r="O1167" s="104"/>
      <c r="P1167" s="104"/>
      <c r="Q1167" s="104"/>
      <c r="R1167" s="104"/>
      <c r="S1167" s="104"/>
    </row>
    <row r="1168" spans="4:19">
      <c r="D1168" s="104"/>
      <c r="E1168" s="104"/>
      <c r="F1168" s="104"/>
      <c r="G1168" s="104"/>
      <c r="H1168" s="104"/>
      <c r="I1168" s="104"/>
      <c r="J1168" s="104"/>
      <c r="K1168" s="104"/>
      <c r="L1168" s="104"/>
      <c r="M1168" s="104"/>
      <c r="N1168" s="104"/>
      <c r="O1168" s="104"/>
      <c r="P1168" s="104"/>
      <c r="Q1168" s="104"/>
      <c r="R1168" s="104"/>
      <c r="S1168" s="104"/>
    </row>
    <row r="1169" spans="4:19">
      <c r="D1169" s="104"/>
      <c r="E1169" s="104"/>
      <c r="F1169" s="104"/>
      <c r="G1169" s="104"/>
      <c r="H1169" s="104"/>
      <c r="I1169" s="104"/>
      <c r="J1169" s="104"/>
      <c r="K1169" s="104"/>
      <c r="L1169" s="104"/>
      <c r="M1169" s="104"/>
      <c r="N1169" s="104"/>
      <c r="O1169" s="104"/>
      <c r="P1169" s="104"/>
      <c r="Q1169" s="104"/>
      <c r="R1169" s="104"/>
      <c r="S1169" s="104"/>
    </row>
    <row r="1170" spans="4:19">
      <c r="D1170" s="104"/>
      <c r="E1170" s="104"/>
      <c r="F1170" s="104"/>
      <c r="G1170" s="104"/>
      <c r="H1170" s="104"/>
      <c r="I1170" s="104"/>
      <c r="J1170" s="104"/>
      <c r="K1170" s="104"/>
      <c r="L1170" s="104"/>
      <c r="M1170" s="104"/>
      <c r="N1170" s="104"/>
      <c r="O1170" s="104"/>
      <c r="P1170" s="104"/>
      <c r="Q1170" s="104"/>
      <c r="R1170" s="104"/>
      <c r="S1170" s="104"/>
    </row>
    <row r="1171" spans="4:19">
      <c r="D1171" s="104"/>
      <c r="E1171" s="104"/>
      <c r="F1171" s="104"/>
      <c r="G1171" s="104"/>
      <c r="H1171" s="104"/>
      <c r="I1171" s="104"/>
      <c r="J1171" s="104"/>
      <c r="K1171" s="104"/>
      <c r="L1171" s="104"/>
      <c r="M1171" s="104"/>
      <c r="N1171" s="104"/>
      <c r="O1171" s="104"/>
      <c r="P1171" s="104"/>
      <c r="Q1171" s="104"/>
      <c r="R1171" s="104"/>
      <c r="S1171" s="104"/>
    </row>
    <row r="1172" spans="4:19">
      <c r="D1172" s="104"/>
      <c r="E1172" s="104"/>
      <c r="F1172" s="104"/>
      <c r="G1172" s="104"/>
      <c r="H1172" s="104"/>
      <c r="I1172" s="104"/>
      <c r="J1172" s="104"/>
      <c r="K1172" s="104"/>
      <c r="L1172" s="104"/>
      <c r="M1172" s="104"/>
      <c r="N1172" s="104"/>
      <c r="O1172" s="104"/>
      <c r="P1172" s="104"/>
      <c r="Q1172" s="104"/>
      <c r="R1172" s="104"/>
      <c r="S1172" s="104"/>
    </row>
    <row r="1173" spans="4:19">
      <c r="D1173" s="104"/>
      <c r="E1173" s="104"/>
      <c r="F1173" s="104"/>
      <c r="G1173" s="104"/>
      <c r="H1173" s="104"/>
      <c r="I1173" s="104"/>
      <c r="J1173" s="104"/>
      <c r="K1173" s="104"/>
      <c r="L1173" s="104"/>
      <c r="M1173" s="104"/>
      <c r="N1173" s="104"/>
      <c r="O1173" s="104"/>
      <c r="P1173" s="104"/>
      <c r="Q1173" s="104"/>
      <c r="R1173" s="104"/>
      <c r="S1173" s="104"/>
    </row>
    <row r="1174" spans="4:19">
      <c r="D1174" s="104"/>
      <c r="E1174" s="104"/>
      <c r="F1174" s="104"/>
      <c r="G1174" s="104"/>
      <c r="H1174" s="104"/>
      <c r="I1174" s="104"/>
      <c r="J1174" s="104"/>
      <c r="K1174" s="104"/>
      <c r="L1174" s="104"/>
      <c r="M1174" s="104"/>
      <c r="N1174" s="104"/>
      <c r="O1174" s="104"/>
      <c r="P1174" s="104"/>
      <c r="Q1174" s="104"/>
      <c r="R1174" s="104"/>
      <c r="S1174" s="104"/>
    </row>
    <row r="1175" spans="4:19">
      <c r="D1175" s="104"/>
      <c r="E1175" s="104"/>
      <c r="F1175" s="104"/>
      <c r="G1175" s="104"/>
      <c r="H1175" s="104"/>
      <c r="I1175" s="104"/>
      <c r="J1175" s="104"/>
      <c r="K1175" s="104"/>
      <c r="L1175" s="104"/>
      <c r="M1175" s="104"/>
      <c r="N1175" s="104"/>
      <c r="O1175" s="104"/>
      <c r="P1175" s="104"/>
      <c r="Q1175" s="104"/>
      <c r="R1175" s="104"/>
      <c r="S1175" s="104"/>
    </row>
    <row r="1176" spans="4:19">
      <c r="D1176" s="104"/>
      <c r="E1176" s="104"/>
      <c r="F1176" s="104"/>
      <c r="G1176" s="104"/>
      <c r="H1176" s="104"/>
      <c r="I1176" s="104"/>
      <c r="J1176" s="104"/>
      <c r="K1176" s="104"/>
      <c r="L1176" s="104"/>
      <c r="M1176" s="104"/>
      <c r="N1176" s="104"/>
      <c r="O1176" s="104"/>
      <c r="P1176" s="104"/>
      <c r="Q1176" s="104"/>
      <c r="R1176" s="104"/>
      <c r="S1176" s="104"/>
    </row>
    <row r="1177" spans="4:19">
      <c r="D1177" s="104"/>
      <c r="E1177" s="104"/>
      <c r="F1177" s="104"/>
      <c r="G1177" s="104"/>
      <c r="H1177" s="104"/>
      <c r="I1177" s="104"/>
      <c r="J1177" s="104"/>
      <c r="K1177" s="104"/>
      <c r="L1177" s="104"/>
      <c r="M1177" s="104"/>
      <c r="N1177" s="104"/>
      <c r="O1177" s="104"/>
      <c r="P1177" s="104"/>
      <c r="Q1177" s="104"/>
      <c r="R1177" s="104"/>
      <c r="S1177" s="104"/>
    </row>
    <row r="1178" spans="4:19">
      <c r="D1178" s="104"/>
      <c r="E1178" s="104"/>
      <c r="F1178" s="104"/>
      <c r="G1178" s="104"/>
      <c r="H1178" s="104"/>
      <c r="I1178" s="104"/>
      <c r="J1178" s="104"/>
      <c r="K1178" s="104"/>
      <c r="L1178" s="104"/>
      <c r="M1178" s="104"/>
      <c r="N1178" s="104"/>
      <c r="O1178" s="104"/>
      <c r="P1178" s="104"/>
      <c r="Q1178" s="104"/>
      <c r="R1178" s="104"/>
      <c r="S1178" s="104"/>
    </row>
    <row r="1179" spans="4:19">
      <c r="D1179" s="104"/>
      <c r="E1179" s="104"/>
      <c r="F1179" s="104"/>
      <c r="G1179" s="104"/>
      <c r="H1179" s="104"/>
      <c r="I1179" s="104"/>
      <c r="J1179" s="104"/>
      <c r="K1179" s="104"/>
      <c r="L1179" s="104"/>
      <c r="M1179" s="104"/>
      <c r="N1179" s="104"/>
      <c r="O1179" s="104"/>
      <c r="P1179" s="104"/>
      <c r="Q1179" s="104"/>
      <c r="R1179" s="104"/>
      <c r="S1179" s="104"/>
    </row>
    <row r="1180" spans="4:19">
      <c r="D1180" s="104"/>
      <c r="E1180" s="104"/>
      <c r="F1180" s="104"/>
      <c r="G1180" s="104"/>
      <c r="H1180" s="104"/>
      <c r="I1180" s="104"/>
      <c r="J1180" s="104"/>
      <c r="K1180" s="104"/>
      <c r="L1180" s="104"/>
      <c r="M1180" s="104"/>
      <c r="N1180" s="104"/>
      <c r="O1180" s="104"/>
      <c r="P1180" s="104"/>
      <c r="Q1180" s="104"/>
      <c r="R1180" s="104"/>
      <c r="S1180" s="104"/>
    </row>
    <row r="1181" spans="4:19">
      <c r="D1181" s="104"/>
      <c r="E1181" s="104"/>
      <c r="F1181" s="104"/>
      <c r="G1181" s="104"/>
      <c r="H1181" s="104"/>
      <c r="I1181" s="104"/>
      <c r="J1181" s="104"/>
      <c r="K1181" s="104"/>
      <c r="L1181" s="104"/>
      <c r="M1181" s="104"/>
      <c r="N1181" s="104"/>
      <c r="O1181" s="104"/>
      <c r="P1181" s="104"/>
      <c r="Q1181" s="104"/>
      <c r="R1181" s="104"/>
      <c r="S1181" s="104"/>
    </row>
    <row r="1182" spans="4:19">
      <c r="D1182" s="104"/>
      <c r="E1182" s="104"/>
      <c r="F1182" s="104"/>
      <c r="G1182" s="104"/>
      <c r="H1182" s="104"/>
      <c r="I1182" s="104"/>
      <c r="J1182" s="104"/>
      <c r="K1182" s="104"/>
      <c r="L1182" s="104"/>
      <c r="M1182" s="104"/>
      <c r="N1182" s="104"/>
      <c r="O1182" s="104"/>
      <c r="P1182" s="104"/>
      <c r="Q1182" s="104"/>
      <c r="R1182" s="104"/>
      <c r="S1182" s="104"/>
    </row>
    <row r="1183" spans="4:19">
      <c r="D1183" s="104"/>
      <c r="E1183" s="104"/>
      <c r="F1183" s="104"/>
      <c r="G1183" s="104"/>
      <c r="H1183" s="104"/>
      <c r="I1183" s="104"/>
      <c r="J1183" s="104"/>
      <c r="K1183" s="104"/>
      <c r="L1183" s="104"/>
      <c r="M1183" s="104"/>
      <c r="N1183" s="104"/>
      <c r="O1183" s="104"/>
      <c r="P1183" s="104"/>
      <c r="Q1183" s="104"/>
      <c r="R1183" s="104"/>
      <c r="S1183" s="104"/>
    </row>
    <row r="1184" spans="4:19">
      <c r="D1184" s="104"/>
      <c r="E1184" s="104"/>
      <c r="F1184" s="104"/>
      <c r="G1184" s="104"/>
      <c r="H1184" s="104"/>
      <c r="I1184" s="104"/>
      <c r="J1184" s="104"/>
      <c r="K1184" s="104"/>
      <c r="L1184" s="104"/>
      <c r="M1184" s="104"/>
      <c r="N1184" s="104"/>
      <c r="O1184" s="104"/>
      <c r="P1184" s="104"/>
      <c r="Q1184" s="104"/>
      <c r="R1184" s="104"/>
      <c r="S1184" s="104"/>
    </row>
    <row r="1185" spans="4:19">
      <c r="D1185" s="104"/>
      <c r="E1185" s="104"/>
      <c r="F1185" s="104"/>
      <c r="G1185" s="104"/>
      <c r="H1185" s="104"/>
      <c r="I1185" s="104"/>
      <c r="J1185" s="104"/>
      <c r="K1185" s="104"/>
      <c r="L1185" s="104"/>
      <c r="M1185" s="104"/>
      <c r="N1185" s="104"/>
      <c r="O1185" s="104"/>
      <c r="P1185" s="104"/>
      <c r="Q1185" s="104"/>
      <c r="R1185" s="104"/>
      <c r="S1185" s="104"/>
    </row>
    <row r="1186" spans="4:19">
      <c r="D1186" s="104"/>
      <c r="E1186" s="104"/>
      <c r="F1186" s="104"/>
      <c r="G1186" s="104"/>
      <c r="H1186" s="104"/>
      <c r="I1186" s="104"/>
      <c r="J1186" s="104"/>
      <c r="K1186" s="104"/>
      <c r="L1186" s="104"/>
      <c r="M1186" s="104"/>
      <c r="N1186" s="104"/>
      <c r="O1186" s="104"/>
      <c r="P1186" s="104"/>
      <c r="Q1186" s="104"/>
      <c r="R1186" s="104"/>
      <c r="S1186" s="104"/>
    </row>
    <row r="1187" spans="4:19">
      <c r="D1187" s="104"/>
      <c r="E1187" s="104"/>
      <c r="F1187" s="104"/>
      <c r="G1187" s="104"/>
      <c r="H1187" s="104"/>
      <c r="I1187" s="104"/>
      <c r="J1187" s="104"/>
      <c r="K1187" s="104"/>
      <c r="L1187" s="104"/>
      <c r="M1187" s="104"/>
      <c r="N1187" s="104"/>
      <c r="O1187" s="104"/>
      <c r="P1187" s="104"/>
      <c r="Q1187" s="104"/>
      <c r="R1187" s="104"/>
      <c r="S1187" s="104"/>
    </row>
    <row r="1188" spans="4:19">
      <c r="D1188" s="104"/>
      <c r="E1188" s="104"/>
      <c r="F1188" s="104"/>
      <c r="G1188" s="104"/>
      <c r="H1188" s="104"/>
      <c r="I1188" s="104"/>
      <c r="J1188" s="104"/>
      <c r="K1188" s="104"/>
      <c r="L1188" s="104"/>
      <c r="M1188" s="104"/>
      <c r="N1188" s="104"/>
      <c r="O1188" s="104"/>
      <c r="P1188" s="104"/>
      <c r="Q1188" s="104"/>
      <c r="R1188" s="104"/>
      <c r="S1188" s="104"/>
    </row>
    <row r="1189" spans="4:19">
      <c r="D1189" s="104"/>
      <c r="E1189" s="104"/>
      <c r="F1189" s="104"/>
      <c r="G1189" s="104"/>
      <c r="H1189" s="104"/>
      <c r="I1189" s="104"/>
      <c r="J1189" s="104"/>
      <c r="K1189" s="104"/>
      <c r="L1189" s="104"/>
      <c r="M1189" s="104"/>
      <c r="N1189" s="104"/>
      <c r="O1189" s="104"/>
      <c r="P1189" s="104"/>
      <c r="Q1189" s="104"/>
      <c r="R1189" s="104"/>
      <c r="S1189" s="104"/>
    </row>
    <row r="1190" spans="4:19">
      <c r="D1190" s="104"/>
      <c r="E1190" s="104"/>
      <c r="F1190" s="104"/>
      <c r="G1190" s="104"/>
      <c r="H1190" s="104"/>
      <c r="I1190" s="104"/>
      <c r="J1190" s="104"/>
      <c r="K1190" s="104"/>
      <c r="L1190" s="104"/>
      <c r="M1190" s="104"/>
      <c r="N1190" s="104"/>
      <c r="O1190" s="104"/>
      <c r="P1190" s="104"/>
      <c r="Q1190" s="104"/>
      <c r="R1190" s="104"/>
      <c r="S1190" s="104"/>
    </row>
    <row r="1191" spans="4:19">
      <c r="D1191" s="104"/>
      <c r="E1191" s="104"/>
      <c r="F1191" s="104"/>
      <c r="G1191" s="104"/>
      <c r="H1191" s="104"/>
      <c r="I1191" s="104"/>
      <c r="J1191" s="104"/>
      <c r="K1191" s="104"/>
      <c r="L1191" s="104"/>
      <c r="M1191" s="104"/>
      <c r="N1191" s="104"/>
      <c r="O1191" s="104"/>
      <c r="P1191" s="104"/>
      <c r="Q1191" s="104"/>
      <c r="R1191" s="104"/>
      <c r="S1191" s="104"/>
    </row>
    <row r="1192" spans="4:19">
      <c r="D1192" s="104"/>
      <c r="E1192" s="104"/>
      <c r="F1192" s="104"/>
      <c r="G1192" s="104"/>
      <c r="H1192" s="104"/>
      <c r="I1192" s="104"/>
      <c r="J1192" s="104"/>
      <c r="K1192" s="104"/>
      <c r="L1192" s="104"/>
      <c r="M1192" s="104"/>
      <c r="N1192" s="104"/>
      <c r="O1192" s="104"/>
      <c r="P1192" s="104"/>
      <c r="Q1192" s="104"/>
      <c r="R1192" s="104"/>
      <c r="S1192" s="104"/>
    </row>
    <row r="1193" spans="4:19">
      <c r="D1193" s="104"/>
      <c r="E1193" s="104"/>
      <c r="F1193" s="104"/>
      <c r="G1193" s="104"/>
      <c r="H1193" s="104"/>
      <c r="I1193" s="104"/>
      <c r="J1193" s="104"/>
      <c r="K1193" s="104"/>
      <c r="L1193" s="104"/>
      <c r="M1193" s="104"/>
      <c r="N1193" s="104"/>
      <c r="O1193" s="104"/>
      <c r="P1193" s="104"/>
      <c r="Q1193" s="104"/>
      <c r="R1193" s="104"/>
      <c r="S1193" s="104"/>
    </row>
    <row r="1194" spans="4:19">
      <c r="D1194" s="104"/>
      <c r="E1194" s="104"/>
      <c r="F1194" s="104"/>
      <c r="G1194" s="104"/>
      <c r="H1194" s="104"/>
      <c r="I1194" s="104"/>
      <c r="J1194" s="104"/>
      <c r="K1194" s="104"/>
      <c r="L1194" s="104"/>
      <c r="M1194" s="104"/>
      <c r="N1194" s="104"/>
      <c r="O1194" s="104"/>
      <c r="P1194" s="104"/>
      <c r="Q1194" s="104"/>
      <c r="R1194" s="104"/>
      <c r="S1194" s="104"/>
    </row>
    <row r="1195" spans="4:19">
      <c r="D1195" s="104"/>
      <c r="E1195" s="104"/>
      <c r="F1195" s="104"/>
      <c r="G1195" s="104"/>
      <c r="H1195" s="104"/>
      <c r="I1195" s="104"/>
      <c r="J1195" s="104"/>
      <c r="K1195" s="104"/>
      <c r="L1195" s="104"/>
      <c r="M1195" s="104"/>
      <c r="N1195" s="104"/>
      <c r="O1195" s="104"/>
      <c r="P1195" s="104"/>
      <c r="Q1195" s="104"/>
      <c r="R1195" s="104"/>
      <c r="S1195" s="104"/>
    </row>
    <row r="1196" spans="4:19">
      <c r="D1196" s="104"/>
      <c r="E1196" s="104"/>
      <c r="F1196" s="104"/>
      <c r="G1196" s="104"/>
      <c r="H1196" s="104"/>
      <c r="I1196" s="104"/>
      <c r="J1196" s="104"/>
      <c r="K1196" s="104"/>
      <c r="L1196" s="104"/>
      <c r="M1196" s="104"/>
      <c r="N1196" s="104"/>
      <c r="O1196" s="104"/>
      <c r="P1196" s="104"/>
      <c r="Q1196" s="104"/>
      <c r="R1196" s="104"/>
      <c r="S1196" s="104"/>
    </row>
    <row r="1197" spans="4:19">
      <c r="D1197" s="104"/>
      <c r="E1197" s="104"/>
      <c r="F1197" s="104"/>
      <c r="G1197" s="104"/>
      <c r="H1197" s="104"/>
      <c r="I1197" s="104"/>
      <c r="J1197" s="104"/>
      <c r="K1197" s="104"/>
      <c r="L1197" s="104"/>
      <c r="M1197" s="104"/>
      <c r="N1197" s="104"/>
      <c r="O1197" s="104"/>
      <c r="P1197" s="104"/>
      <c r="Q1197" s="104"/>
      <c r="R1197" s="104"/>
      <c r="S1197" s="104"/>
    </row>
    <row r="1198" spans="4:19">
      <c r="D1198" s="104"/>
      <c r="E1198" s="104"/>
      <c r="F1198" s="104"/>
      <c r="G1198" s="104"/>
      <c r="H1198" s="104"/>
      <c r="I1198" s="104"/>
      <c r="J1198" s="104"/>
      <c r="K1198" s="104"/>
      <c r="L1198" s="104"/>
      <c r="M1198" s="104"/>
      <c r="N1198" s="104"/>
      <c r="O1198" s="104"/>
      <c r="P1198" s="104"/>
      <c r="Q1198" s="104"/>
      <c r="R1198" s="104"/>
      <c r="S1198" s="104"/>
    </row>
    <row r="1199" spans="4:19">
      <c r="D1199" s="104"/>
      <c r="E1199" s="104"/>
      <c r="F1199" s="104"/>
      <c r="G1199" s="104"/>
      <c r="H1199" s="104"/>
      <c r="I1199" s="104"/>
      <c r="J1199" s="104"/>
      <c r="K1199" s="104"/>
      <c r="L1199" s="104"/>
      <c r="M1199" s="104"/>
      <c r="N1199" s="104"/>
      <c r="O1199" s="104"/>
      <c r="P1199" s="104"/>
      <c r="Q1199" s="104"/>
      <c r="R1199" s="104"/>
      <c r="S1199" s="104"/>
    </row>
    <row r="1200" spans="4:19">
      <c r="D1200" s="104"/>
      <c r="E1200" s="104"/>
      <c r="F1200" s="104"/>
      <c r="G1200" s="104"/>
      <c r="H1200" s="104"/>
      <c r="I1200" s="104"/>
      <c r="J1200" s="104"/>
      <c r="K1200" s="104"/>
      <c r="L1200" s="104"/>
      <c r="M1200" s="104"/>
      <c r="N1200" s="104"/>
      <c r="O1200" s="104"/>
      <c r="P1200" s="104"/>
      <c r="Q1200" s="104"/>
      <c r="R1200" s="104"/>
      <c r="S1200" s="104"/>
    </row>
    <row r="1201" spans="4:19">
      <c r="D1201" s="104"/>
      <c r="E1201" s="104"/>
      <c r="F1201" s="104"/>
      <c r="G1201" s="104"/>
      <c r="H1201" s="104"/>
      <c r="I1201" s="104"/>
      <c r="J1201" s="104"/>
      <c r="K1201" s="104"/>
      <c r="L1201" s="104"/>
      <c r="M1201" s="104"/>
      <c r="N1201" s="104"/>
      <c r="O1201" s="104"/>
      <c r="P1201" s="104"/>
      <c r="Q1201" s="104"/>
      <c r="R1201" s="104"/>
      <c r="S1201" s="104"/>
    </row>
    <row r="1202" spans="4:19">
      <c r="D1202" s="104"/>
      <c r="E1202" s="104"/>
      <c r="F1202" s="104"/>
      <c r="G1202" s="104"/>
      <c r="H1202" s="104"/>
      <c r="I1202" s="104"/>
      <c r="J1202" s="104"/>
      <c r="K1202" s="104"/>
      <c r="L1202" s="104"/>
      <c r="M1202" s="104"/>
      <c r="N1202" s="104"/>
      <c r="O1202" s="104"/>
      <c r="P1202" s="104"/>
      <c r="Q1202" s="104"/>
      <c r="R1202" s="104"/>
      <c r="S1202" s="104"/>
    </row>
    <row r="1203" spans="4:19">
      <c r="D1203" s="104"/>
      <c r="E1203" s="104"/>
      <c r="F1203" s="104"/>
      <c r="G1203" s="104"/>
      <c r="H1203" s="104"/>
      <c r="I1203" s="104"/>
      <c r="J1203" s="104"/>
      <c r="K1203" s="104"/>
      <c r="L1203" s="104"/>
      <c r="M1203" s="104"/>
      <c r="N1203" s="104"/>
      <c r="O1203" s="104"/>
      <c r="P1203" s="104"/>
      <c r="Q1203" s="104"/>
      <c r="R1203" s="104"/>
      <c r="S1203" s="104"/>
    </row>
    <row r="1204" spans="4:19">
      <c r="D1204" s="104"/>
      <c r="E1204" s="104"/>
      <c r="F1204" s="104"/>
      <c r="G1204" s="104"/>
      <c r="H1204" s="104"/>
      <c r="I1204" s="104"/>
      <c r="J1204" s="104"/>
      <c r="K1204" s="104"/>
      <c r="L1204" s="104"/>
      <c r="M1204" s="104"/>
      <c r="N1204" s="104"/>
      <c r="O1204" s="104"/>
      <c r="P1204" s="104"/>
      <c r="Q1204" s="104"/>
      <c r="R1204" s="104"/>
      <c r="S1204" s="104"/>
    </row>
    <row r="1205" spans="4:19">
      <c r="D1205" s="104"/>
      <c r="E1205" s="104"/>
      <c r="F1205" s="104"/>
      <c r="G1205" s="104"/>
      <c r="H1205" s="104"/>
      <c r="I1205" s="104"/>
      <c r="J1205" s="104"/>
      <c r="K1205" s="104"/>
      <c r="L1205" s="104"/>
      <c r="M1205" s="104"/>
      <c r="N1205" s="104"/>
      <c r="O1205" s="104"/>
      <c r="P1205" s="104"/>
      <c r="Q1205" s="104"/>
      <c r="R1205" s="104"/>
      <c r="S1205" s="104"/>
    </row>
    <row r="1206" spans="4:19">
      <c r="D1206" s="104"/>
      <c r="E1206" s="104"/>
      <c r="F1206" s="104"/>
      <c r="G1206" s="104"/>
      <c r="H1206" s="104"/>
      <c r="I1206" s="104"/>
      <c r="J1206" s="104"/>
      <c r="K1206" s="104"/>
      <c r="L1206" s="104"/>
      <c r="M1206" s="104"/>
      <c r="N1206" s="104"/>
      <c r="O1206" s="104"/>
      <c r="P1206" s="104"/>
      <c r="Q1206" s="104"/>
      <c r="R1206" s="104"/>
      <c r="S1206" s="104"/>
    </row>
    <row r="1207" spans="4:19">
      <c r="D1207" s="104"/>
      <c r="E1207" s="104"/>
      <c r="F1207" s="104"/>
      <c r="G1207" s="104"/>
      <c r="H1207" s="104"/>
      <c r="I1207" s="104"/>
      <c r="J1207" s="104"/>
      <c r="K1207" s="104"/>
      <c r="L1207" s="104"/>
      <c r="M1207" s="104"/>
      <c r="N1207" s="104"/>
      <c r="O1207" s="104"/>
      <c r="P1207" s="104"/>
      <c r="Q1207" s="104"/>
      <c r="R1207" s="104"/>
      <c r="S1207" s="104"/>
    </row>
    <row r="1208" spans="4:19">
      <c r="D1208" s="104"/>
      <c r="E1208" s="104"/>
      <c r="F1208" s="104"/>
      <c r="G1208" s="104"/>
      <c r="H1208" s="104"/>
      <c r="I1208" s="104"/>
      <c r="J1208" s="104"/>
      <c r="K1208" s="104"/>
      <c r="L1208" s="104"/>
      <c r="M1208" s="104"/>
      <c r="N1208" s="104"/>
      <c r="O1208" s="104"/>
      <c r="P1208" s="104"/>
      <c r="Q1208" s="104"/>
      <c r="R1208" s="104"/>
      <c r="S1208" s="104"/>
    </row>
    <row r="1209" spans="4:19">
      <c r="D1209" s="104"/>
      <c r="E1209" s="104"/>
      <c r="F1209" s="104"/>
      <c r="G1209" s="104"/>
      <c r="H1209" s="104"/>
      <c r="I1209" s="104"/>
      <c r="J1209" s="104"/>
      <c r="K1209" s="104"/>
      <c r="L1209" s="104"/>
      <c r="M1209" s="104"/>
      <c r="N1209" s="104"/>
      <c r="O1209" s="104"/>
      <c r="P1209" s="104"/>
      <c r="Q1209" s="104"/>
      <c r="R1209" s="104"/>
      <c r="S1209" s="104"/>
    </row>
    <row r="1210" spans="4:19">
      <c r="D1210" s="104"/>
      <c r="E1210" s="104"/>
      <c r="F1210" s="104"/>
      <c r="G1210" s="104"/>
      <c r="H1210" s="104"/>
      <c r="I1210" s="104"/>
      <c r="J1210" s="104"/>
      <c r="K1210" s="104"/>
      <c r="L1210" s="104"/>
      <c r="M1210" s="104"/>
      <c r="N1210" s="104"/>
      <c r="O1210" s="104"/>
      <c r="P1210" s="104"/>
      <c r="Q1210" s="104"/>
      <c r="R1210" s="104"/>
      <c r="S1210" s="104"/>
    </row>
    <row r="1211" spans="4:19">
      <c r="D1211" s="104"/>
      <c r="E1211" s="104"/>
      <c r="F1211" s="104"/>
      <c r="G1211" s="104"/>
      <c r="H1211" s="104"/>
      <c r="I1211" s="104"/>
      <c r="J1211" s="104"/>
      <c r="K1211" s="104"/>
      <c r="L1211" s="104"/>
      <c r="M1211" s="104"/>
      <c r="N1211" s="104"/>
      <c r="O1211" s="104"/>
      <c r="P1211" s="104"/>
      <c r="Q1211" s="104"/>
      <c r="R1211" s="104"/>
      <c r="S1211" s="104"/>
    </row>
    <row r="1212" spans="4:19">
      <c r="D1212" s="104"/>
      <c r="E1212" s="104"/>
      <c r="F1212" s="104"/>
      <c r="G1212" s="104"/>
      <c r="H1212" s="104"/>
      <c r="I1212" s="104"/>
      <c r="J1212" s="104"/>
      <c r="K1212" s="104"/>
      <c r="L1212" s="104"/>
      <c r="M1212" s="104"/>
      <c r="N1212" s="104"/>
      <c r="O1212" s="104"/>
      <c r="P1212" s="104"/>
      <c r="Q1212" s="104"/>
      <c r="R1212" s="104"/>
      <c r="S1212" s="104"/>
    </row>
    <row r="1213" spans="4:19">
      <c r="D1213" s="104"/>
      <c r="E1213" s="104"/>
      <c r="F1213" s="104"/>
      <c r="G1213" s="104"/>
      <c r="H1213" s="104"/>
      <c r="I1213" s="104"/>
      <c r="J1213" s="104"/>
      <c r="K1213" s="104"/>
      <c r="L1213" s="104"/>
      <c r="M1213" s="104"/>
      <c r="N1213" s="104"/>
      <c r="O1213" s="104"/>
      <c r="P1213" s="104"/>
      <c r="Q1213" s="104"/>
      <c r="R1213" s="104"/>
      <c r="S1213" s="104"/>
    </row>
    <row r="1214" spans="4:19">
      <c r="D1214" s="104"/>
      <c r="E1214" s="104"/>
      <c r="F1214" s="104"/>
      <c r="G1214" s="104"/>
      <c r="H1214" s="104"/>
      <c r="I1214" s="104"/>
      <c r="J1214" s="104"/>
      <c r="K1214" s="104"/>
      <c r="L1214" s="104"/>
      <c r="M1214" s="104"/>
      <c r="N1214" s="104"/>
      <c r="O1214" s="104"/>
      <c r="P1214" s="104"/>
      <c r="Q1214" s="104"/>
      <c r="R1214" s="104"/>
      <c r="S1214" s="104"/>
    </row>
    <row r="1215" spans="4:19">
      <c r="D1215" s="104"/>
      <c r="E1215" s="104"/>
      <c r="F1215" s="104"/>
      <c r="G1215" s="104"/>
      <c r="H1215" s="104"/>
      <c r="I1215" s="104"/>
      <c r="J1215" s="104"/>
      <c r="K1215" s="104"/>
      <c r="L1215" s="104"/>
      <c r="M1215" s="104"/>
      <c r="N1215" s="104"/>
      <c r="O1215" s="104"/>
      <c r="P1215" s="104"/>
      <c r="Q1215" s="104"/>
      <c r="R1215" s="104"/>
      <c r="S1215" s="104"/>
    </row>
    <row r="1216" spans="4:19">
      <c r="D1216" s="104"/>
      <c r="E1216" s="104"/>
      <c r="F1216" s="104"/>
      <c r="G1216" s="104"/>
      <c r="H1216" s="104"/>
      <c r="I1216" s="104"/>
      <c r="J1216" s="104"/>
      <c r="K1216" s="104"/>
      <c r="L1216" s="104"/>
      <c r="M1216" s="104"/>
      <c r="N1216" s="104"/>
      <c r="O1216" s="104"/>
      <c r="P1216" s="104"/>
      <c r="Q1216" s="104"/>
      <c r="R1216" s="104"/>
      <c r="S1216" s="104"/>
    </row>
    <row r="1217" spans="4:19">
      <c r="D1217" s="104"/>
      <c r="E1217" s="104"/>
      <c r="F1217" s="104"/>
      <c r="G1217" s="104"/>
      <c r="H1217" s="104"/>
      <c r="I1217" s="104"/>
      <c r="J1217" s="104"/>
      <c r="K1217" s="104"/>
      <c r="L1217" s="104"/>
      <c r="M1217" s="104"/>
      <c r="N1217" s="104"/>
      <c r="O1217" s="104"/>
      <c r="P1217" s="104"/>
      <c r="Q1217" s="104"/>
      <c r="R1217" s="104"/>
      <c r="S1217" s="104"/>
    </row>
    <row r="1218" spans="4:19">
      <c r="D1218" s="104"/>
      <c r="E1218" s="104"/>
      <c r="F1218" s="104"/>
      <c r="G1218" s="104"/>
      <c r="H1218" s="104"/>
      <c r="I1218" s="104"/>
      <c r="J1218" s="104"/>
      <c r="K1218" s="104"/>
      <c r="L1218" s="104"/>
      <c r="M1218" s="104"/>
      <c r="N1218" s="104"/>
      <c r="O1218" s="104"/>
      <c r="P1218" s="104"/>
      <c r="Q1218" s="104"/>
      <c r="R1218" s="104"/>
      <c r="S1218" s="104"/>
    </row>
    <row r="1219" spans="4:19">
      <c r="D1219" s="104"/>
      <c r="E1219" s="104"/>
      <c r="F1219" s="104"/>
      <c r="G1219" s="104"/>
      <c r="H1219" s="104"/>
      <c r="I1219" s="104"/>
      <c r="J1219" s="104"/>
      <c r="K1219" s="104"/>
      <c r="L1219" s="104"/>
      <c r="M1219" s="104"/>
      <c r="N1219" s="104"/>
      <c r="O1219" s="104"/>
      <c r="P1219" s="104"/>
      <c r="Q1219" s="104"/>
      <c r="R1219" s="104"/>
      <c r="S1219" s="104"/>
    </row>
    <row r="1220" spans="4:19">
      <c r="D1220" s="104"/>
      <c r="E1220" s="104"/>
      <c r="F1220" s="104"/>
      <c r="G1220" s="104"/>
      <c r="H1220" s="104"/>
      <c r="I1220" s="104"/>
      <c r="J1220" s="104"/>
      <c r="K1220" s="104"/>
      <c r="L1220" s="104"/>
      <c r="M1220" s="104"/>
      <c r="N1220" s="104"/>
      <c r="O1220" s="104"/>
      <c r="P1220" s="104"/>
      <c r="Q1220" s="104"/>
      <c r="R1220" s="104"/>
      <c r="S1220" s="104"/>
    </row>
    <row r="1221" spans="4:19">
      <c r="D1221" s="104"/>
      <c r="E1221" s="104"/>
      <c r="F1221" s="104"/>
      <c r="G1221" s="104"/>
      <c r="H1221" s="104"/>
      <c r="I1221" s="104"/>
      <c r="J1221" s="104"/>
      <c r="K1221" s="104"/>
      <c r="L1221" s="104"/>
      <c r="M1221" s="104"/>
      <c r="N1221" s="104"/>
      <c r="O1221" s="104"/>
      <c r="P1221" s="104"/>
      <c r="Q1221" s="104"/>
      <c r="R1221" s="104"/>
      <c r="S1221" s="104"/>
    </row>
    <row r="1222" spans="4:19">
      <c r="D1222" s="104"/>
      <c r="E1222" s="104"/>
      <c r="F1222" s="104"/>
      <c r="G1222" s="104"/>
      <c r="H1222" s="104"/>
      <c r="I1222" s="104"/>
      <c r="J1222" s="104"/>
      <c r="K1222" s="104"/>
      <c r="L1222" s="104"/>
      <c r="M1222" s="104"/>
      <c r="N1222" s="104"/>
      <c r="O1222" s="104"/>
      <c r="P1222" s="104"/>
      <c r="Q1222" s="104"/>
      <c r="R1222" s="104"/>
      <c r="S1222" s="104"/>
    </row>
    <row r="1223" spans="4:19">
      <c r="D1223" s="104"/>
      <c r="E1223" s="104"/>
      <c r="F1223" s="104"/>
      <c r="G1223" s="104"/>
      <c r="H1223" s="104"/>
      <c r="I1223" s="104"/>
      <c r="J1223" s="104"/>
      <c r="K1223" s="104"/>
      <c r="L1223" s="104"/>
      <c r="M1223" s="104"/>
      <c r="N1223" s="104"/>
      <c r="O1223" s="104"/>
      <c r="P1223" s="104"/>
      <c r="Q1223" s="104"/>
      <c r="R1223" s="104"/>
      <c r="S1223" s="104"/>
    </row>
    <row r="1224" spans="4:19">
      <c r="D1224" s="104"/>
      <c r="E1224" s="104"/>
      <c r="F1224" s="104"/>
      <c r="G1224" s="104"/>
      <c r="H1224" s="104"/>
      <c r="I1224" s="104"/>
      <c r="J1224" s="104"/>
      <c r="K1224" s="104"/>
      <c r="L1224" s="104"/>
      <c r="M1224" s="104"/>
      <c r="N1224" s="104"/>
      <c r="O1224" s="104"/>
      <c r="P1224" s="104"/>
      <c r="Q1224" s="104"/>
      <c r="R1224" s="104"/>
      <c r="S1224" s="104"/>
    </row>
    <row r="1225" spans="4:19">
      <c r="D1225" s="104"/>
      <c r="E1225" s="104"/>
      <c r="F1225" s="104"/>
      <c r="G1225" s="104"/>
      <c r="H1225" s="104"/>
      <c r="I1225" s="104"/>
      <c r="J1225" s="104"/>
      <c r="K1225" s="104"/>
      <c r="L1225" s="104"/>
      <c r="M1225" s="104"/>
      <c r="N1225" s="104"/>
      <c r="O1225" s="104"/>
      <c r="P1225" s="104"/>
      <c r="Q1225" s="104"/>
      <c r="R1225" s="104"/>
      <c r="S1225" s="104"/>
    </row>
    <row r="1226" spans="4:19">
      <c r="D1226" s="104"/>
      <c r="E1226" s="104"/>
      <c r="F1226" s="104"/>
      <c r="G1226" s="104"/>
      <c r="H1226" s="104"/>
      <c r="I1226" s="104"/>
      <c r="J1226" s="104"/>
      <c r="K1226" s="104"/>
      <c r="L1226" s="104"/>
      <c r="M1226" s="104"/>
      <c r="N1226" s="104"/>
      <c r="O1226" s="104"/>
      <c r="P1226" s="104"/>
      <c r="Q1226" s="104"/>
      <c r="R1226" s="104"/>
      <c r="S1226" s="104"/>
    </row>
    <row r="1227" spans="4:19">
      <c r="D1227" s="104"/>
      <c r="E1227" s="104"/>
      <c r="F1227" s="104"/>
      <c r="G1227" s="104"/>
      <c r="H1227" s="104"/>
      <c r="I1227" s="104"/>
      <c r="J1227" s="104"/>
      <c r="K1227" s="104"/>
      <c r="L1227" s="104"/>
      <c r="M1227" s="104"/>
      <c r="N1227" s="104"/>
      <c r="O1227" s="104"/>
      <c r="P1227" s="104"/>
      <c r="Q1227" s="104"/>
      <c r="R1227" s="104"/>
      <c r="S1227" s="104"/>
    </row>
    <row r="1228" spans="4:19">
      <c r="D1228" s="104"/>
      <c r="E1228" s="104"/>
      <c r="F1228" s="104"/>
      <c r="G1228" s="104"/>
      <c r="H1228" s="104"/>
      <c r="I1228" s="104"/>
      <c r="J1228" s="104"/>
      <c r="K1228" s="104"/>
      <c r="L1228" s="104"/>
      <c r="M1228" s="104"/>
      <c r="N1228" s="104"/>
      <c r="O1228" s="104"/>
      <c r="P1228" s="104"/>
      <c r="Q1228" s="104"/>
      <c r="R1228" s="104"/>
      <c r="S1228" s="104"/>
    </row>
    <row r="1229" spans="4:19">
      <c r="D1229" s="104"/>
      <c r="E1229" s="104"/>
      <c r="F1229" s="104"/>
      <c r="G1229" s="104"/>
      <c r="H1229" s="104"/>
      <c r="I1229" s="104"/>
      <c r="J1229" s="104"/>
      <c r="K1229" s="104"/>
      <c r="L1229" s="104"/>
      <c r="M1229" s="104"/>
      <c r="N1229" s="104"/>
      <c r="O1229" s="104"/>
      <c r="P1229" s="104"/>
      <c r="Q1229" s="104"/>
      <c r="R1229" s="104"/>
      <c r="S1229" s="104"/>
    </row>
    <row r="1230" spans="4:19">
      <c r="D1230" s="104"/>
      <c r="E1230" s="104"/>
      <c r="F1230" s="104"/>
      <c r="G1230" s="104"/>
      <c r="H1230" s="104"/>
      <c r="I1230" s="104"/>
      <c r="J1230" s="104"/>
      <c r="K1230" s="104"/>
      <c r="L1230" s="104"/>
      <c r="M1230" s="104"/>
      <c r="N1230" s="104"/>
      <c r="O1230" s="104"/>
      <c r="P1230" s="104"/>
      <c r="Q1230" s="104"/>
      <c r="R1230" s="104"/>
      <c r="S1230" s="104"/>
    </row>
    <row r="1231" spans="4:19">
      <c r="D1231" s="104"/>
      <c r="E1231" s="104"/>
      <c r="F1231" s="104"/>
      <c r="G1231" s="104"/>
      <c r="H1231" s="104"/>
      <c r="I1231" s="104"/>
      <c r="J1231" s="104"/>
      <c r="K1231" s="104"/>
      <c r="L1231" s="104"/>
      <c r="M1231" s="104"/>
      <c r="N1231" s="104"/>
      <c r="O1231" s="104"/>
      <c r="P1231" s="104"/>
      <c r="Q1231" s="104"/>
      <c r="R1231" s="104"/>
      <c r="S1231" s="104"/>
    </row>
    <row r="1232" spans="4:19">
      <c r="D1232" s="104"/>
      <c r="E1232" s="104"/>
      <c r="F1232" s="104"/>
      <c r="G1232" s="104"/>
      <c r="H1232" s="104"/>
      <c r="I1232" s="104"/>
      <c r="J1232" s="104"/>
      <c r="K1232" s="104"/>
      <c r="L1232" s="104"/>
      <c r="M1232" s="104"/>
      <c r="N1232" s="104"/>
      <c r="O1232" s="104"/>
      <c r="P1232" s="104"/>
      <c r="Q1232" s="104"/>
      <c r="R1232" s="104"/>
      <c r="S1232" s="104"/>
    </row>
    <row r="1233" spans="4:19">
      <c r="D1233" s="104"/>
      <c r="E1233" s="104"/>
      <c r="F1233" s="104"/>
      <c r="G1233" s="104"/>
      <c r="H1233" s="104"/>
      <c r="I1233" s="104"/>
      <c r="J1233" s="104"/>
      <c r="K1233" s="104"/>
      <c r="L1233" s="104"/>
      <c r="M1233" s="104"/>
      <c r="N1233" s="104"/>
      <c r="O1233" s="104"/>
      <c r="P1233" s="104"/>
      <c r="Q1233" s="104"/>
      <c r="R1233" s="104"/>
      <c r="S1233" s="104"/>
    </row>
    <row r="1234" spans="4:19">
      <c r="D1234" s="104"/>
      <c r="E1234" s="104"/>
      <c r="F1234" s="104"/>
      <c r="G1234" s="104"/>
      <c r="H1234" s="104"/>
      <c r="I1234" s="104"/>
      <c r="J1234" s="104"/>
      <c r="K1234" s="104"/>
      <c r="L1234" s="104"/>
      <c r="M1234" s="104"/>
      <c r="N1234" s="104"/>
      <c r="O1234" s="104"/>
      <c r="P1234" s="104"/>
      <c r="Q1234" s="104"/>
      <c r="R1234" s="104"/>
      <c r="S1234" s="104"/>
    </row>
    <row r="1235" spans="4:19">
      <c r="D1235" s="104"/>
      <c r="E1235" s="104"/>
      <c r="F1235" s="104"/>
      <c r="G1235" s="104"/>
      <c r="H1235" s="104"/>
      <c r="I1235" s="104"/>
      <c r="J1235" s="104"/>
      <c r="K1235" s="104"/>
      <c r="L1235" s="104"/>
      <c r="M1235" s="104"/>
      <c r="N1235" s="104"/>
      <c r="O1235" s="104"/>
      <c r="P1235" s="104"/>
      <c r="Q1235" s="104"/>
      <c r="R1235" s="104"/>
      <c r="S1235" s="104"/>
    </row>
    <row r="1236" spans="4:19">
      <c r="D1236" s="104"/>
      <c r="E1236" s="104"/>
      <c r="F1236" s="104"/>
      <c r="G1236" s="104"/>
      <c r="H1236" s="104"/>
      <c r="I1236" s="104"/>
      <c r="J1236" s="104"/>
      <c r="K1236" s="104"/>
      <c r="L1236" s="104"/>
      <c r="M1236" s="104"/>
      <c r="N1236" s="104"/>
      <c r="O1236" s="104"/>
      <c r="P1236" s="104"/>
      <c r="Q1236" s="104"/>
      <c r="R1236" s="104"/>
      <c r="S1236" s="104"/>
    </row>
    <row r="1237" spans="4:19">
      <c r="D1237" s="104"/>
      <c r="E1237" s="104"/>
      <c r="F1237" s="104"/>
      <c r="G1237" s="104"/>
      <c r="H1237" s="104"/>
      <c r="I1237" s="104"/>
      <c r="J1237" s="104"/>
      <c r="K1237" s="104"/>
      <c r="L1237" s="104"/>
      <c r="M1237" s="104"/>
      <c r="N1237" s="104"/>
      <c r="O1237" s="104"/>
      <c r="P1237" s="104"/>
      <c r="Q1237" s="104"/>
      <c r="R1237" s="104"/>
      <c r="S1237" s="104"/>
    </row>
    <row r="1238" spans="4:19">
      <c r="D1238" s="104"/>
      <c r="E1238" s="104"/>
      <c r="F1238" s="104"/>
      <c r="G1238" s="104"/>
      <c r="H1238" s="104"/>
      <c r="I1238" s="104"/>
      <c r="J1238" s="104"/>
      <c r="K1238" s="104"/>
      <c r="L1238" s="104"/>
      <c r="M1238" s="104"/>
      <c r="N1238" s="104"/>
      <c r="O1238" s="104"/>
      <c r="P1238" s="104"/>
      <c r="Q1238" s="104"/>
      <c r="R1238" s="104"/>
      <c r="S1238" s="104"/>
    </row>
    <row r="1239" spans="4:19">
      <c r="D1239" s="104"/>
      <c r="E1239" s="104"/>
      <c r="F1239" s="104"/>
      <c r="G1239" s="104"/>
      <c r="H1239" s="104"/>
      <c r="I1239" s="104"/>
      <c r="J1239" s="104"/>
      <c r="K1239" s="104"/>
      <c r="L1239" s="104"/>
      <c r="M1239" s="104"/>
      <c r="N1239" s="104"/>
      <c r="O1239" s="104"/>
      <c r="P1239" s="104"/>
      <c r="Q1239" s="104"/>
      <c r="R1239" s="104"/>
      <c r="S1239" s="104"/>
    </row>
    <row r="1240" spans="4:19">
      <c r="D1240" s="104"/>
      <c r="E1240" s="104"/>
      <c r="F1240" s="104"/>
      <c r="G1240" s="104"/>
      <c r="H1240" s="104"/>
      <c r="I1240" s="104"/>
      <c r="J1240" s="104"/>
      <c r="K1240" s="104"/>
      <c r="L1240" s="104"/>
      <c r="M1240" s="104"/>
      <c r="N1240" s="104"/>
      <c r="O1240" s="104"/>
      <c r="P1240" s="104"/>
      <c r="Q1240" s="104"/>
      <c r="R1240" s="104"/>
      <c r="S1240" s="104"/>
    </row>
    <row r="1241" spans="4:19">
      <c r="D1241" s="104"/>
      <c r="E1241" s="104"/>
      <c r="F1241" s="104"/>
      <c r="G1241" s="104"/>
      <c r="H1241" s="104"/>
      <c r="I1241" s="104"/>
      <c r="J1241" s="104"/>
      <c r="K1241" s="104"/>
      <c r="L1241" s="104"/>
      <c r="M1241" s="104"/>
      <c r="N1241" s="104"/>
      <c r="O1241" s="104"/>
      <c r="P1241" s="104"/>
      <c r="Q1241" s="104"/>
      <c r="R1241" s="104"/>
      <c r="S1241" s="104"/>
    </row>
    <row r="1242" spans="4:19">
      <c r="D1242" s="104"/>
      <c r="E1242" s="104"/>
      <c r="F1242" s="104"/>
      <c r="G1242" s="104"/>
      <c r="H1242" s="104"/>
      <c r="I1242" s="104"/>
      <c r="J1242" s="104"/>
      <c r="K1242" s="104"/>
      <c r="L1242" s="104"/>
      <c r="M1242" s="104"/>
      <c r="N1242" s="104"/>
      <c r="O1242" s="104"/>
      <c r="P1242" s="104"/>
      <c r="Q1242" s="104"/>
      <c r="R1242" s="104"/>
      <c r="S1242" s="104"/>
    </row>
    <row r="1243" spans="4:19">
      <c r="D1243" s="104"/>
      <c r="E1243" s="104"/>
      <c r="F1243" s="104"/>
      <c r="G1243" s="104"/>
      <c r="H1243" s="104"/>
      <c r="I1243" s="104"/>
      <c r="J1243" s="104"/>
      <c r="K1243" s="104"/>
      <c r="L1243" s="104"/>
      <c r="M1243" s="104"/>
      <c r="N1243" s="104"/>
      <c r="O1243" s="104"/>
      <c r="P1243" s="104"/>
      <c r="Q1243" s="104"/>
      <c r="R1243" s="104"/>
      <c r="S1243" s="104"/>
    </row>
    <row r="1244" spans="4:19">
      <c r="D1244" s="104"/>
      <c r="E1244" s="104"/>
      <c r="F1244" s="104"/>
      <c r="G1244" s="104"/>
      <c r="H1244" s="104"/>
      <c r="I1244" s="104"/>
      <c r="J1244" s="104"/>
      <c r="K1244" s="104"/>
      <c r="L1244" s="104"/>
      <c r="M1244" s="104"/>
      <c r="N1244" s="104"/>
      <c r="O1244" s="104"/>
      <c r="P1244" s="104"/>
      <c r="Q1244" s="104"/>
      <c r="R1244" s="104"/>
      <c r="S1244" s="104"/>
    </row>
    <row r="1245" spans="4:19">
      <c r="D1245" s="104"/>
      <c r="E1245" s="104"/>
      <c r="F1245" s="104"/>
      <c r="G1245" s="104"/>
      <c r="H1245" s="104"/>
      <c r="I1245" s="104"/>
      <c r="J1245" s="104"/>
      <c r="K1245" s="104"/>
      <c r="L1245" s="104"/>
      <c r="M1245" s="104"/>
      <c r="N1245" s="104"/>
      <c r="O1245" s="104"/>
      <c r="P1245" s="104"/>
      <c r="Q1245" s="104"/>
      <c r="R1245" s="104"/>
      <c r="S1245" s="104"/>
    </row>
    <row r="1246" spans="4:19">
      <c r="D1246" s="104"/>
      <c r="E1246" s="104"/>
      <c r="F1246" s="104"/>
      <c r="G1246" s="104"/>
      <c r="H1246" s="104"/>
      <c r="I1246" s="104"/>
      <c r="J1246" s="104"/>
      <c r="K1246" s="104"/>
      <c r="L1246" s="104"/>
      <c r="M1246" s="104"/>
      <c r="N1246" s="104"/>
      <c r="O1246" s="104"/>
      <c r="P1246" s="104"/>
      <c r="Q1246" s="104"/>
      <c r="R1246" s="104"/>
      <c r="S1246" s="104"/>
    </row>
    <row r="1247" spans="4:19">
      <c r="D1247" s="104"/>
      <c r="E1247" s="104"/>
      <c r="F1247" s="104"/>
      <c r="G1247" s="104"/>
      <c r="H1247" s="104"/>
      <c r="I1247" s="104"/>
      <c r="J1247" s="104"/>
      <c r="K1247" s="104"/>
      <c r="L1247" s="104"/>
      <c r="M1247" s="104"/>
      <c r="N1247" s="104"/>
      <c r="O1247" s="104"/>
      <c r="P1247" s="104"/>
      <c r="Q1247" s="104"/>
      <c r="R1247" s="104"/>
      <c r="S1247" s="104"/>
    </row>
    <row r="1248" spans="4:19">
      <c r="D1248" s="104"/>
      <c r="E1248" s="104"/>
      <c r="F1248" s="104"/>
      <c r="G1248" s="104"/>
      <c r="H1248" s="104"/>
      <c r="I1248" s="104"/>
      <c r="J1248" s="104"/>
      <c r="K1248" s="104"/>
      <c r="L1248" s="104"/>
      <c r="M1248" s="104"/>
      <c r="N1248" s="104"/>
      <c r="O1248" s="104"/>
      <c r="P1248" s="104"/>
      <c r="Q1248" s="104"/>
      <c r="R1248" s="104"/>
      <c r="S1248" s="104"/>
    </row>
    <row r="1249" spans="4:19">
      <c r="D1249" s="104"/>
      <c r="E1249" s="104"/>
      <c r="F1249" s="104"/>
      <c r="G1249" s="104"/>
      <c r="H1249" s="104"/>
      <c r="I1249" s="104"/>
      <c r="J1249" s="104"/>
      <c r="K1249" s="104"/>
      <c r="L1249" s="104"/>
      <c r="M1249" s="104"/>
      <c r="N1249" s="104"/>
      <c r="O1249" s="104"/>
      <c r="P1249" s="104"/>
      <c r="Q1249" s="104"/>
      <c r="R1249" s="104"/>
      <c r="S1249" s="104"/>
    </row>
    <row r="1250" spans="4:19">
      <c r="D1250" s="104"/>
      <c r="E1250" s="104"/>
      <c r="F1250" s="104"/>
      <c r="G1250" s="104"/>
      <c r="H1250" s="104"/>
      <c r="I1250" s="104"/>
      <c r="J1250" s="104"/>
      <c r="K1250" s="104"/>
      <c r="L1250" s="104"/>
      <c r="M1250" s="104"/>
      <c r="N1250" s="104"/>
      <c r="O1250" s="104"/>
      <c r="P1250" s="104"/>
      <c r="Q1250" s="104"/>
      <c r="R1250" s="104"/>
      <c r="S1250" s="104"/>
    </row>
    <row r="1251" spans="4:19">
      <c r="D1251" s="104"/>
      <c r="E1251" s="104"/>
      <c r="F1251" s="104"/>
      <c r="G1251" s="104"/>
      <c r="H1251" s="104"/>
      <c r="I1251" s="104"/>
      <c r="J1251" s="104"/>
      <c r="K1251" s="104"/>
      <c r="L1251" s="104"/>
      <c r="M1251" s="104"/>
      <c r="N1251" s="104"/>
      <c r="O1251" s="104"/>
      <c r="P1251" s="104"/>
      <c r="Q1251" s="104"/>
      <c r="R1251" s="104"/>
      <c r="S1251" s="104"/>
    </row>
    <row r="1252" spans="4:19">
      <c r="D1252" s="104"/>
      <c r="E1252" s="104"/>
      <c r="F1252" s="104"/>
      <c r="G1252" s="104"/>
      <c r="H1252" s="104"/>
      <c r="I1252" s="104"/>
      <c r="J1252" s="104"/>
      <c r="K1252" s="104"/>
      <c r="L1252" s="104"/>
      <c r="M1252" s="104"/>
      <c r="N1252" s="104"/>
      <c r="O1252" s="104"/>
      <c r="P1252" s="104"/>
      <c r="Q1252" s="104"/>
      <c r="R1252" s="104"/>
      <c r="S1252" s="104"/>
    </row>
    <row r="1253" spans="4:19">
      <c r="D1253" s="104"/>
      <c r="E1253" s="104"/>
      <c r="F1253" s="104"/>
      <c r="G1253" s="104"/>
      <c r="H1253" s="104"/>
      <c r="I1253" s="104"/>
      <c r="J1253" s="104"/>
      <c r="K1253" s="104"/>
      <c r="L1253" s="104"/>
      <c r="M1253" s="104"/>
      <c r="N1253" s="104"/>
      <c r="O1253" s="104"/>
      <c r="P1253" s="104"/>
      <c r="Q1253" s="104"/>
      <c r="R1253" s="104"/>
      <c r="S1253" s="104"/>
    </row>
    <row r="1254" spans="4:19">
      <c r="D1254" s="104"/>
      <c r="E1254" s="104"/>
      <c r="F1254" s="104"/>
      <c r="G1254" s="104"/>
      <c r="H1254" s="104"/>
      <c r="I1254" s="104"/>
      <c r="J1254" s="104"/>
      <c r="K1254" s="104"/>
      <c r="L1254" s="104"/>
      <c r="M1254" s="104"/>
      <c r="N1254" s="104"/>
      <c r="O1254" s="104"/>
      <c r="P1254" s="104"/>
      <c r="Q1254" s="104"/>
      <c r="R1254" s="104"/>
      <c r="S1254" s="104"/>
    </row>
    <row r="1255" spans="4:19">
      <c r="D1255" s="104"/>
      <c r="E1255" s="104"/>
      <c r="F1255" s="104"/>
      <c r="G1255" s="104"/>
      <c r="H1255" s="104"/>
      <c r="I1255" s="104"/>
      <c r="J1255" s="104"/>
      <c r="K1255" s="104"/>
      <c r="L1255" s="104"/>
      <c r="M1255" s="104"/>
      <c r="N1255" s="104"/>
      <c r="O1255" s="104"/>
      <c r="P1255" s="104"/>
      <c r="Q1255" s="104"/>
      <c r="R1255" s="104"/>
      <c r="S1255" s="104"/>
    </row>
    <row r="1256" spans="4:19">
      <c r="D1256" s="104"/>
      <c r="E1256" s="104"/>
      <c r="F1256" s="104"/>
      <c r="G1256" s="104"/>
      <c r="H1256" s="104"/>
      <c r="I1256" s="104"/>
      <c r="J1256" s="104"/>
      <c r="K1256" s="104"/>
      <c r="L1256" s="104"/>
      <c r="M1256" s="104"/>
      <c r="N1256" s="104"/>
      <c r="O1256" s="104"/>
      <c r="P1256" s="104"/>
      <c r="Q1256" s="104"/>
      <c r="R1256" s="104"/>
      <c r="S1256" s="104"/>
    </row>
    <row r="1257" spans="4:19">
      <c r="D1257" s="104"/>
      <c r="E1257" s="104"/>
      <c r="F1257" s="104"/>
      <c r="G1257" s="104"/>
      <c r="H1257" s="104"/>
      <c r="I1257" s="104"/>
      <c r="J1257" s="104"/>
      <c r="K1257" s="104"/>
      <c r="L1257" s="104"/>
      <c r="M1257" s="104"/>
      <c r="N1257" s="104"/>
      <c r="O1257" s="104"/>
      <c r="P1257" s="104"/>
      <c r="Q1257" s="104"/>
      <c r="R1257" s="104"/>
      <c r="S1257" s="104"/>
    </row>
    <row r="1258" spans="4:19">
      <c r="D1258" s="104"/>
      <c r="E1258" s="104"/>
      <c r="F1258" s="104"/>
      <c r="G1258" s="104"/>
      <c r="H1258" s="104"/>
      <c r="I1258" s="104"/>
      <c r="J1258" s="104"/>
      <c r="K1258" s="104"/>
      <c r="L1258" s="104"/>
      <c r="M1258" s="104"/>
      <c r="N1258" s="104"/>
      <c r="O1258" s="104"/>
      <c r="P1258" s="104"/>
      <c r="Q1258" s="104"/>
      <c r="R1258" s="104"/>
      <c r="S1258" s="104"/>
    </row>
    <row r="1259" spans="4:19">
      <c r="D1259" s="104"/>
      <c r="E1259" s="104"/>
      <c r="F1259" s="104"/>
      <c r="G1259" s="104"/>
      <c r="H1259" s="104"/>
      <c r="I1259" s="104"/>
      <c r="J1259" s="104"/>
      <c r="K1259" s="104"/>
      <c r="L1259" s="104"/>
      <c r="M1259" s="104"/>
      <c r="N1259" s="104"/>
      <c r="O1259" s="104"/>
      <c r="P1259" s="104"/>
      <c r="Q1259" s="104"/>
      <c r="R1259" s="104"/>
      <c r="S1259" s="104"/>
    </row>
    <row r="1260" spans="4:19">
      <c r="D1260" s="104"/>
      <c r="E1260" s="104"/>
      <c r="F1260" s="104"/>
      <c r="G1260" s="104"/>
      <c r="H1260" s="104"/>
      <c r="I1260" s="104"/>
      <c r="J1260" s="104"/>
      <c r="K1260" s="104"/>
      <c r="L1260" s="104"/>
      <c r="M1260" s="104"/>
      <c r="N1260" s="104"/>
      <c r="O1260" s="104"/>
      <c r="P1260" s="104"/>
      <c r="Q1260" s="104"/>
      <c r="R1260" s="104"/>
      <c r="S1260" s="104"/>
    </row>
    <row r="1261" spans="4:19">
      <c r="D1261" s="104"/>
      <c r="E1261" s="104"/>
      <c r="F1261" s="104"/>
      <c r="G1261" s="104"/>
      <c r="H1261" s="104"/>
      <c r="I1261" s="104"/>
      <c r="J1261" s="104"/>
      <c r="K1261" s="104"/>
      <c r="L1261" s="104"/>
      <c r="M1261" s="104"/>
      <c r="N1261" s="104"/>
      <c r="O1261" s="104"/>
      <c r="P1261" s="104"/>
      <c r="Q1261" s="104"/>
      <c r="R1261" s="104"/>
      <c r="S1261" s="104"/>
    </row>
    <row r="1262" spans="4:19">
      <c r="D1262" s="104"/>
      <c r="E1262" s="104"/>
      <c r="F1262" s="104"/>
      <c r="G1262" s="104"/>
      <c r="H1262" s="104"/>
      <c r="I1262" s="104"/>
      <c r="J1262" s="104"/>
      <c r="K1262" s="104"/>
      <c r="L1262" s="104"/>
      <c r="M1262" s="104"/>
      <c r="N1262" s="104"/>
      <c r="O1262" s="104"/>
      <c r="P1262" s="104"/>
      <c r="Q1262" s="104"/>
      <c r="R1262" s="104"/>
      <c r="S1262" s="104"/>
    </row>
    <row r="1263" spans="4:19">
      <c r="D1263" s="104"/>
      <c r="E1263" s="104"/>
      <c r="F1263" s="104"/>
      <c r="G1263" s="104"/>
      <c r="H1263" s="104"/>
      <c r="I1263" s="104"/>
      <c r="J1263" s="104"/>
      <c r="K1263" s="104"/>
      <c r="L1263" s="104"/>
      <c r="M1263" s="104"/>
      <c r="N1263" s="104"/>
      <c r="O1263" s="104"/>
      <c r="P1263" s="104"/>
      <c r="Q1263" s="104"/>
      <c r="R1263" s="104"/>
      <c r="S1263" s="104"/>
    </row>
    <row r="1264" spans="4:19">
      <c r="D1264" s="104"/>
      <c r="E1264" s="104"/>
      <c r="F1264" s="104"/>
      <c r="G1264" s="104"/>
      <c r="H1264" s="104"/>
      <c r="I1264" s="104"/>
      <c r="J1264" s="104"/>
      <c r="K1264" s="104"/>
      <c r="L1264" s="104"/>
      <c r="M1264" s="104"/>
      <c r="N1264" s="104"/>
      <c r="O1264" s="104"/>
      <c r="P1264" s="104"/>
      <c r="Q1264" s="104"/>
      <c r="R1264" s="104"/>
      <c r="S1264" s="104"/>
    </row>
    <row r="1265" spans="4:19">
      <c r="D1265" s="104"/>
      <c r="E1265" s="104"/>
      <c r="F1265" s="104"/>
      <c r="G1265" s="104"/>
      <c r="H1265" s="104"/>
      <c r="I1265" s="104"/>
      <c r="J1265" s="104"/>
      <c r="K1265" s="104"/>
      <c r="L1265" s="104"/>
      <c r="M1265" s="104"/>
      <c r="N1265" s="104"/>
      <c r="O1265" s="104"/>
      <c r="P1265" s="104"/>
      <c r="Q1265" s="104"/>
      <c r="R1265" s="104"/>
      <c r="S1265" s="104"/>
    </row>
    <row r="1266" spans="4:19">
      <c r="D1266" s="104"/>
      <c r="E1266" s="104"/>
      <c r="F1266" s="104"/>
      <c r="G1266" s="104"/>
      <c r="H1266" s="104"/>
      <c r="I1266" s="104"/>
      <c r="J1266" s="104"/>
      <c r="K1266" s="104"/>
      <c r="L1266" s="104"/>
      <c r="M1266" s="104"/>
      <c r="N1266" s="104"/>
      <c r="O1266" s="104"/>
      <c r="P1266" s="104"/>
      <c r="Q1266" s="104"/>
      <c r="R1266" s="104"/>
      <c r="S1266" s="104"/>
    </row>
    <row r="1267" spans="4:19">
      <c r="D1267" s="104"/>
      <c r="E1267" s="104"/>
      <c r="F1267" s="104"/>
      <c r="G1267" s="104"/>
      <c r="H1267" s="104"/>
      <c r="I1267" s="104"/>
      <c r="J1267" s="104"/>
      <c r="K1267" s="104"/>
      <c r="L1267" s="104"/>
      <c r="M1267" s="104"/>
      <c r="N1267" s="104"/>
      <c r="O1267" s="104"/>
      <c r="P1267" s="104"/>
      <c r="Q1267" s="104"/>
      <c r="R1267" s="104"/>
      <c r="S1267" s="104"/>
    </row>
    <row r="1268" spans="4:19">
      <c r="D1268" s="104"/>
      <c r="E1268" s="104"/>
      <c r="F1268" s="104"/>
      <c r="G1268" s="104"/>
      <c r="H1268" s="104"/>
      <c r="I1268" s="104"/>
      <c r="J1268" s="104"/>
      <c r="K1268" s="104"/>
      <c r="L1268" s="104"/>
      <c r="M1268" s="104"/>
      <c r="N1268" s="104"/>
      <c r="O1268" s="104"/>
      <c r="P1268" s="104"/>
      <c r="Q1268" s="104"/>
      <c r="R1268" s="104"/>
      <c r="S1268" s="104"/>
    </row>
    <row r="1269" spans="4:19">
      <c r="D1269" s="104"/>
      <c r="E1269" s="104"/>
      <c r="F1269" s="104"/>
      <c r="G1269" s="104"/>
      <c r="H1269" s="104"/>
      <c r="I1269" s="104"/>
      <c r="J1269" s="104"/>
      <c r="K1269" s="104"/>
      <c r="L1269" s="104"/>
      <c r="M1269" s="104"/>
      <c r="N1269" s="104"/>
      <c r="O1269" s="104"/>
      <c r="P1269" s="104"/>
      <c r="Q1269" s="104"/>
      <c r="R1269" s="104"/>
      <c r="S1269" s="104"/>
    </row>
    <row r="1270" spans="4:19">
      <c r="D1270" s="104"/>
      <c r="E1270" s="104"/>
      <c r="F1270" s="104"/>
      <c r="G1270" s="104"/>
      <c r="H1270" s="104"/>
      <c r="I1270" s="104"/>
      <c r="J1270" s="104"/>
      <c r="K1270" s="104"/>
      <c r="L1270" s="104"/>
      <c r="M1270" s="104"/>
      <c r="N1270" s="104"/>
      <c r="O1270" s="104"/>
      <c r="P1270" s="104"/>
      <c r="Q1270" s="104"/>
      <c r="R1270" s="104"/>
      <c r="S1270" s="104"/>
    </row>
    <row r="1271" spans="4:19">
      <c r="D1271" s="104"/>
      <c r="E1271" s="104"/>
      <c r="F1271" s="104"/>
      <c r="G1271" s="104"/>
      <c r="H1271" s="104"/>
      <c r="I1271" s="104"/>
      <c r="J1271" s="104"/>
      <c r="K1271" s="104"/>
      <c r="L1271" s="104"/>
      <c r="M1271" s="104"/>
      <c r="N1271" s="104"/>
      <c r="O1271" s="104"/>
      <c r="P1271" s="104"/>
      <c r="Q1271" s="104"/>
      <c r="R1271" s="104"/>
      <c r="S1271" s="104"/>
    </row>
    <row r="1272" spans="4:19">
      <c r="D1272" s="104"/>
      <c r="E1272" s="104"/>
      <c r="F1272" s="104"/>
      <c r="G1272" s="104"/>
      <c r="H1272" s="104"/>
      <c r="I1272" s="104"/>
      <c r="J1272" s="104"/>
      <c r="K1272" s="104"/>
      <c r="L1272" s="104"/>
      <c r="M1272" s="104"/>
      <c r="N1272" s="104"/>
      <c r="O1272" s="104"/>
      <c r="P1272" s="104"/>
      <c r="Q1272" s="104"/>
      <c r="R1272" s="104"/>
      <c r="S1272" s="104"/>
    </row>
    <row r="1273" spans="4:19">
      <c r="D1273" s="104"/>
      <c r="E1273" s="104"/>
      <c r="F1273" s="104"/>
      <c r="G1273" s="104"/>
      <c r="H1273" s="104"/>
      <c r="I1273" s="104"/>
      <c r="J1273" s="104"/>
      <c r="K1273" s="104"/>
      <c r="L1273" s="104"/>
      <c r="M1273" s="104"/>
      <c r="N1273" s="104"/>
      <c r="O1273" s="104"/>
      <c r="P1273" s="104"/>
      <c r="Q1273" s="104"/>
      <c r="R1273" s="104"/>
      <c r="S1273" s="104"/>
    </row>
    <row r="1274" spans="4:19">
      <c r="D1274" s="104"/>
      <c r="E1274" s="104"/>
      <c r="F1274" s="104"/>
      <c r="G1274" s="104"/>
      <c r="H1274" s="104"/>
      <c r="I1274" s="104"/>
      <c r="J1274" s="104"/>
      <c r="K1274" s="104"/>
      <c r="L1274" s="104"/>
      <c r="M1274" s="104"/>
      <c r="N1274" s="104"/>
      <c r="O1274" s="104"/>
      <c r="P1274" s="104"/>
      <c r="Q1274" s="104"/>
      <c r="R1274" s="104"/>
      <c r="S1274" s="104"/>
    </row>
    <row r="1275" spans="4:19">
      <c r="D1275" s="104"/>
      <c r="E1275" s="104"/>
      <c r="F1275" s="104"/>
      <c r="G1275" s="104"/>
      <c r="H1275" s="104"/>
      <c r="I1275" s="104"/>
      <c r="J1275" s="104"/>
      <c r="K1275" s="104"/>
      <c r="L1275" s="104"/>
      <c r="M1275" s="104"/>
      <c r="N1275" s="104"/>
      <c r="O1275" s="104"/>
      <c r="P1275" s="104"/>
      <c r="Q1275" s="104"/>
      <c r="R1275" s="104"/>
      <c r="S1275" s="104"/>
    </row>
    <row r="1276" spans="4:19">
      <c r="D1276" s="104"/>
      <c r="E1276" s="104"/>
      <c r="F1276" s="104"/>
      <c r="G1276" s="104"/>
      <c r="H1276" s="104"/>
      <c r="I1276" s="104"/>
      <c r="J1276" s="104"/>
      <c r="K1276" s="104"/>
      <c r="L1276" s="104"/>
      <c r="M1276" s="104"/>
      <c r="N1276" s="104"/>
      <c r="O1276" s="104"/>
      <c r="P1276" s="104"/>
      <c r="Q1276" s="104"/>
      <c r="R1276" s="104"/>
      <c r="S1276" s="104"/>
    </row>
    <row r="1277" spans="4:19">
      <c r="D1277" s="104"/>
      <c r="E1277" s="104"/>
      <c r="F1277" s="104"/>
      <c r="G1277" s="104"/>
      <c r="H1277" s="104"/>
      <c r="I1277" s="104"/>
      <c r="J1277" s="104"/>
      <c r="K1277" s="104"/>
      <c r="L1277" s="104"/>
      <c r="M1277" s="104"/>
      <c r="N1277" s="104"/>
      <c r="O1277" s="104"/>
      <c r="P1277" s="104"/>
      <c r="Q1277" s="104"/>
      <c r="R1277" s="104"/>
      <c r="S1277" s="104"/>
    </row>
    <row r="1278" spans="4:19">
      <c r="D1278" s="104"/>
      <c r="E1278" s="104"/>
      <c r="F1278" s="104"/>
      <c r="G1278" s="104"/>
      <c r="H1278" s="104"/>
      <c r="I1278" s="104"/>
      <c r="J1278" s="104"/>
      <c r="K1278" s="104"/>
      <c r="L1278" s="104"/>
      <c r="M1278" s="104"/>
      <c r="N1278" s="104"/>
      <c r="O1278" s="104"/>
      <c r="P1278" s="104"/>
      <c r="Q1278" s="104"/>
      <c r="R1278" s="104"/>
      <c r="S1278" s="104"/>
    </row>
    <row r="1279" spans="4:19">
      <c r="D1279" s="104"/>
      <c r="E1279" s="104"/>
      <c r="F1279" s="104"/>
      <c r="G1279" s="104"/>
      <c r="H1279" s="104"/>
      <c r="I1279" s="104"/>
      <c r="J1279" s="104"/>
      <c r="K1279" s="104"/>
      <c r="L1279" s="104"/>
      <c r="M1279" s="104"/>
      <c r="N1279" s="104"/>
      <c r="O1279" s="104"/>
      <c r="P1279" s="104"/>
      <c r="Q1279" s="104"/>
      <c r="R1279" s="104"/>
      <c r="S1279" s="104"/>
    </row>
    <row r="1280" spans="4:19">
      <c r="D1280" s="104"/>
      <c r="E1280" s="104"/>
      <c r="F1280" s="104"/>
      <c r="G1280" s="104"/>
      <c r="H1280" s="104"/>
      <c r="I1280" s="104"/>
      <c r="J1280" s="104"/>
      <c r="K1280" s="104"/>
      <c r="L1280" s="104"/>
      <c r="M1280" s="104"/>
      <c r="N1280" s="104"/>
      <c r="O1280" s="104"/>
      <c r="P1280" s="104"/>
      <c r="Q1280" s="104"/>
      <c r="R1280" s="104"/>
      <c r="S1280" s="104"/>
    </row>
    <row r="1281" spans="4:19">
      <c r="D1281" s="104"/>
      <c r="E1281" s="104"/>
      <c r="F1281" s="104"/>
      <c r="G1281" s="104"/>
      <c r="H1281" s="104"/>
      <c r="I1281" s="104"/>
      <c r="J1281" s="104"/>
      <c r="K1281" s="104"/>
      <c r="L1281" s="104"/>
      <c r="M1281" s="104"/>
      <c r="N1281" s="104"/>
      <c r="O1281" s="104"/>
      <c r="P1281" s="104"/>
      <c r="Q1281" s="104"/>
      <c r="R1281" s="104"/>
      <c r="S1281" s="104"/>
    </row>
    <row r="1282" spans="4:19">
      <c r="D1282" s="104"/>
      <c r="E1282" s="104"/>
      <c r="F1282" s="104"/>
      <c r="G1282" s="104"/>
      <c r="H1282" s="104"/>
      <c r="I1282" s="104"/>
      <c r="J1282" s="104"/>
      <c r="K1282" s="104"/>
      <c r="L1282" s="104"/>
      <c r="M1282" s="104"/>
      <c r="N1282" s="104"/>
      <c r="O1282" s="104"/>
      <c r="P1282" s="104"/>
      <c r="Q1282" s="104"/>
      <c r="R1282" s="104"/>
      <c r="S1282" s="104"/>
    </row>
    <row r="1283" spans="4:19">
      <c r="D1283" s="104"/>
      <c r="E1283" s="104"/>
      <c r="F1283" s="104"/>
      <c r="G1283" s="104"/>
      <c r="H1283" s="104"/>
      <c r="I1283" s="104"/>
      <c r="J1283" s="104"/>
      <c r="K1283" s="104"/>
      <c r="L1283" s="104"/>
      <c r="M1283" s="104"/>
      <c r="N1283" s="104"/>
      <c r="O1283" s="104"/>
      <c r="P1283" s="104"/>
      <c r="Q1283" s="104"/>
      <c r="R1283" s="104"/>
      <c r="S1283" s="104"/>
    </row>
    <row r="1284" spans="4:19">
      <c r="D1284" s="104"/>
      <c r="E1284" s="104"/>
      <c r="F1284" s="104"/>
      <c r="G1284" s="104"/>
      <c r="H1284" s="104"/>
      <c r="I1284" s="104"/>
      <c r="J1284" s="104"/>
      <c r="K1284" s="104"/>
      <c r="L1284" s="104"/>
      <c r="M1284" s="104"/>
      <c r="N1284" s="104"/>
      <c r="O1284" s="104"/>
      <c r="P1284" s="104"/>
      <c r="Q1284" s="104"/>
      <c r="R1284" s="104"/>
      <c r="S1284" s="104"/>
    </row>
    <row r="1285" spans="4:19">
      <c r="D1285" s="104"/>
      <c r="E1285" s="104"/>
      <c r="F1285" s="104"/>
      <c r="G1285" s="104"/>
      <c r="H1285" s="104"/>
      <c r="I1285" s="104"/>
      <c r="J1285" s="104"/>
      <c r="K1285" s="104"/>
      <c r="L1285" s="104"/>
      <c r="M1285" s="104"/>
      <c r="N1285" s="104"/>
      <c r="O1285" s="104"/>
      <c r="P1285" s="104"/>
      <c r="Q1285" s="104"/>
      <c r="R1285" s="104"/>
      <c r="S1285" s="104"/>
    </row>
    <row r="1286" spans="4:19">
      <c r="D1286" s="104"/>
      <c r="E1286" s="104"/>
      <c r="F1286" s="104"/>
      <c r="G1286" s="104"/>
      <c r="H1286" s="104"/>
      <c r="I1286" s="104"/>
      <c r="J1286" s="104"/>
      <c r="K1286" s="104"/>
      <c r="L1286" s="104"/>
      <c r="M1286" s="104"/>
      <c r="N1286" s="104"/>
      <c r="O1286" s="104"/>
      <c r="P1286" s="104"/>
      <c r="Q1286" s="104"/>
      <c r="R1286" s="104"/>
      <c r="S1286" s="104"/>
    </row>
    <row r="1287" spans="4:19">
      <c r="D1287" s="104"/>
      <c r="E1287" s="104"/>
      <c r="F1287" s="104"/>
      <c r="G1287" s="104"/>
      <c r="H1287" s="104"/>
      <c r="I1287" s="104"/>
      <c r="J1287" s="104"/>
      <c r="K1287" s="104"/>
      <c r="L1287" s="104"/>
      <c r="M1287" s="104"/>
      <c r="N1287" s="104"/>
      <c r="O1287" s="104"/>
      <c r="P1287" s="104"/>
      <c r="Q1287" s="104"/>
      <c r="R1287" s="104"/>
      <c r="S1287" s="104"/>
    </row>
    <row r="1288" spans="4:19">
      <c r="D1288" s="104"/>
      <c r="E1288" s="104"/>
      <c r="F1288" s="104"/>
      <c r="G1288" s="104"/>
      <c r="H1288" s="104"/>
      <c r="I1288" s="104"/>
      <c r="J1288" s="104"/>
      <c r="K1288" s="104"/>
      <c r="L1288" s="104"/>
      <c r="M1288" s="104"/>
      <c r="N1288" s="104"/>
      <c r="O1288" s="104"/>
      <c r="P1288" s="104"/>
      <c r="Q1288" s="104"/>
      <c r="R1288" s="104"/>
      <c r="S1288" s="104"/>
    </row>
    <row r="1289" spans="4:19">
      <c r="D1289" s="104"/>
      <c r="E1289" s="104"/>
      <c r="F1289" s="104"/>
      <c r="G1289" s="104"/>
      <c r="H1289" s="104"/>
      <c r="I1289" s="104"/>
      <c r="J1289" s="104"/>
      <c r="K1289" s="104"/>
      <c r="L1289" s="104"/>
      <c r="M1289" s="104"/>
      <c r="N1289" s="104"/>
      <c r="O1289" s="104"/>
      <c r="P1289" s="104"/>
      <c r="Q1289" s="104"/>
      <c r="R1289" s="104"/>
      <c r="S1289" s="104"/>
    </row>
    <row r="1290" spans="4:19">
      <c r="D1290" s="104"/>
      <c r="E1290" s="104"/>
      <c r="F1290" s="104"/>
      <c r="G1290" s="104"/>
      <c r="H1290" s="104"/>
      <c r="I1290" s="104"/>
      <c r="J1290" s="104"/>
      <c r="K1290" s="104"/>
      <c r="L1290" s="104"/>
      <c r="M1290" s="104"/>
      <c r="N1290" s="104"/>
      <c r="O1290" s="104"/>
      <c r="P1290" s="104"/>
      <c r="Q1290" s="104"/>
      <c r="R1290" s="104"/>
      <c r="S1290" s="104"/>
    </row>
    <row r="1291" spans="4:19">
      <c r="D1291" s="104"/>
      <c r="E1291" s="104"/>
      <c r="F1291" s="104"/>
      <c r="G1291" s="104"/>
      <c r="H1291" s="104"/>
      <c r="I1291" s="104"/>
      <c r="J1291" s="104"/>
      <c r="K1291" s="104"/>
      <c r="L1291" s="104"/>
      <c r="M1291" s="104"/>
      <c r="N1291" s="104"/>
      <c r="O1291" s="104"/>
      <c r="P1291" s="104"/>
      <c r="Q1291" s="104"/>
      <c r="R1291" s="104"/>
      <c r="S1291" s="104"/>
    </row>
    <row r="1292" spans="4:19">
      <c r="D1292" s="104"/>
      <c r="E1292" s="104"/>
      <c r="F1292" s="104"/>
      <c r="G1292" s="104"/>
      <c r="H1292" s="104"/>
      <c r="I1292" s="104"/>
      <c r="J1292" s="104"/>
      <c r="K1292" s="104"/>
      <c r="L1292" s="104"/>
      <c r="M1292" s="104"/>
      <c r="N1292" s="104"/>
      <c r="O1292" s="104"/>
      <c r="P1292" s="104"/>
      <c r="Q1292" s="104"/>
      <c r="R1292" s="104"/>
      <c r="S1292" s="104"/>
    </row>
    <row r="1293" spans="4:19">
      <c r="D1293" s="104"/>
      <c r="E1293" s="104"/>
      <c r="F1293" s="104"/>
      <c r="G1293" s="104"/>
      <c r="H1293" s="104"/>
      <c r="I1293" s="104"/>
      <c r="J1293" s="104"/>
      <c r="K1293" s="104"/>
      <c r="L1293" s="104"/>
      <c r="M1293" s="104"/>
      <c r="N1293" s="104"/>
      <c r="O1293" s="104"/>
      <c r="P1293" s="104"/>
      <c r="Q1293" s="104"/>
      <c r="R1293" s="104"/>
      <c r="S1293" s="104"/>
    </row>
    <row r="1294" spans="4:19">
      <c r="D1294" s="104"/>
      <c r="E1294" s="104"/>
      <c r="F1294" s="104"/>
      <c r="G1294" s="104"/>
      <c r="H1294" s="104"/>
      <c r="I1294" s="104"/>
      <c r="J1294" s="104"/>
      <c r="K1294" s="104"/>
      <c r="L1294" s="104"/>
      <c r="M1294" s="104"/>
      <c r="N1294" s="104"/>
      <c r="O1294" s="104"/>
      <c r="P1294" s="104"/>
      <c r="Q1294" s="104"/>
      <c r="R1294" s="104"/>
      <c r="S1294" s="104"/>
    </row>
    <row r="1295" spans="4:19">
      <c r="D1295" s="104"/>
      <c r="E1295" s="104"/>
      <c r="F1295" s="104"/>
      <c r="G1295" s="104"/>
      <c r="H1295" s="104"/>
      <c r="I1295" s="104"/>
      <c r="J1295" s="104"/>
      <c r="K1295" s="104"/>
      <c r="L1295" s="104"/>
      <c r="M1295" s="104"/>
      <c r="N1295" s="104"/>
      <c r="O1295" s="104"/>
      <c r="P1295" s="104"/>
      <c r="Q1295" s="104"/>
      <c r="R1295" s="104"/>
      <c r="S1295" s="104"/>
    </row>
    <row r="1296" spans="4:19">
      <c r="D1296" s="104"/>
      <c r="E1296" s="104"/>
      <c r="F1296" s="104"/>
      <c r="G1296" s="104"/>
      <c r="H1296" s="104"/>
      <c r="I1296" s="104"/>
      <c r="J1296" s="104"/>
      <c r="K1296" s="104"/>
      <c r="L1296" s="104"/>
      <c r="M1296" s="104"/>
      <c r="N1296" s="104"/>
      <c r="O1296" s="104"/>
      <c r="P1296" s="104"/>
      <c r="Q1296" s="104"/>
      <c r="R1296" s="104"/>
      <c r="S1296" s="104"/>
    </row>
    <row r="1297" spans="4:19">
      <c r="D1297" s="104"/>
      <c r="E1297" s="104"/>
      <c r="F1297" s="104"/>
      <c r="G1297" s="104"/>
      <c r="H1297" s="104"/>
      <c r="I1297" s="104"/>
      <c r="J1297" s="104"/>
      <c r="K1297" s="104"/>
      <c r="L1297" s="104"/>
      <c r="M1297" s="104"/>
      <c r="N1297" s="104"/>
      <c r="O1297" s="104"/>
      <c r="P1297" s="104"/>
      <c r="Q1297" s="104"/>
      <c r="R1297" s="104"/>
      <c r="S1297" s="104"/>
    </row>
    <row r="1298" spans="4:19">
      <c r="D1298" s="104"/>
      <c r="E1298" s="104"/>
      <c r="F1298" s="104"/>
      <c r="G1298" s="104"/>
      <c r="H1298" s="104"/>
      <c r="I1298" s="104"/>
      <c r="J1298" s="104"/>
      <c r="K1298" s="104"/>
      <c r="L1298" s="104"/>
      <c r="M1298" s="104"/>
      <c r="N1298" s="104"/>
      <c r="O1298" s="104"/>
      <c r="P1298" s="104"/>
      <c r="Q1298" s="104"/>
      <c r="R1298" s="104"/>
      <c r="S1298" s="104"/>
    </row>
    <row r="1299" spans="4:19">
      <c r="D1299" s="104"/>
      <c r="E1299" s="104"/>
      <c r="F1299" s="104"/>
      <c r="G1299" s="104"/>
      <c r="H1299" s="104"/>
      <c r="I1299" s="104"/>
      <c r="J1299" s="104"/>
      <c r="K1299" s="104"/>
      <c r="L1299" s="104"/>
      <c r="M1299" s="104"/>
      <c r="N1299" s="104"/>
      <c r="O1299" s="104"/>
      <c r="P1299" s="104"/>
      <c r="Q1299" s="104"/>
      <c r="R1299" s="104"/>
      <c r="S1299" s="104"/>
    </row>
    <row r="1300" spans="4:19">
      <c r="D1300" s="104"/>
      <c r="E1300" s="104"/>
      <c r="F1300" s="104"/>
      <c r="G1300" s="104"/>
      <c r="H1300" s="104"/>
      <c r="I1300" s="104"/>
      <c r="J1300" s="104"/>
      <c r="K1300" s="104"/>
      <c r="L1300" s="104"/>
      <c r="M1300" s="104"/>
      <c r="N1300" s="104"/>
      <c r="O1300" s="104"/>
      <c r="P1300" s="104"/>
      <c r="Q1300" s="104"/>
      <c r="R1300" s="104"/>
      <c r="S1300" s="104"/>
    </row>
    <row r="1301" spans="4:19">
      <c r="D1301" s="104"/>
      <c r="E1301" s="104"/>
      <c r="F1301" s="104"/>
      <c r="G1301" s="104"/>
      <c r="H1301" s="104"/>
      <c r="I1301" s="104"/>
      <c r="J1301" s="104"/>
      <c r="K1301" s="104"/>
      <c r="L1301" s="104"/>
      <c r="M1301" s="104"/>
      <c r="N1301" s="104"/>
      <c r="O1301" s="104"/>
      <c r="P1301" s="104"/>
      <c r="Q1301" s="104"/>
      <c r="R1301" s="104"/>
      <c r="S1301" s="104"/>
    </row>
    <row r="1302" spans="4:19">
      <c r="D1302" s="104"/>
      <c r="E1302" s="104"/>
      <c r="F1302" s="104"/>
      <c r="G1302" s="104"/>
      <c r="H1302" s="104"/>
      <c r="I1302" s="104"/>
      <c r="J1302" s="104"/>
      <c r="K1302" s="104"/>
      <c r="L1302" s="104"/>
      <c r="M1302" s="104"/>
      <c r="N1302" s="104"/>
      <c r="O1302" s="104"/>
      <c r="P1302" s="104"/>
      <c r="Q1302" s="104"/>
      <c r="R1302" s="104"/>
      <c r="S1302" s="104"/>
    </row>
    <row r="1303" spans="4:19">
      <c r="D1303" s="104"/>
      <c r="E1303" s="104"/>
      <c r="F1303" s="104"/>
      <c r="G1303" s="104"/>
      <c r="H1303" s="104"/>
      <c r="I1303" s="104"/>
      <c r="J1303" s="104"/>
      <c r="K1303" s="104"/>
      <c r="L1303" s="104"/>
      <c r="M1303" s="104"/>
      <c r="N1303" s="104"/>
      <c r="O1303" s="104"/>
      <c r="P1303" s="104"/>
      <c r="Q1303" s="104"/>
      <c r="R1303" s="104"/>
      <c r="S1303" s="104"/>
    </row>
    <row r="1304" spans="4:19">
      <c r="D1304" s="104"/>
      <c r="E1304" s="104"/>
      <c r="F1304" s="104"/>
      <c r="G1304" s="104"/>
      <c r="H1304" s="104"/>
      <c r="I1304" s="104"/>
      <c r="J1304" s="104"/>
      <c r="K1304" s="104"/>
      <c r="L1304" s="104"/>
      <c r="M1304" s="104"/>
      <c r="N1304" s="104"/>
      <c r="O1304" s="104"/>
      <c r="P1304" s="104"/>
      <c r="Q1304" s="104"/>
      <c r="R1304" s="104"/>
      <c r="S1304" s="104"/>
    </row>
    <row r="1305" spans="4:19">
      <c r="D1305" s="104"/>
      <c r="E1305" s="104"/>
      <c r="F1305" s="104"/>
      <c r="G1305" s="104"/>
      <c r="H1305" s="104"/>
      <c r="I1305" s="104"/>
      <c r="J1305" s="104"/>
      <c r="K1305" s="104"/>
      <c r="L1305" s="104"/>
      <c r="M1305" s="104"/>
      <c r="N1305" s="104"/>
      <c r="O1305" s="104"/>
      <c r="P1305" s="104"/>
      <c r="Q1305" s="104"/>
      <c r="R1305" s="104"/>
      <c r="S1305" s="104"/>
    </row>
    <row r="1306" spans="4:19">
      <c r="D1306" s="104"/>
      <c r="E1306" s="104"/>
      <c r="F1306" s="104"/>
      <c r="G1306" s="104"/>
      <c r="H1306" s="104"/>
      <c r="I1306" s="104"/>
      <c r="J1306" s="104"/>
      <c r="K1306" s="104"/>
      <c r="L1306" s="104"/>
      <c r="M1306" s="104"/>
      <c r="N1306" s="104"/>
      <c r="O1306" s="104"/>
      <c r="P1306" s="104"/>
      <c r="Q1306" s="104"/>
      <c r="R1306" s="104"/>
      <c r="S1306" s="104"/>
    </row>
    <row r="1307" spans="4:19">
      <c r="D1307" s="104"/>
      <c r="E1307" s="104"/>
      <c r="F1307" s="104"/>
      <c r="G1307" s="104"/>
      <c r="H1307" s="104"/>
      <c r="I1307" s="104"/>
      <c r="J1307" s="104"/>
      <c r="K1307" s="104"/>
      <c r="L1307" s="104"/>
      <c r="M1307" s="104"/>
      <c r="N1307" s="104"/>
      <c r="O1307" s="104"/>
      <c r="P1307" s="104"/>
      <c r="Q1307" s="104"/>
      <c r="R1307" s="104"/>
      <c r="S1307" s="104"/>
    </row>
    <row r="1308" spans="4:19">
      <c r="D1308" s="104"/>
      <c r="E1308" s="104"/>
      <c r="F1308" s="104"/>
      <c r="G1308" s="104"/>
      <c r="H1308" s="104"/>
      <c r="I1308" s="104"/>
      <c r="J1308" s="104"/>
      <c r="K1308" s="104"/>
      <c r="L1308" s="104"/>
      <c r="M1308" s="104"/>
      <c r="N1308" s="104"/>
      <c r="O1308" s="104"/>
      <c r="P1308" s="104"/>
      <c r="Q1308" s="104"/>
      <c r="R1308" s="104"/>
      <c r="S1308" s="104"/>
    </row>
    <row r="1309" spans="4:19">
      <c r="D1309" s="104"/>
      <c r="E1309" s="104"/>
      <c r="F1309" s="104"/>
      <c r="G1309" s="104"/>
      <c r="H1309" s="104"/>
      <c r="I1309" s="104"/>
      <c r="J1309" s="104"/>
      <c r="K1309" s="104"/>
      <c r="L1309" s="104"/>
      <c r="M1309" s="104"/>
      <c r="N1309" s="104"/>
      <c r="O1309" s="104"/>
      <c r="P1309" s="104"/>
      <c r="Q1309" s="104"/>
      <c r="R1309" s="104"/>
      <c r="S1309" s="104"/>
    </row>
    <row r="1310" spans="4:19">
      <c r="D1310" s="104"/>
      <c r="E1310" s="104"/>
      <c r="F1310" s="104"/>
      <c r="G1310" s="104"/>
      <c r="H1310" s="104"/>
      <c r="I1310" s="104"/>
      <c r="J1310" s="104"/>
      <c r="K1310" s="104"/>
      <c r="L1310" s="104"/>
      <c r="M1310" s="104"/>
      <c r="N1310" s="104"/>
      <c r="O1310" s="104"/>
      <c r="P1310" s="104"/>
      <c r="Q1310" s="104"/>
      <c r="R1310" s="104"/>
      <c r="S1310" s="104"/>
    </row>
    <row r="1311" spans="4:19">
      <c r="D1311" s="104"/>
      <c r="E1311" s="104"/>
      <c r="F1311" s="104"/>
      <c r="G1311" s="104"/>
      <c r="H1311" s="104"/>
      <c r="I1311" s="104"/>
      <c r="J1311" s="104"/>
      <c r="K1311" s="104"/>
      <c r="L1311" s="104"/>
      <c r="M1311" s="104"/>
      <c r="N1311" s="104"/>
      <c r="O1311" s="104"/>
      <c r="P1311" s="104"/>
      <c r="Q1311" s="104"/>
      <c r="R1311" s="104"/>
      <c r="S1311" s="104"/>
    </row>
    <row r="1312" spans="4:19">
      <c r="D1312" s="104"/>
      <c r="E1312" s="104"/>
      <c r="F1312" s="104"/>
      <c r="G1312" s="104"/>
      <c r="H1312" s="104"/>
      <c r="I1312" s="104"/>
      <c r="J1312" s="104"/>
      <c r="K1312" s="104"/>
      <c r="L1312" s="104"/>
      <c r="M1312" s="104"/>
      <c r="N1312" s="104"/>
      <c r="O1312" s="104"/>
      <c r="P1312" s="104"/>
      <c r="Q1312" s="104"/>
      <c r="R1312" s="104"/>
      <c r="S1312" s="104"/>
    </row>
    <row r="1313" spans="4:19">
      <c r="D1313" s="104"/>
      <c r="E1313" s="104"/>
      <c r="F1313" s="104"/>
      <c r="G1313" s="104"/>
      <c r="H1313" s="104"/>
      <c r="I1313" s="104"/>
      <c r="J1313" s="104"/>
      <c r="K1313" s="104"/>
      <c r="L1313" s="104"/>
      <c r="M1313" s="104"/>
      <c r="N1313" s="104"/>
      <c r="O1313" s="104"/>
      <c r="P1313" s="104"/>
      <c r="Q1313" s="104"/>
      <c r="R1313" s="104"/>
      <c r="S1313" s="104"/>
    </row>
    <row r="1314" spans="4:19">
      <c r="D1314" s="104"/>
      <c r="E1314" s="104"/>
      <c r="F1314" s="104"/>
      <c r="G1314" s="104"/>
      <c r="H1314" s="104"/>
      <c r="I1314" s="104"/>
      <c r="J1314" s="104"/>
      <c r="K1314" s="104"/>
      <c r="L1314" s="104"/>
      <c r="M1314" s="104"/>
      <c r="N1314" s="104"/>
      <c r="O1314" s="104"/>
      <c r="P1314" s="104"/>
      <c r="Q1314" s="104"/>
      <c r="R1314" s="104"/>
      <c r="S1314" s="104"/>
    </row>
    <row r="1315" spans="4:19">
      <c r="D1315" s="104"/>
      <c r="E1315" s="104"/>
      <c r="F1315" s="104"/>
      <c r="G1315" s="104"/>
      <c r="H1315" s="104"/>
      <c r="I1315" s="104"/>
      <c r="J1315" s="104"/>
      <c r="K1315" s="104"/>
      <c r="L1315" s="104"/>
      <c r="M1315" s="104"/>
      <c r="N1315" s="104"/>
      <c r="O1315" s="104"/>
      <c r="P1315" s="104"/>
      <c r="Q1315" s="104"/>
      <c r="R1315" s="104"/>
      <c r="S1315" s="104"/>
    </row>
    <row r="1316" spans="4:19">
      <c r="D1316" s="104"/>
      <c r="E1316" s="104"/>
      <c r="F1316" s="104"/>
      <c r="G1316" s="104"/>
      <c r="H1316" s="104"/>
      <c r="I1316" s="104"/>
      <c r="J1316" s="104"/>
      <c r="K1316" s="104"/>
      <c r="L1316" s="104"/>
      <c r="M1316" s="104"/>
      <c r="N1316" s="104"/>
      <c r="O1316" s="104"/>
      <c r="P1316" s="104"/>
      <c r="Q1316" s="104"/>
      <c r="R1316" s="104"/>
      <c r="S1316" s="104"/>
    </row>
    <row r="1317" spans="4:19">
      <c r="D1317" s="104"/>
      <c r="E1317" s="104"/>
      <c r="F1317" s="104"/>
      <c r="G1317" s="104"/>
      <c r="H1317" s="104"/>
      <c r="I1317" s="104"/>
      <c r="J1317" s="104"/>
      <c r="K1317" s="104"/>
      <c r="L1317" s="104"/>
      <c r="M1317" s="104"/>
      <c r="N1317" s="104"/>
      <c r="O1317" s="104"/>
      <c r="P1317" s="104"/>
      <c r="Q1317" s="104"/>
      <c r="R1317" s="104"/>
      <c r="S1317" s="104"/>
    </row>
    <row r="1318" spans="4:19">
      <c r="D1318" s="104"/>
      <c r="E1318" s="104"/>
      <c r="F1318" s="104"/>
      <c r="G1318" s="104"/>
      <c r="H1318" s="104"/>
      <c r="I1318" s="104"/>
      <c r="J1318" s="104"/>
      <c r="K1318" s="104"/>
      <c r="L1318" s="104"/>
      <c r="M1318" s="104"/>
      <c r="N1318" s="104"/>
      <c r="O1318" s="104"/>
      <c r="P1318" s="104"/>
      <c r="Q1318" s="104"/>
      <c r="R1318" s="104"/>
      <c r="S1318" s="104"/>
    </row>
    <row r="1319" spans="4:19">
      <c r="D1319" s="104"/>
      <c r="E1319" s="104"/>
      <c r="F1319" s="104"/>
      <c r="G1319" s="104"/>
      <c r="H1319" s="104"/>
      <c r="I1319" s="104"/>
      <c r="J1319" s="104"/>
      <c r="K1319" s="104"/>
      <c r="L1319" s="104"/>
      <c r="M1319" s="104"/>
      <c r="N1319" s="104"/>
      <c r="O1319" s="104"/>
      <c r="P1319" s="104"/>
      <c r="Q1319" s="104"/>
      <c r="R1319" s="104"/>
      <c r="S1319" s="104"/>
    </row>
    <row r="1320" spans="4:19">
      <c r="D1320" s="104"/>
      <c r="E1320" s="104"/>
      <c r="F1320" s="104"/>
      <c r="G1320" s="104"/>
      <c r="H1320" s="104"/>
      <c r="I1320" s="104"/>
      <c r="J1320" s="104"/>
      <c r="K1320" s="104"/>
      <c r="L1320" s="104"/>
      <c r="M1320" s="104"/>
      <c r="N1320" s="104"/>
      <c r="O1320" s="104"/>
      <c r="P1320" s="104"/>
      <c r="Q1320" s="104"/>
      <c r="R1320" s="104"/>
      <c r="S1320" s="104"/>
    </row>
    <row r="1321" spans="4:19">
      <c r="D1321" s="104"/>
      <c r="E1321" s="104"/>
      <c r="F1321" s="104"/>
      <c r="G1321" s="104"/>
      <c r="H1321" s="104"/>
      <c r="I1321" s="104"/>
      <c r="J1321" s="104"/>
      <c r="K1321" s="104"/>
      <c r="L1321" s="104"/>
      <c r="M1321" s="104"/>
      <c r="N1321" s="104"/>
      <c r="O1321" s="104"/>
      <c r="P1321" s="104"/>
      <c r="Q1321" s="104"/>
      <c r="R1321" s="104"/>
      <c r="S1321" s="104"/>
    </row>
    <row r="1322" spans="4:19">
      <c r="D1322" s="104"/>
      <c r="E1322" s="104"/>
      <c r="F1322" s="104"/>
      <c r="G1322" s="104"/>
      <c r="H1322" s="104"/>
      <c r="I1322" s="104"/>
      <c r="J1322" s="104"/>
      <c r="K1322" s="104"/>
      <c r="L1322" s="104"/>
      <c r="M1322" s="104"/>
      <c r="N1322" s="104"/>
      <c r="O1322" s="104"/>
      <c r="P1322" s="104"/>
      <c r="Q1322" s="104"/>
      <c r="R1322" s="104"/>
      <c r="S1322" s="104"/>
    </row>
    <row r="1323" spans="4:19">
      <c r="D1323" s="104"/>
      <c r="E1323" s="104"/>
      <c r="F1323" s="104"/>
      <c r="G1323" s="104"/>
      <c r="H1323" s="104"/>
      <c r="I1323" s="104"/>
      <c r="J1323" s="104"/>
      <c r="K1323" s="104"/>
      <c r="L1323" s="104"/>
      <c r="M1323" s="104"/>
      <c r="N1323" s="104"/>
      <c r="O1323" s="104"/>
      <c r="P1323" s="104"/>
      <c r="Q1323" s="104"/>
      <c r="R1323" s="104"/>
      <c r="S1323" s="104"/>
    </row>
    <row r="1324" spans="4:19">
      <c r="D1324" s="104"/>
      <c r="E1324" s="104"/>
      <c r="F1324" s="104"/>
      <c r="G1324" s="104"/>
      <c r="H1324" s="104"/>
      <c r="I1324" s="104"/>
      <c r="J1324" s="104"/>
      <c r="K1324" s="104"/>
      <c r="L1324" s="104"/>
      <c r="M1324" s="104"/>
      <c r="N1324" s="104"/>
      <c r="O1324" s="104"/>
      <c r="P1324" s="104"/>
      <c r="Q1324" s="104"/>
      <c r="R1324" s="104"/>
      <c r="S1324" s="104"/>
    </row>
    <row r="1325" spans="4:19">
      <c r="D1325" s="104"/>
      <c r="E1325" s="104"/>
      <c r="F1325" s="104"/>
      <c r="G1325" s="104"/>
      <c r="H1325" s="104"/>
      <c r="I1325" s="104"/>
      <c r="J1325" s="104"/>
      <c r="K1325" s="104"/>
      <c r="L1325" s="104"/>
      <c r="M1325" s="104"/>
      <c r="N1325" s="104"/>
      <c r="O1325" s="104"/>
      <c r="P1325" s="104"/>
      <c r="Q1325" s="104"/>
      <c r="R1325" s="104"/>
      <c r="S1325" s="104"/>
    </row>
    <row r="1326" spans="4:19">
      <c r="D1326" s="104"/>
      <c r="E1326" s="104"/>
      <c r="F1326" s="104"/>
      <c r="G1326" s="104"/>
      <c r="H1326" s="104"/>
      <c r="I1326" s="104"/>
      <c r="J1326" s="104"/>
      <c r="K1326" s="104"/>
      <c r="L1326" s="104"/>
      <c r="M1326" s="104"/>
      <c r="N1326" s="104"/>
      <c r="O1326" s="104"/>
      <c r="P1326" s="104"/>
      <c r="Q1326" s="104"/>
      <c r="R1326" s="104"/>
      <c r="S1326" s="104"/>
    </row>
    <row r="1327" spans="4:19">
      <c r="D1327" s="104"/>
      <c r="E1327" s="104"/>
      <c r="F1327" s="104"/>
      <c r="G1327" s="104"/>
      <c r="H1327" s="104"/>
      <c r="I1327" s="104"/>
      <c r="J1327" s="104"/>
      <c r="K1327" s="104"/>
      <c r="L1327" s="104"/>
      <c r="M1327" s="104"/>
      <c r="N1327" s="104"/>
      <c r="O1327" s="104"/>
      <c r="P1327" s="104"/>
      <c r="Q1327" s="104"/>
      <c r="R1327" s="104"/>
      <c r="S1327" s="104"/>
    </row>
    <row r="1328" spans="4:19">
      <c r="D1328" s="104"/>
      <c r="E1328" s="104"/>
      <c r="F1328" s="104"/>
      <c r="G1328" s="104"/>
      <c r="H1328" s="104"/>
      <c r="I1328" s="104"/>
      <c r="J1328" s="104"/>
      <c r="K1328" s="104"/>
      <c r="L1328" s="104"/>
      <c r="M1328" s="104"/>
      <c r="N1328" s="104"/>
      <c r="O1328" s="104"/>
      <c r="P1328" s="104"/>
      <c r="Q1328" s="104"/>
      <c r="R1328" s="104"/>
      <c r="S1328" s="104"/>
    </row>
    <row r="1329" spans="4:19">
      <c r="D1329" s="104"/>
      <c r="E1329" s="104"/>
      <c r="F1329" s="104"/>
      <c r="G1329" s="104"/>
      <c r="H1329" s="104"/>
      <c r="I1329" s="104"/>
      <c r="J1329" s="104"/>
      <c r="K1329" s="104"/>
      <c r="L1329" s="104"/>
      <c r="M1329" s="104"/>
      <c r="N1329" s="104"/>
      <c r="O1329" s="104"/>
      <c r="P1329" s="104"/>
      <c r="Q1329" s="104"/>
      <c r="R1329" s="104"/>
      <c r="S1329" s="104"/>
    </row>
    <row r="1330" spans="4:19">
      <c r="D1330" s="104"/>
      <c r="E1330" s="104"/>
      <c r="F1330" s="104"/>
      <c r="G1330" s="104"/>
      <c r="H1330" s="104"/>
      <c r="I1330" s="104"/>
      <c r="J1330" s="104"/>
      <c r="K1330" s="104"/>
      <c r="L1330" s="104"/>
      <c r="M1330" s="104"/>
      <c r="N1330" s="104"/>
      <c r="O1330" s="104"/>
      <c r="P1330" s="104"/>
      <c r="Q1330" s="104"/>
      <c r="R1330" s="104"/>
      <c r="S1330" s="104"/>
    </row>
    <row r="1331" spans="4:19">
      <c r="D1331" s="104"/>
      <c r="E1331" s="104"/>
      <c r="F1331" s="104"/>
      <c r="G1331" s="104"/>
      <c r="H1331" s="104"/>
      <c r="I1331" s="104"/>
      <c r="J1331" s="104"/>
      <c r="K1331" s="104"/>
      <c r="L1331" s="104"/>
      <c r="M1331" s="104"/>
      <c r="N1331" s="104"/>
      <c r="O1331" s="104"/>
      <c r="P1331" s="104"/>
      <c r="Q1331" s="104"/>
      <c r="R1331" s="104"/>
      <c r="S1331" s="104"/>
    </row>
    <row r="1332" spans="4:19">
      <c r="D1332" s="104"/>
      <c r="E1332" s="104"/>
      <c r="F1332" s="104"/>
      <c r="G1332" s="104"/>
      <c r="H1332" s="104"/>
      <c r="I1332" s="104"/>
      <c r="J1332" s="104"/>
      <c r="K1332" s="104"/>
      <c r="L1332" s="104"/>
      <c r="M1332" s="104"/>
      <c r="N1332" s="104"/>
      <c r="O1332" s="104"/>
      <c r="P1332" s="104"/>
      <c r="Q1332" s="104"/>
      <c r="R1332" s="104"/>
      <c r="S1332" s="104"/>
    </row>
    <row r="1333" spans="4:19">
      <c r="D1333" s="104"/>
      <c r="E1333" s="104"/>
      <c r="F1333" s="104"/>
      <c r="G1333" s="104"/>
      <c r="H1333" s="104"/>
      <c r="I1333" s="104"/>
      <c r="J1333" s="104"/>
      <c r="K1333" s="104"/>
      <c r="L1333" s="104"/>
      <c r="M1333" s="104"/>
      <c r="N1333" s="104"/>
      <c r="O1333" s="104"/>
      <c r="P1333" s="104"/>
      <c r="Q1333" s="104"/>
      <c r="R1333" s="104"/>
      <c r="S1333" s="104"/>
    </row>
    <row r="1334" spans="4:19">
      <c r="D1334" s="104"/>
      <c r="E1334" s="104"/>
      <c r="F1334" s="104"/>
      <c r="G1334" s="104"/>
      <c r="H1334" s="104"/>
      <c r="I1334" s="104"/>
      <c r="J1334" s="104"/>
      <c r="K1334" s="104"/>
      <c r="L1334" s="104"/>
      <c r="M1334" s="104"/>
      <c r="N1334" s="104"/>
      <c r="O1334" s="104"/>
      <c r="P1334" s="104"/>
      <c r="Q1334" s="104"/>
      <c r="R1334" s="104"/>
      <c r="S1334" s="104"/>
    </row>
    <row r="1335" spans="4:19">
      <c r="D1335" s="104"/>
      <c r="E1335" s="104"/>
      <c r="F1335" s="104"/>
      <c r="G1335" s="104"/>
      <c r="H1335" s="104"/>
      <c r="I1335" s="104"/>
      <c r="J1335" s="104"/>
      <c r="K1335" s="104"/>
      <c r="L1335" s="104"/>
      <c r="M1335" s="104"/>
      <c r="N1335" s="104"/>
      <c r="O1335" s="104"/>
      <c r="P1335" s="104"/>
      <c r="Q1335" s="104"/>
      <c r="R1335" s="104"/>
      <c r="S1335" s="104"/>
    </row>
    <row r="1336" spans="4:19">
      <c r="D1336" s="104"/>
      <c r="E1336" s="104"/>
      <c r="F1336" s="104"/>
      <c r="G1336" s="104"/>
      <c r="H1336" s="104"/>
      <c r="I1336" s="104"/>
      <c r="J1336" s="104"/>
      <c r="K1336" s="104"/>
      <c r="L1336" s="104"/>
      <c r="M1336" s="104"/>
      <c r="N1336" s="104"/>
      <c r="O1336" s="104"/>
      <c r="P1336" s="104"/>
      <c r="Q1336" s="104"/>
      <c r="R1336" s="104"/>
      <c r="S1336" s="104"/>
    </row>
    <row r="1337" spans="4:19">
      <c r="D1337" s="104"/>
      <c r="E1337" s="104"/>
      <c r="F1337" s="104"/>
      <c r="G1337" s="104"/>
      <c r="H1337" s="104"/>
      <c r="I1337" s="104"/>
      <c r="J1337" s="104"/>
      <c r="K1337" s="104"/>
      <c r="L1337" s="104"/>
      <c r="M1337" s="104"/>
      <c r="N1337" s="104"/>
      <c r="O1337" s="104"/>
      <c r="P1337" s="104"/>
      <c r="Q1337" s="104"/>
      <c r="R1337" s="104"/>
      <c r="S1337" s="104"/>
    </row>
    <row r="1338" spans="4:19">
      <c r="D1338" s="104"/>
      <c r="E1338" s="104"/>
      <c r="F1338" s="104"/>
      <c r="G1338" s="104"/>
      <c r="H1338" s="104"/>
      <c r="I1338" s="104"/>
      <c r="J1338" s="104"/>
      <c r="K1338" s="104"/>
      <c r="L1338" s="104"/>
      <c r="M1338" s="104"/>
      <c r="N1338" s="104"/>
      <c r="O1338" s="104"/>
      <c r="P1338" s="104"/>
      <c r="Q1338" s="104"/>
      <c r="R1338" s="104"/>
      <c r="S1338" s="104"/>
    </row>
    <row r="1339" spans="4:19">
      <c r="D1339" s="104"/>
      <c r="E1339" s="104"/>
      <c r="F1339" s="104"/>
      <c r="G1339" s="104"/>
      <c r="H1339" s="104"/>
      <c r="I1339" s="104"/>
      <c r="J1339" s="104"/>
      <c r="K1339" s="104"/>
      <c r="L1339" s="104"/>
      <c r="M1339" s="104"/>
      <c r="N1339" s="104"/>
      <c r="O1339" s="104"/>
      <c r="P1339" s="104"/>
      <c r="Q1339" s="104"/>
      <c r="R1339" s="104"/>
      <c r="S1339" s="104"/>
    </row>
    <row r="1340" spans="4:19">
      <c r="D1340" s="104"/>
      <c r="E1340" s="104"/>
      <c r="F1340" s="104"/>
      <c r="G1340" s="104"/>
      <c r="H1340" s="104"/>
      <c r="I1340" s="104"/>
      <c r="J1340" s="104"/>
      <c r="K1340" s="104"/>
      <c r="L1340" s="104"/>
      <c r="M1340" s="104"/>
      <c r="N1340" s="104"/>
      <c r="O1340" s="104"/>
      <c r="P1340" s="104"/>
      <c r="Q1340" s="104"/>
      <c r="R1340" s="104"/>
      <c r="S1340" s="104"/>
    </row>
    <row r="1341" spans="4:19">
      <c r="D1341" s="104"/>
      <c r="E1341" s="104"/>
      <c r="F1341" s="104"/>
      <c r="G1341" s="104"/>
      <c r="H1341" s="104"/>
      <c r="I1341" s="104"/>
      <c r="J1341" s="104"/>
      <c r="K1341" s="104"/>
      <c r="L1341" s="104"/>
      <c r="M1341" s="104"/>
      <c r="N1341" s="104"/>
      <c r="O1341" s="104"/>
      <c r="P1341" s="104"/>
      <c r="Q1341" s="104"/>
      <c r="R1341" s="104"/>
      <c r="S1341" s="104"/>
    </row>
    <row r="1342" spans="4:19">
      <c r="D1342" s="104"/>
      <c r="E1342" s="104"/>
      <c r="F1342" s="104"/>
      <c r="G1342" s="104"/>
      <c r="H1342" s="104"/>
      <c r="I1342" s="104"/>
      <c r="J1342" s="104"/>
      <c r="K1342" s="104"/>
      <c r="L1342" s="104"/>
      <c r="M1342" s="104"/>
      <c r="N1342" s="104"/>
      <c r="O1342" s="104"/>
      <c r="P1342" s="104"/>
      <c r="Q1342" s="104"/>
      <c r="R1342" s="104"/>
      <c r="S1342" s="104"/>
    </row>
    <row r="1343" spans="4:19">
      <c r="D1343" s="104"/>
      <c r="E1343" s="104"/>
      <c r="F1343" s="104"/>
      <c r="G1343" s="104"/>
      <c r="H1343" s="104"/>
      <c r="I1343" s="104"/>
      <c r="J1343" s="104"/>
      <c r="K1343" s="104"/>
      <c r="L1343" s="104"/>
      <c r="M1343" s="104"/>
      <c r="N1343" s="104"/>
      <c r="O1343" s="104"/>
      <c r="P1343" s="104"/>
      <c r="Q1343" s="104"/>
      <c r="R1343" s="104"/>
      <c r="S1343" s="104"/>
    </row>
    <row r="1344" spans="4:19">
      <c r="D1344" s="104"/>
      <c r="E1344" s="104"/>
      <c r="F1344" s="104"/>
      <c r="G1344" s="104"/>
      <c r="H1344" s="104"/>
      <c r="I1344" s="104"/>
      <c r="J1344" s="104"/>
      <c r="K1344" s="104"/>
      <c r="L1344" s="104"/>
      <c r="M1344" s="104"/>
      <c r="N1344" s="104"/>
      <c r="O1344" s="104"/>
      <c r="P1344" s="104"/>
      <c r="Q1344" s="104"/>
      <c r="R1344" s="104"/>
      <c r="S1344" s="104"/>
    </row>
    <row r="1345" spans="4:19">
      <c r="D1345" s="104"/>
      <c r="E1345" s="104"/>
      <c r="F1345" s="104"/>
      <c r="G1345" s="104"/>
      <c r="H1345" s="104"/>
      <c r="I1345" s="104"/>
      <c r="J1345" s="104"/>
      <c r="K1345" s="104"/>
      <c r="L1345" s="104"/>
      <c r="M1345" s="104"/>
      <c r="N1345" s="104"/>
      <c r="O1345" s="104"/>
      <c r="P1345" s="104"/>
      <c r="Q1345" s="104"/>
      <c r="R1345" s="104"/>
      <c r="S1345" s="104"/>
    </row>
    <row r="1346" spans="4:19">
      <c r="D1346" s="104"/>
      <c r="E1346" s="104"/>
      <c r="F1346" s="104"/>
      <c r="G1346" s="104"/>
      <c r="H1346" s="104"/>
      <c r="I1346" s="104"/>
      <c r="J1346" s="104"/>
      <c r="K1346" s="104"/>
      <c r="L1346" s="104"/>
      <c r="M1346" s="104"/>
      <c r="N1346" s="104"/>
      <c r="O1346" s="104"/>
      <c r="P1346" s="104"/>
      <c r="Q1346" s="104"/>
      <c r="R1346" s="104"/>
      <c r="S1346" s="104"/>
    </row>
    <row r="1347" spans="4:19">
      <c r="D1347" s="104"/>
      <c r="E1347" s="104"/>
      <c r="F1347" s="104"/>
      <c r="G1347" s="104"/>
      <c r="H1347" s="104"/>
      <c r="I1347" s="104"/>
      <c r="J1347" s="104"/>
      <c r="K1347" s="104"/>
      <c r="L1347" s="104"/>
      <c r="M1347" s="104"/>
      <c r="N1347" s="104"/>
      <c r="O1347" s="104"/>
      <c r="P1347" s="104"/>
      <c r="Q1347" s="104"/>
      <c r="R1347" s="104"/>
      <c r="S1347" s="104"/>
    </row>
    <row r="1348" spans="4:19">
      <c r="D1348" s="104"/>
      <c r="E1348" s="104"/>
      <c r="F1348" s="104"/>
      <c r="G1348" s="104"/>
      <c r="H1348" s="104"/>
      <c r="I1348" s="104"/>
      <c r="J1348" s="104"/>
      <c r="K1348" s="104"/>
      <c r="L1348" s="104"/>
      <c r="M1348" s="104"/>
      <c r="N1348" s="104"/>
      <c r="O1348" s="104"/>
      <c r="P1348" s="104"/>
      <c r="Q1348" s="104"/>
      <c r="R1348" s="104"/>
      <c r="S1348" s="104"/>
    </row>
    <row r="1349" spans="4:19">
      <c r="D1349" s="104"/>
      <c r="E1349" s="104"/>
      <c r="F1349" s="104"/>
      <c r="G1349" s="104"/>
      <c r="H1349" s="104"/>
      <c r="I1349" s="104"/>
      <c r="J1349" s="104"/>
      <c r="K1349" s="104"/>
      <c r="L1349" s="104"/>
      <c r="M1349" s="104"/>
      <c r="N1349" s="104"/>
      <c r="O1349" s="104"/>
      <c r="P1349" s="104"/>
      <c r="Q1349" s="104"/>
      <c r="R1349" s="104"/>
      <c r="S1349" s="104"/>
    </row>
    <row r="1350" spans="4:19">
      <c r="D1350" s="104"/>
      <c r="E1350" s="104"/>
      <c r="F1350" s="104"/>
      <c r="G1350" s="104"/>
      <c r="H1350" s="104"/>
      <c r="I1350" s="104"/>
      <c r="J1350" s="104"/>
      <c r="K1350" s="104"/>
      <c r="L1350" s="104"/>
      <c r="M1350" s="104"/>
      <c r="N1350" s="104"/>
      <c r="O1350" s="104"/>
      <c r="P1350" s="104"/>
      <c r="Q1350" s="104"/>
      <c r="R1350" s="104"/>
      <c r="S1350" s="104"/>
    </row>
    <row r="1351" spans="4:19">
      <c r="D1351" s="104"/>
      <c r="E1351" s="104"/>
      <c r="F1351" s="104"/>
      <c r="G1351" s="104"/>
      <c r="H1351" s="104"/>
      <c r="I1351" s="104"/>
      <c r="J1351" s="104"/>
      <c r="K1351" s="104"/>
      <c r="L1351" s="104"/>
      <c r="M1351" s="104"/>
      <c r="N1351" s="104"/>
      <c r="O1351" s="104"/>
      <c r="P1351" s="104"/>
      <c r="Q1351" s="104"/>
      <c r="R1351" s="104"/>
      <c r="S1351" s="104"/>
    </row>
    <row r="1352" spans="4:19">
      <c r="D1352" s="104"/>
      <c r="E1352" s="104"/>
      <c r="F1352" s="104"/>
      <c r="G1352" s="104"/>
      <c r="H1352" s="104"/>
      <c r="I1352" s="104"/>
      <c r="J1352" s="104"/>
      <c r="K1352" s="104"/>
      <c r="L1352" s="104"/>
      <c r="M1352" s="104"/>
      <c r="N1352" s="104"/>
      <c r="O1352" s="104"/>
      <c r="P1352" s="104"/>
      <c r="Q1352" s="104"/>
      <c r="R1352" s="104"/>
      <c r="S1352" s="104"/>
    </row>
    <row r="1353" spans="4:19">
      <c r="D1353" s="104"/>
      <c r="E1353" s="104"/>
      <c r="F1353" s="104"/>
      <c r="G1353" s="104"/>
      <c r="H1353" s="104"/>
      <c r="I1353" s="104"/>
      <c r="J1353" s="104"/>
      <c r="K1353" s="104"/>
      <c r="L1353" s="104"/>
      <c r="M1353" s="104"/>
      <c r="N1353" s="104"/>
      <c r="O1353" s="104"/>
      <c r="P1353" s="104"/>
      <c r="Q1353" s="104"/>
      <c r="R1353" s="104"/>
      <c r="S1353" s="104"/>
    </row>
    <row r="1354" spans="4:19">
      <c r="D1354" s="104"/>
      <c r="E1354" s="104"/>
      <c r="F1354" s="104"/>
      <c r="G1354" s="104"/>
      <c r="H1354" s="104"/>
      <c r="I1354" s="104"/>
      <c r="J1354" s="104"/>
      <c r="K1354" s="104"/>
      <c r="L1354" s="104"/>
      <c r="M1354" s="104"/>
      <c r="N1354" s="104"/>
      <c r="O1354" s="104"/>
      <c r="P1354" s="104"/>
      <c r="Q1354" s="104"/>
      <c r="R1354" s="104"/>
      <c r="S1354" s="104"/>
    </row>
    <row r="1355" spans="4:19">
      <c r="D1355" s="104"/>
      <c r="E1355" s="104"/>
      <c r="F1355" s="104"/>
      <c r="G1355" s="104"/>
      <c r="H1355" s="104"/>
      <c r="I1355" s="104"/>
      <c r="J1355" s="104"/>
      <c r="K1355" s="104"/>
      <c r="L1355" s="104"/>
      <c r="M1355" s="104"/>
      <c r="N1355" s="104"/>
      <c r="O1355" s="104"/>
      <c r="P1355" s="104"/>
      <c r="Q1355" s="104"/>
      <c r="R1355" s="104"/>
      <c r="S1355" s="104"/>
    </row>
    <row r="1356" spans="4:19">
      <c r="D1356" s="104"/>
      <c r="E1356" s="104"/>
      <c r="F1356" s="104"/>
      <c r="G1356" s="104"/>
      <c r="H1356" s="104"/>
      <c r="I1356" s="104"/>
      <c r="J1356" s="104"/>
      <c r="K1356" s="104"/>
      <c r="L1356" s="104"/>
      <c r="M1356" s="104"/>
      <c r="N1356" s="104"/>
      <c r="O1356" s="104"/>
      <c r="P1356" s="104"/>
      <c r="Q1356" s="104"/>
      <c r="R1356" s="104"/>
      <c r="S1356" s="104"/>
    </row>
    <row r="1357" spans="4:19">
      <c r="D1357" s="104"/>
      <c r="E1357" s="104"/>
      <c r="F1357" s="104"/>
      <c r="G1357" s="104"/>
      <c r="H1357" s="104"/>
      <c r="I1357" s="104"/>
      <c r="J1357" s="104"/>
      <c r="K1357" s="104"/>
      <c r="L1357" s="104"/>
      <c r="M1357" s="104"/>
      <c r="N1357" s="104"/>
      <c r="O1357" s="104"/>
      <c r="P1357" s="104"/>
      <c r="Q1357" s="104"/>
      <c r="R1357" s="104"/>
      <c r="S1357" s="104"/>
    </row>
    <row r="1358" spans="4:19">
      <c r="D1358" s="104"/>
      <c r="E1358" s="104"/>
      <c r="F1358" s="104"/>
      <c r="G1358" s="104"/>
      <c r="H1358" s="104"/>
      <c r="I1358" s="104"/>
      <c r="J1358" s="104"/>
      <c r="K1358" s="104"/>
      <c r="L1358" s="104"/>
      <c r="M1358" s="104"/>
      <c r="N1358" s="104"/>
      <c r="O1358" s="104"/>
      <c r="P1358" s="104"/>
      <c r="Q1358" s="104"/>
      <c r="R1358" s="104"/>
      <c r="S1358" s="104"/>
    </row>
    <row r="1359" spans="4:19">
      <c r="D1359" s="104"/>
      <c r="E1359" s="104"/>
      <c r="F1359" s="104"/>
      <c r="G1359" s="104"/>
      <c r="H1359" s="104"/>
      <c r="I1359" s="104"/>
      <c r="J1359" s="104"/>
      <c r="K1359" s="104"/>
      <c r="L1359" s="104"/>
      <c r="M1359" s="104"/>
      <c r="N1359" s="104"/>
      <c r="O1359" s="104"/>
      <c r="P1359" s="104"/>
      <c r="Q1359" s="104"/>
      <c r="R1359" s="104"/>
      <c r="S1359" s="104"/>
    </row>
    <row r="1360" spans="4:19">
      <c r="D1360" s="104"/>
      <c r="E1360" s="104"/>
      <c r="F1360" s="104"/>
      <c r="G1360" s="104"/>
      <c r="H1360" s="104"/>
      <c r="I1360" s="104"/>
      <c r="J1360" s="104"/>
      <c r="K1360" s="104"/>
      <c r="L1360" s="104"/>
      <c r="M1360" s="104"/>
      <c r="N1360" s="104"/>
      <c r="O1360" s="104"/>
      <c r="P1360" s="104"/>
      <c r="Q1360" s="104"/>
      <c r="R1360" s="104"/>
      <c r="S1360" s="104"/>
    </row>
    <row r="1361" spans="4:19">
      <c r="D1361" s="104"/>
      <c r="E1361" s="104"/>
      <c r="F1361" s="104"/>
      <c r="G1361" s="104"/>
      <c r="H1361" s="104"/>
      <c r="I1361" s="104"/>
      <c r="J1361" s="104"/>
      <c r="K1361" s="104"/>
      <c r="L1361" s="104"/>
      <c r="M1361" s="104"/>
      <c r="N1361" s="104"/>
      <c r="O1361" s="104"/>
      <c r="P1361" s="104"/>
      <c r="Q1361" s="104"/>
      <c r="R1361" s="104"/>
      <c r="S1361" s="104"/>
    </row>
    <row r="1362" spans="4:19">
      <c r="D1362" s="104"/>
      <c r="E1362" s="104"/>
      <c r="F1362" s="104"/>
      <c r="G1362" s="104"/>
      <c r="H1362" s="104"/>
      <c r="I1362" s="104"/>
      <c r="J1362" s="104"/>
      <c r="K1362" s="104"/>
      <c r="L1362" s="104"/>
      <c r="M1362" s="104"/>
      <c r="N1362" s="104"/>
      <c r="O1362" s="104"/>
      <c r="P1362" s="104"/>
      <c r="Q1362" s="104"/>
      <c r="R1362" s="104"/>
      <c r="S1362" s="104"/>
    </row>
    <row r="1363" spans="4:19">
      <c r="D1363" s="104"/>
      <c r="E1363" s="104"/>
      <c r="F1363" s="104"/>
      <c r="G1363" s="104"/>
      <c r="H1363" s="104"/>
      <c r="I1363" s="104"/>
      <c r="J1363" s="104"/>
      <c r="K1363" s="104"/>
      <c r="L1363" s="104"/>
      <c r="M1363" s="104"/>
      <c r="N1363" s="104"/>
      <c r="O1363" s="104"/>
      <c r="P1363" s="104"/>
      <c r="Q1363" s="104"/>
      <c r="R1363" s="104"/>
      <c r="S1363" s="104"/>
    </row>
    <row r="1364" spans="4:19">
      <c r="D1364" s="104"/>
      <c r="E1364" s="104"/>
      <c r="F1364" s="104"/>
      <c r="G1364" s="104"/>
      <c r="H1364" s="104"/>
      <c r="I1364" s="104"/>
      <c r="J1364" s="104"/>
      <c r="K1364" s="104"/>
      <c r="L1364" s="104"/>
      <c r="M1364" s="104"/>
      <c r="N1364" s="104"/>
      <c r="O1364" s="104"/>
      <c r="P1364" s="104"/>
      <c r="Q1364" s="104"/>
      <c r="R1364" s="104"/>
      <c r="S1364" s="104"/>
    </row>
    <row r="1365" spans="4:19">
      <c r="D1365" s="104"/>
      <c r="E1365" s="104"/>
      <c r="F1365" s="104"/>
      <c r="G1365" s="104"/>
      <c r="H1365" s="104"/>
      <c r="I1365" s="104"/>
      <c r="J1365" s="104"/>
      <c r="K1365" s="104"/>
      <c r="L1365" s="104"/>
      <c r="M1365" s="104"/>
      <c r="N1365" s="104"/>
      <c r="O1365" s="104"/>
      <c r="P1365" s="104"/>
      <c r="Q1365" s="104"/>
      <c r="R1365" s="104"/>
      <c r="S1365" s="104"/>
    </row>
    <row r="1366" spans="4:19">
      <c r="D1366" s="104"/>
      <c r="E1366" s="104"/>
      <c r="F1366" s="104"/>
      <c r="G1366" s="104"/>
      <c r="H1366" s="104"/>
      <c r="I1366" s="104"/>
      <c r="J1366" s="104"/>
      <c r="K1366" s="104"/>
      <c r="L1366" s="104"/>
      <c r="M1366" s="104"/>
      <c r="N1366" s="104"/>
      <c r="O1366" s="104"/>
      <c r="P1366" s="104"/>
      <c r="Q1366" s="104"/>
      <c r="R1366" s="104"/>
      <c r="S1366" s="104"/>
    </row>
    <row r="1367" spans="4:19">
      <c r="D1367" s="104"/>
      <c r="E1367" s="104"/>
      <c r="F1367" s="104"/>
      <c r="G1367" s="104"/>
      <c r="H1367" s="104"/>
      <c r="I1367" s="104"/>
      <c r="J1367" s="104"/>
      <c r="K1367" s="104"/>
      <c r="L1367" s="104"/>
      <c r="M1367" s="104"/>
      <c r="N1367" s="104"/>
      <c r="O1367" s="104"/>
      <c r="P1367" s="104"/>
      <c r="Q1367" s="104"/>
      <c r="R1367" s="104"/>
      <c r="S1367" s="104"/>
    </row>
    <row r="1368" spans="4:19">
      <c r="D1368" s="104"/>
      <c r="E1368" s="104"/>
      <c r="F1368" s="104"/>
      <c r="G1368" s="104"/>
      <c r="H1368" s="104"/>
      <c r="I1368" s="104"/>
      <c r="J1368" s="104"/>
      <c r="K1368" s="104"/>
      <c r="L1368" s="104"/>
      <c r="M1368" s="104"/>
      <c r="N1368" s="104"/>
      <c r="O1368" s="104"/>
      <c r="P1368" s="104"/>
      <c r="Q1368" s="104"/>
      <c r="R1368" s="104"/>
      <c r="S1368" s="104"/>
    </row>
    <row r="1369" spans="4:19">
      <c r="D1369" s="104"/>
      <c r="E1369" s="104"/>
      <c r="F1369" s="104"/>
      <c r="G1369" s="104"/>
      <c r="H1369" s="104"/>
      <c r="I1369" s="104"/>
      <c r="J1369" s="104"/>
      <c r="K1369" s="104"/>
      <c r="L1369" s="104"/>
      <c r="M1369" s="104"/>
      <c r="N1369" s="104"/>
      <c r="O1369" s="104"/>
      <c r="P1369" s="104"/>
      <c r="Q1369" s="104"/>
      <c r="R1369" s="104"/>
      <c r="S1369" s="104"/>
    </row>
    <row r="1370" spans="4:19">
      <c r="D1370" s="104"/>
      <c r="E1370" s="104"/>
      <c r="F1370" s="104"/>
      <c r="G1370" s="104"/>
      <c r="H1370" s="104"/>
      <c r="I1370" s="104"/>
      <c r="J1370" s="104"/>
      <c r="K1370" s="104"/>
      <c r="L1370" s="104"/>
      <c r="M1370" s="104"/>
      <c r="N1370" s="104"/>
      <c r="O1370" s="104"/>
      <c r="P1370" s="104"/>
      <c r="Q1370" s="104"/>
      <c r="R1370" s="104"/>
      <c r="S1370" s="104"/>
    </row>
    <row r="1371" spans="4:19">
      <c r="D1371" s="104"/>
      <c r="E1371" s="104"/>
      <c r="F1371" s="104"/>
      <c r="G1371" s="104"/>
      <c r="H1371" s="104"/>
      <c r="I1371" s="104"/>
      <c r="J1371" s="104"/>
      <c r="K1371" s="104"/>
      <c r="L1371" s="104"/>
      <c r="M1371" s="104"/>
      <c r="N1371" s="104"/>
      <c r="O1371" s="104"/>
      <c r="P1371" s="104"/>
      <c r="Q1371" s="104"/>
      <c r="R1371" s="104"/>
      <c r="S1371" s="104"/>
    </row>
    <row r="1372" spans="4:19">
      <c r="D1372" s="104"/>
      <c r="E1372" s="104"/>
      <c r="F1372" s="104"/>
      <c r="G1372" s="104"/>
      <c r="H1372" s="104"/>
      <c r="I1372" s="104"/>
      <c r="J1372" s="104"/>
      <c r="K1372" s="104"/>
      <c r="L1372" s="104"/>
      <c r="M1372" s="104"/>
      <c r="N1372" s="104"/>
      <c r="O1372" s="104"/>
      <c r="P1372" s="104"/>
      <c r="Q1372" s="104"/>
      <c r="R1372" s="104"/>
      <c r="S1372" s="104"/>
    </row>
    <row r="1373" spans="4:19">
      <c r="D1373" s="104"/>
      <c r="E1373" s="104"/>
      <c r="F1373" s="104"/>
      <c r="G1373" s="104"/>
      <c r="H1373" s="104"/>
      <c r="I1373" s="104"/>
      <c r="J1373" s="104"/>
      <c r="K1373" s="104"/>
      <c r="L1373" s="104"/>
      <c r="M1373" s="104"/>
      <c r="N1373" s="104"/>
      <c r="O1373" s="104"/>
      <c r="P1373" s="104"/>
      <c r="Q1373" s="104"/>
      <c r="R1373" s="104"/>
      <c r="S1373" s="104"/>
    </row>
    <row r="1374" spans="4:19">
      <c r="D1374" s="104"/>
      <c r="E1374" s="104"/>
      <c r="F1374" s="104"/>
      <c r="G1374" s="104"/>
      <c r="H1374" s="104"/>
      <c r="I1374" s="104"/>
      <c r="J1374" s="104"/>
      <c r="K1374" s="104"/>
      <c r="L1374" s="104"/>
      <c r="M1374" s="104"/>
      <c r="N1374" s="104"/>
      <c r="O1374" s="104"/>
      <c r="P1374" s="104"/>
      <c r="Q1374" s="104"/>
      <c r="R1374" s="104"/>
      <c r="S1374" s="104"/>
    </row>
    <row r="1375" spans="4:19">
      <c r="D1375" s="104"/>
      <c r="E1375" s="104"/>
      <c r="F1375" s="104"/>
      <c r="G1375" s="104"/>
      <c r="H1375" s="104"/>
      <c r="I1375" s="104"/>
      <c r="J1375" s="104"/>
      <c r="K1375" s="104"/>
      <c r="L1375" s="104"/>
      <c r="M1375" s="104"/>
      <c r="N1375" s="104"/>
      <c r="O1375" s="104"/>
      <c r="P1375" s="104"/>
      <c r="Q1375" s="104"/>
      <c r="R1375" s="104"/>
      <c r="S1375" s="104"/>
    </row>
    <row r="1376" spans="4:19">
      <c r="D1376" s="104"/>
      <c r="E1376" s="104"/>
      <c r="F1376" s="104"/>
      <c r="G1376" s="104"/>
      <c r="H1376" s="104"/>
      <c r="I1376" s="104"/>
      <c r="J1376" s="104"/>
      <c r="K1376" s="104"/>
      <c r="L1376" s="104"/>
      <c r="M1376" s="104"/>
      <c r="N1376" s="104"/>
      <c r="O1376" s="104"/>
      <c r="P1376" s="104"/>
      <c r="Q1376" s="104"/>
      <c r="R1376" s="104"/>
      <c r="S1376" s="104"/>
    </row>
    <row r="1377" spans="4:19">
      <c r="D1377" s="104"/>
      <c r="E1377" s="104"/>
      <c r="F1377" s="104"/>
      <c r="G1377" s="104"/>
      <c r="H1377" s="104"/>
      <c r="I1377" s="104"/>
      <c r="J1377" s="104"/>
      <c r="K1377" s="104"/>
      <c r="L1377" s="104"/>
      <c r="M1377" s="104"/>
      <c r="N1377" s="104"/>
      <c r="O1377" s="104"/>
      <c r="P1377" s="104"/>
      <c r="Q1377" s="104"/>
      <c r="R1377" s="104"/>
      <c r="S1377" s="104"/>
    </row>
    <row r="1378" spans="4:19">
      <c r="D1378" s="104"/>
      <c r="E1378" s="104"/>
      <c r="F1378" s="104"/>
      <c r="G1378" s="104"/>
      <c r="H1378" s="104"/>
      <c r="I1378" s="104"/>
      <c r="J1378" s="104"/>
      <c r="K1378" s="104"/>
      <c r="L1378" s="104"/>
      <c r="M1378" s="104"/>
      <c r="N1378" s="104"/>
      <c r="O1378" s="104"/>
      <c r="P1378" s="104"/>
      <c r="Q1378" s="104"/>
      <c r="R1378" s="104"/>
      <c r="S1378" s="104"/>
    </row>
    <row r="1379" spans="4:19">
      <c r="D1379" s="104"/>
      <c r="E1379" s="104"/>
      <c r="F1379" s="104"/>
      <c r="G1379" s="104"/>
      <c r="H1379" s="104"/>
      <c r="I1379" s="104"/>
      <c r="J1379" s="104"/>
      <c r="K1379" s="104"/>
      <c r="L1379" s="104"/>
      <c r="M1379" s="104"/>
      <c r="N1379" s="104"/>
      <c r="O1379" s="104"/>
      <c r="P1379" s="104"/>
      <c r="Q1379" s="104"/>
      <c r="R1379" s="104"/>
      <c r="S1379" s="104"/>
    </row>
    <row r="1380" spans="4:19">
      <c r="D1380" s="104"/>
      <c r="E1380" s="104"/>
      <c r="F1380" s="104"/>
      <c r="G1380" s="104"/>
      <c r="H1380" s="104"/>
      <c r="I1380" s="104"/>
      <c r="J1380" s="104"/>
      <c r="K1380" s="104"/>
      <c r="L1380" s="104"/>
      <c r="M1380" s="104"/>
      <c r="N1380" s="104"/>
      <c r="O1380" s="104"/>
      <c r="P1380" s="104"/>
      <c r="Q1380" s="104"/>
      <c r="R1380" s="104"/>
      <c r="S1380" s="104"/>
    </row>
    <row r="1381" spans="4:19">
      <c r="D1381" s="104"/>
      <c r="E1381" s="104"/>
      <c r="F1381" s="104"/>
      <c r="G1381" s="104"/>
      <c r="H1381" s="104"/>
      <c r="I1381" s="104"/>
      <c r="J1381" s="104"/>
      <c r="K1381" s="104"/>
      <c r="L1381" s="104"/>
      <c r="M1381" s="104"/>
      <c r="N1381" s="104"/>
      <c r="O1381" s="104"/>
      <c r="P1381" s="104"/>
      <c r="Q1381" s="104"/>
      <c r="R1381" s="104"/>
      <c r="S1381" s="104"/>
    </row>
    <row r="1382" spans="4:19">
      <c r="D1382" s="104"/>
      <c r="E1382" s="104"/>
      <c r="F1382" s="104"/>
      <c r="G1382" s="104"/>
      <c r="H1382" s="104"/>
      <c r="I1382" s="104"/>
      <c r="J1382" s="104"/>
      <c r="K1382" s="104"/>
      <c r="L1382" s="104"/>
      <c r="M1382" s="104"/>
      <c r="N1382" s="104"/>
      <c r="O1382" s="104"/>
      <c r="P1382" s="104"/>
      <c r="Q1382" s="104"/>
      <c r="R1382" s="104"/>
      <c r="S1382" s="104"/>
    </row>
    <row r="1383" spans="4:19">
      <c r="D1383" s="104"/>
      <c r="E1383" s="104"/>
      <c r="F1383" s="104"/>
      <c r="G1383" s="104"/>
      <c r="H1383" s="104"/>
      <c r="I1383" s="104"/>
      <c r="J1383" s="104"/>
      <c r="K1383" s="104"/>
      <c r="L1383" s="104"/>
      <c r="M1383" s="104"/>
      <c r="N1383" s="104"/>
      <c r="O1383" s="104"/>
      <c r="P1383" s="104"/>
      <c r="Q1383" s="104"/>
      <c r="R1383" s="104"/>
      <c r="S1383" s="104"/>
    </row>
    <row r="1384" spans="4:19">
      <c r="D1384" s="104"/>
      <c r="E1384" s="104"/>
      <c r="F1384" s="104"/>
      <c r="G1384" s="104"/>
      <c r="H1384" s="104"/>
      <c r="I1384" s="104"/>
      <c r="J1384" s="104"/>
      <c r="K1384" s="104"/>
      <c r="L1384" s="104"/>
      <c r="M1384" s="104"/>
      <c r="N1384" s="104"/>
      <c r="O1384" s="104"/>
      <c r="P1384" s="104"/>
      <c r="Q1384" s="104"/>
      <c r="R1384" s="104"/>
      <c r="S1384" s="104"/>
    </row>
    <row r="1385" spans="4:19">
      <c r="D1385" s="104"/>
      <c r="E1385" s="104"/>
      <c r="F1385" s="104"/>
      <c r="G1385" s="104"/>
      <c r="H1385" s="104"/>
      <c r="I1385" s="104"/>
      <c r="J1385" s="104"/>
      <c r="K1385" s="104"/>
      <c r="L1385" s="104"/>
      <c r="M1385" s="104"/>
      <c r="N1385" s="104"/>
      <c r="O1385" s="104"/>
      <c r="P1385" s="104"/>
      <c r="Q1385" s="104"/>
      <c r="R1385" s="104"/>
      <c r="S1385" s="104"/>
    </row>
    <row r="1386" spans="4:19">
      <c r="D1386" s="104"/>
      <c r="E1386" s="104"/>
      <c r="F1386" s="104"/>
      <c r="G1386" s="104"/>
      <c r="H1386" s="104"/>
      <c r="I1386" s="104"/>
      <c r="J1386" s="104"/>
      <c r="K1386" s="104"/>
      <c r="L1386" s="104"/>
      <c r="M1386" s="104"/>
      <c r="N1386" s="104"/>
      <c r="O1386" s="104"/>
      <c r="P1386" s="104"/>
      <c r="Q1386" s="104"/>
      <c r="R1386" s="104"/>
      <c r="S1386" s="104"/>
    </row>
    <row r="1387" spans="4:19">
      <c r="D1387" s="104"/>
      <c r="E1387" s="104"/>
      <c r="F1387" s="104"/>
      <c r="G1387" s="104"/>
      <c r="H1387" s="104"/>
      <c r="I1387" s="104"/>
      <c r="J1387" s="104"/>
      <c r="K1387" s="104"/>
      <c r="L1387" s="104"/>
      <c r="M1387" s="104"/>
      <c r="N1387" s="104"/>
      <c r="O1387" s="104"/>
      <c r="P1387" s="104"/>
      <c r="Q1387" s="104"/>
      <c r="R1387" s="104"/>
      <c r="S1387" s="104"/>
    </row>
    <row r="1388" spans="4:19">
      <c r="D1388" s="104"/>
      <c r="E1388" s="104"/>
      <c r="F1388" s="104"/>
      <c r="G1388" s="104"/>
      <c r="H1388" s="104"/>
      <c r="I1388" s="104"/>
      <c r="J1388" s="104"/>
      <c r="K1388" s="104"/>
      <c r="L1388" s="104"/>
      <c r="M1388" s="104"/>
      <c r="N1388" s="104"/>
      <c r="O1388" s="104"/>
      <c r="P1388" s="104"/>
      <c r="Q1388" s="104"/>
      <c r="R1388" s="104"/>
      <c r="S1388" s="104"/>
    </row>
    <row r="1389" spans="4:19">
      <c r="D1389" s="104"/>
      <c r="E1389" s="104"/>
      <c r="F1389" s="104"/>
      <c r="G1389" s="104"/>
      <c r="H1389" s="104"/>
      <c r="I1389" s="104"/>
      <c r="J1389" s="104"/>
      <c r="K1389" s="104"/>
      <c r="L1389" s="104"/>
      <c r="M1389" s="104"/>
      <c r="N1389" s="104"/>
      <c r="O1389" s="104"/>
      <c r="P1389" s="104"/>
      <c r="Q1389" s="104"/>
      <c r="R1389" s="104"/>
      <c r="S1389" s="104"/>
    </row>
    <row r="1390" spans="4:19">
      <c r="D1390" s="104"/>
      <c r="E1390" s="104"/>
      <c r="F1390" s="104"/>
      <c r="G1390" s="104"/>
      <c r="H1390" s="104"/>
      <c r="I1390" s="104"/>
      <c r="J1390" s="104"/>
      <c r="K1390" s="104"/>
      <c r="L1390" s="104"/>
      <c r="M1390" s="104"/>
      <c r="N1390" s="104"/>
      <c r="O1390" s="104"/>
      <c r="P1390" s="104"/>
      <c r="Q1390" s="104"/>
      <c r="R1390" s="104"/>
      <c r="S1390" s="104"/>
    </row>
    <row r="1391" spans="4:19">
      <c r="D1391" s="104"/>
      <c r="E1391" s="104"/>
      <c r="F1391" s="104"/>
      <c r="G1391" s="104"/>
      <c r="H1391" s="104"/>
      <c r="I1391" s="104"/>
      <c r="J1391" s="104"/>
      <c r="K1391" s="104"/>
      <c r="L1391" s="104"/>
      <c r="M1391" s="104"/>
      <c r="N1391" s="104"/>
      <c r="O1391" s="104"/>
      <c r="P1391" s="104"/>
      <c r="Q1391" s="104"/>
      <c r="R1391" s="104"/>
      <c r="S1391" s="104"/>
    </row>
    <row r="1392" spans="4:19">
      <c r="D1392" s="104"/>
      <c r="E1392" s="104"/>
      <c r="F1392" s="104"/>
      <c r="G1392" s="104"/>
      <c r="H1392" s="104"/>
      <c r="I1392" s="104"/>
      <c r="J1392" s="104"/>
      <c r="K1392" s="104"/>
      <c r="L1392" s="104"/>
      <c r="M1392" s="104"/>
      <c r="N1392" s="104"/>
      <c r="O1392" s="104"/>
      <c r="P1392" s="104"/>
      <c r="Q1392" s="104"/>
      <c r="R1392" s="104"/>
      <c r="S1392" s="104"/>
    </row>
    <row r="1393" spans="4:19">
      <c r="D1393" s="104"/>
      <c r="E1393" s="104"/>
      <c r="F1393" s="104"/>
      <c r="G1393" s="104"/>
      <c r="H1393" s="104"/>
      <c r="I1393" s="104"/>
      <c r="J1393" s="104"/>
      <c r="K1393" s="104"/>
      <c r="L1393" s="104"/>
      <c r="M1393" s="104"/>
      <c r="N1393" s="104"/>
      <c r="O1393" s="104"/>
      <c r="P1393" s="104"/>
      <c r="Q1393" s="104"/>
      <c r="R1393" s="104"/>
      <c r="S1393" s="104"/>
    </row>
    <row r="1394" spans="4:19">
      <c r="D1394" s="104"/>
      <c r="E1394" s="104"/>
      <c r="F1394" s="104"/>
      <c r="G1394" s="104"/>
      <c r="H1394" s="104"/>
      <c r="I1394" s="104"/>
      <c r="J1394" s="104"/>
      <c r="K1394" s="104"/>
      <c r="L1394" s="104"/>
      <c r="M1394" s="104"/>
      <c r="N1394" s="104"/>
      <c r="O1394" s="104"/>
      <c r="P1394" s="104"/>
      <c r="Q1394" s="104"/>
      <c r="R1394" s="104"/>
      <c r="S1394" s="104"/>
    </row>
    <row r="1395" spans="4:19">
      <c r="D1395" s="104"/>
      <c r="E1395" s="104"/>
      <c r="F1395" s="104"/>
      <c r="G1395" s="104"/>
      <c r="H1395" s="104"/>
      <c r="I1395" s="104"/>
      <c r="J1395" s="104"/>
      <c r="K1395" s="104"/>
      <c r="L1395" s="104"/>
      <c r="M1395" s="104"/>
      <c r="N1395" s="104"/>
      <c r="O1395" s="104"/>
      <c r="P1395" s="104"/>
      <c r="Q1395" s="104"/>
      <c r="R1395" s="104"/>
      <c r="S1395" s="104"/>
    </row>
    <row r="1396" spans="4:19">
      <c r="D1396" s="104"/>
      <c r="E1396" s="104"/>
      <c r="F1396" s="104"/>
      <c r="G1396" s="104"/>
      <c r="H1396" s="104"/>
      <c r="I1396" s="104"/>
      <c r="J1396" s="104"/>
      <c r="K1396" s="104"/>
      <c r="L1396" s="104"/>
      <c r="M1396" s="104"/>
      <c r="N1396" s="104"/>
      <c r="O1396" s="104"/>
      <c r="P1396" s="104"/>
      <c r="Q1396" s="104"/>
      <c r="R1396" s="104"/>
      <c r="S1396" s="104"/>
    </row>
    <row r="1397" spans="4:19">
      <c r="D1397" s="104"/>
      <c r="E1397" s="104"/>
      <c r="F1397" s="104"/>
      <c r="G1397" s="104"/>
      <c r="H1397" s="104"/>
      <c r="I1397" s="104"/>
      <c r="J1397" s="104"/>
      <c r="K1397" s="104"/>
      <c r="L1397" s="104"/>
      <c r="M1397" s="104"/>
      <c r="N1397" s="104"/>
      <c r="O1397" s="104"/>
      <c r="P1397" s="104"/>
      <c r="Q1397" s="104"/>
      <c r="R1397" s="104"/>
      <c r="S1397" s="104"/>
    </row>
    <row r="1398" spans="4:19">
      <c r="D1398" s="104"/>
      <c r="E1398" s="104"/>
      <c r="F1398" s="104"/>
      <c r="G1398" s="104"/>
      <c r="H1398" s="104"/>
      <c r="I1398" s="104"/>
      <c r="J1398" s="104"/>
      <c r="K1398" s="104"/>
      <c r="L1398" s="104"/>
      <c r="M1398" s="104"/>
      <c r="N1398" s="104"/>
      <c r="O1398" s="104"/>
      <c r="P1398" s="104"/>
      <c r="Q1398" s="104"/>
      <c r="R1398" s="104"/>
      <c r="S1398" s="104"/>
    </row>
    <row r="1399" spans="4:19">
      <c r="D1399" s="104"/>
      <c r="E1399" s="104"/>
      <c r="F1399" s="104"/>
      <c r="G1399" s="104"/>
      <c r="H1399" s="104"/>
      <c r="I1399" s="104"/>
      <c r="J1399" s="104"/>
      <c r="K1399" s="104"/>
      <c r="L1399" s="104"/>
      <c r="M1399" s="104"/>
      <c r="N1399" s="104"/>
      <c r="O1399" s="104"/>
      <c r="P1399" s="104"/>
      <c r="Q1399" s="104"/>
      <c r="R1399" s="104"/>
      <c r="S1399" s="104"/>
    </row>
    <row r="1400" spans="4:19">
      <c r="D1400" s="104"/>
      <c r="E1400" s="104"/>
      <c r="F1400" s="104"/>
      <c r="G1400" s="104"/>
      <c r="H1400" s="104"/>
      <c r="I1400" s="104"/>
      <c r="J1400" s="104"/>
      <c r="K1400" s="104"/>
      <c r="L1400" s="104"/>
      <c r="M1400" s="104"/>
      <c r="N1400" s="104"/>
      <c r="O1400" s="104"/>
      <c r="P1400" s="104"/>
      <c r="Q1400" s="104"/>
      <c r="R1400" s="104"/>
      <c r="S1400" s="104"/>
    </row>
    <row r="1401" spans="4:19">
      <c r="D1401" s="104"/>
      <c r="E1401" s="104"/>
      <c r="F1401" s="104"/>
      <c r="G1401" s="104"/>
      <c r="H1401" s="104"/>
      <c r="I1401" s="104"/>
      <c r="J1401" s="104"/>
      <c r="K1401" s="104"/>
      <c r="L1401" s="104"/>
      <c r="M1401" s="104"/>
      <c r="N1401" s="104"/>
      <c r="O1401" s="104"/>
      <c r="P1401" s="104"/>
      <c r="Q1401" s="104"/>
      <c r="R1401" s="104"/>
      <c r="S1401" s="104"/>
    </row>
    <row r="1402" spans="4:19">
      <c r="D1402" s="104"/>
      <c r="E1402" s="104"/>
      <c r="F1402" s="104"/>
      <c r="G1402" s="104"/>
      <c r="H1402" s="104"/>
      <c r="I1402" s="104"/>
      <c r="J1402" s="104"/>
      <c r="K1402" s="104"/>
      <c r="L1402" s="104"/>
      <c r="M1402" s="104"/>
      <c r="N1402" s="104"/>
      <c r="O1402" s="104"/>
      <c r="P1402" s="104"/>
      <c r="Q1402" s="104"/>
      <c r="R1402" s="104"/>
      <c r="S1402" s="104"/>
    </row>
    <row r="1403" spans="4:19">
      <c r="D1403" s="104"/>
      <c r="E1403" s="104"/>
      <c r="F1403" s="104"/>
      <c r="G1403" s="104"/>
      <c r="H1403" s="104"/>
      <c r="I1403" s="104"/>
      <c r="J1403" s="104"/>
      <c r="K1403" s="104"/>
      <c r="L1403" s="104"/>
      <c r="M1403" s="104"/>
      <c r="N1403" s="104"/>
      <c r="O1403" s="104"/>
      <c r="P1403" s="104"/>
      <c r="Q1403" s="104"/>
      <c r="R1403" s="104"/>
      <c r="S1403" s="104"/>
    </row>
    <row r="1404" spans="4:19">
      <c r="D1404" s="104"/>
      <c r="E1404" s="104"/>
      <c r="F1404" s="104"/>
      <c r="G1404" s="104"/>
      <c r="H1404" s="104"/>
      <c r="I1404" s="104"/>
      <c r="J1404" s="104"/>
      <c r="K1404" s="104"/>
      <c r="L1404" s="104"/>
      <c r="M1404" s="104"/>
      <c r="N1404" s="104"/>
      <c r="O1404" s="104"/>
      <c r="P1404" s="104"/>
      <c r="Q1404" s="104"/>
      <c r="R1404" s="104"/>
      <c r="S1404" s="104"/>
    </row>
    <row r="1405" spans="4:19">
      <c r="D1405" s="104"/>
      <c r="E1405" s="104"/>
      <c r="F1405" s="104"/>
      <c r="G1405" s="104"/>
      <c r="H1405" s="104"/>
      <c r="I1405" s="104"/>
      <c r="J1405" s="104"/>
      <c r="K1405" s="104"/>
      <c r="L1405" s="104"/>
      <c r="M1405" s="104"/>
      <c r="N1405" s="104"/>
      <c r="O1405" s="104"/>
      <c r="P1405" s="104"/>
      <c r="Q1405" s="104"/>
      <c r="R1405" s="104"/>
      <c r="S1405" s="104"/>
    </row>
    <row r="1406" spans="4:19">
      <c r="D1406" s="104"/>
      <c r="E1406" s="104"/>
      <c r="F1406" s="104"/>
      <c r="G1406" s="104"/>
      <c r="H1406" s="104"/>
      <c r="I1406" s="104"/>
      <c r="J1406" s="104"/>
      <c r="K1406" s="104"/>
      <c r="L1406" s="104"/>
      <c r="M1406" s="104"/>
      <c r="N1406" s="104"/>
      <c r="O1406" s="104"/>
      <c r="P1406" s="104"/>
      <c r="Q1406" s="104"/>
      <c r="R1406" s="104"/>
      <c r="S1406" s="104"/>
    </row>
    <row r="1407" spans="4:19">
      <c r="D1407" s="104"/>
      <c r="E1407" s="104"/>
      <c r="F1407" s="104"/>
      <c r="G1407" s="104"/>
      <c r="H1407" s="104"/>
      <c r="I1407" s="104"/>
      <c r="J1407" s="104"/>
      <c r="K1407" s="104"/>
      <c r="L1407" s="104"/>
      <c r="M1407" s="104"/>
      <c r="N1407" s="104"/>
      <c r="O1407" s="104"/>
      <c r="P1407" s="104"/>
      <c r="Q1407" s="104"/>
      <c r="R1407" s="104"/>
      <c r="S1407" s="104"/>
    </row>
    <row r="1408" spans="4:19">
      <c r="D1408" s="104"/>
      <c r="E1408" s="104"/>
      <c r="F1408" s="104"/>
      <c r="G1408" s="104"/>
      <c r="H1408" s="104"/>
      <c r="I1408" s="104"/>
      <c r="J1408" s="104"/>
      <c r="K1408" s="104"/>
      <c r="L1408" s="104"/>
      <c r="M1408" s="104"/>
      <c r="N1408" s="104"/>
      <c r="O1408" s="104"/>
      <c r="P1408" s="104"/>
      <c r="Q1408" s="104"/>
      <c r="R1408" s="104"/>
      <c r="S1408" s="104"/>
    </row>
    <row r="1409" spans="4:19">
      <c r="D1409" s="104"/>
      <c r="E1409" s="104"/>
      <c r="F1409" s="104"/>
      <c r="G1409" s="104"/>
      <c r="H1409" s="104"/>
      <c r="I1409" s="104"/>
      <c r="J1409" s="104"/>
      <c r="K1409" s="104"/>
      <c r="L1409" s="104"/>
      <c r="M1409" s="104"/>
      <c r="N1409" s="104"/>
      <c r="O1409" s="104"/>
      <c r="P1409" s="104"/>
      <c r="Q1409" s="104"/>
      <c r="R1409" s="104"/>
      <c r="S1409" s="104"/>
    </row>
    <row r="1410" spans="4:19">
      <c r="D1410" s="104"/>
      <c r="E1410" s="104"/>
      <c r="F1410" s="104"/>
      <c r="G1410" s="104"/>
      <c r="H1410" s="104"/>
      <c r="I1410" s="104"/>
      <c r="J1410" s="104"/>
      <c r="K1410" s="104"/>
      <c r="L1410" s="104"/>
      <c r="M1410" s="104"/>
      <c r="N1410" s="104"/>
      <c r="O1410" s="104"/>
      <c r="P1410" s="104"/>
      <c r="Q1410" s="104"/>
      <c r="R1410" s="104"/>
      <c r="S1410" s="104"/>
    </row>
    <row r="1411" spans="4:19">
      <c r="D1411" s="104"/>
      <c r="E1411" s="104"/>
      <c r="F1411" s="104"/>
      <c r="G1411" s="104"/>
      <c r="H1411" s="104"/>
      <c r="I1411" s="104"/>
      <c r="J1411" s="104"/>
      <c r="K1411" s="104"/>
      <c r="L1411" s="104"/>
      <c r="M1411" s="104"/>
      <c r="N1411" s="104"/>
      <c r="O1411" s="104"/>
      <c r="P1411" s="104"/>
      <c r="Q1411" s="104"/>
      <c r="R1411" s="104"/>
      <c r="S1411" s="104"/>
    </row>
    <row r="1412" spans="4:19">
      <c r="D1412" s="104"/>
      <c r="E1412" s="104"/>
      <c r="F1412" s="104"/>
      <c r="G1412" s="104"/>
      <c r="H1412" s="104"/>
      <c r="I1412" s="104"/>
      <c r="J1412" s="104"/>
      <c r="K1412" s="104"/>
      <c r="L1412" s="104"/>
      <c r="M1412" s="104"/>
      <c r="N1412" s="104"/>
      <c r="O1412" s="104"/>
      <c r="P1412" s="104"/>
      <c r="Q1412" s="104"/>
      <c r="R1412" s="104"/>
      <c r="S1412" s="104"/>
    </row>
    <row r="1413" spans="4:19">
      <c r="D1413" s="104"/>
      <c r="E1413" s="104"/>
      <c r="F1413" s="104"/>
      <c r="G1413" s="104"/>
      <c r="H1413" s="104"/>
      <c r="I1413" s="104"/>
      <c r="J1413" s="104"/>
      <c r="K1413" s="104"/>
      <c r="L1413" s="104"/>
      <c r="M1413" s="104"/>
      <c r="N1413" s="104"/>
      <c r="O1413" s="104"/>
      <c r="P1413" s="104"/>
      <c r="Q1413" s="104"/>
      <c r="R1413" s="104"/>
      <c r="S1413" s="104"/>
    </row>
    <row r="1414" spans="4:19">
      <c r="D1414" s="104"/>
      <c r="E1414" s="104"/>
      <c r="F1414" s="104"/>
      <c r="G1414" s="104"/>
      <c r="H1414" s="104"/>
      <c r="I1414" s="104"/>
      <c r="J1414" s="104"/>
      <c r="K1414" s="104"/>
      <c r="L1414" s="104"/>
      <c r="M1414" s="104"/>
      <c r="N1414" s="104"/>
      <c r="O1414" s="104"/>
      <c r="P1414" s="104"/>
      <c r="Q1414" s="104"/>
      <c r="R1414" s="104"/>
      <c r="S1414" s="104"/>
    </row>
    <row r="1415" spans="4:19">
      <c r="D1415" s="104"/>
      <c r="E1415" s="104"/>
      <c r="F1415" s="104"/>
      <c r="G1415" s="104"/>
      <c r="H1415" s="104"/>
      <c r="I1415" s="104"/>
      <c r="J1415" s="104"/>
      <c r="K1415" s="104"/>
      <c r="L1415" s="104"/>
      <c r="M1415" s="104"/>
      <c r="N1415" s="104"/>
      <c r="O1415" s="104"/>
      <c r="P1415" s="104"/>
      <c r="Q1415" s="104"/>
      <c r="R1415" s="104"/>
      <c r="S1415" s="104"/>
    </row>
    <row r="1416" spans="4:19">
      <c r="D1416" s="104"/>
      <c r="E1416" s="104"/>
      <c r="F1416" s="104"/>
      <c r="G1416" s="104"/>
      <c r="H1416" s="104"/>
      <c r="I1416" s="104"/>
      <c r="J1416" s="104"/>
      <c r="K1416" s="104"/>
      <c r="L1416" s="104"/>
      <c r="M1416" s="104"/>
      <c r="N1416" s="104"/>
      <c r="O1416" s="104"/>
      <c r="P1416" s="104"/>
      <c r="Q1416" s="104"/>
      <c r="R1416" s="104"/>
      <c r="S1416" s="104"/>
    </row>
    <row r="1417" spans="4:19">
      <c r="D1417" s="104"/>
      <c r="E1417" s="104"/>
      <c r="F1417" s="104"/>
      <c r="G1417" s="104"/>
      <c r="H1417" s="104"/>
      <c r="I1417" s="104"/>
      <c r="J1417" s="104"/>
      <c r="K1417" s="104"/>
      <c r="L1417" s="104"/>
      <c r="M1417" s="104"/>
      <c r="N1417" s="104"/>
      <c r="O1417" s="104"/>
      <c r="P1417" s="104"/>
      <c r="Q1417" s="104"/>
      <c r="R1417" s="104"/>
      <c r="S1417" s="104"/>
    </row>
    <row r="1418" spans="4:19">
      <c r="D1418" s="104"/>
      <c r="E1418" s="104"/>
      <c r="F1418" s="104"/>
      <c r="G1418" s="104"/>
      <c r="H1418" s="104"/>
      <c r="I1418" s="104"/>
      <c r="J1418" s="104"/>
      <c r="K1418" s="104"/>
      <c r="L1418" s="104"/>
      <c r="M1418" s="104"/>
      <c r="N1418" s="104"/>
      <c r="O1418" s="104"/>
      <c r="P1418" s="104"/>
      <c r="Q1418" s="104"/>
      <c r="R1418" s="104"/>
      <c r="S1418" s="104"/>
    </row>
    <row r="1419" spans="4:19">
      <c r="D1419" s="104"/>
      <c r="E1419" s="104"/>
      <c r="F1419" s="104"/>
      <c r="G1419" s="104"/>
      <c r="H1419" s="104"/>
      <c r="I1419" s="104"/>
      <c r="J1419" s="104"/>
      <c r="K1419" s="104"/>
      <c r="L1419" s="104"/>
      <c r="M1419" s="104"/>
      <c r="N1419" s="104"/>
      <c r="O1419" s="104"/>
      <c r="P1419" s="104"/>
      <c r="Q1419" s="104"/>
      <c r="R1419" s="104"/>
      <c r="S1419" s="104"/>
    </row>
    <row r="1420" spans="4:19">
      <c r="D1420" s="104"/>
      <c r="E1420" s="104"/>
      <c r="F1420" s="104"/>
      <c r="G1420" s="104"/>
      <c r="H1420" s="104"/>
      <c r="I1420" s="104"/>
      <c r="J1420" s="104"/>
      <c r="K1420" s="104"/>
      <c r="L1420" s="104"/>
      <c r="M1420" s="104"/>
      <c r="N1420" s="104"/>
      <c r="O1420" s="104"/>
      <c r="P1420" s="104"/>
      <c r="Q1420" s="104"/>
      <c r="R1420" s="104"/>
      <c r="S1420" s="104"/>
    </row>
    <row r="1421" spans="4:19">
      <c r="D1421" s="104"/>
      <c r="E1421" s="104"/>
      <c r="F1421" s="104"/>
      <c r="G1421" s="104"/>
      <c r="H1421" s="104"/>
      <c r="I1421" s="104"/>
      <c r="J1421" s="104"/>
      <c r="K1421" s="104"/>
      <c r="L1421" s="104"/>
      <c r="M1421" s="104"/>
      <c r="N1421" s="104"/>
      <c r="O1421" s="104"/>
      <c r="P1421" s="104"/>
      <c r="Q1421" s="104"/>
      <c r="R1421" s="104"/>
      <c r="S1421" s="104"/>
    </row>
    <row r="1422" spans="4:19">
      <c r="D1422" s="104"/>
      <c r="E1422" s="104"/>
      <c r="F1422" s="104"/>
      <c r="G1422" s="104"/>
      <c r="H1422" s="104"/>
      <c r="I1422" s="104"/>
      <c r="J1422" s="104"/>
      <c r="K1422" s="104"/>
      <c r="L1422" s="104"/>
      <c r="M1422" s="104"/>
      <c r="N1422" s="104"/>
      <c r="O1422" s="104"/>
      <c r="P1422" s="104"/>
      <c r="Q1422" s="104"/>
      <c r="R1422" s="104"/>
      <c r="S1422" s="104"/>
    </row>
    <row r="1423" spans="4:19">
      <c r="D1423" s="104"/>
      <c r="E1423" s="104"/>
      <c r="F1423" s="104"/>
      <c r="G1423" s="104"/>
      <c r="H1423" s="104"/>
      <c r="I1423" s="104"/>
      <c r="J1423" s="104"/>
      <c r="K1423" s="104"/>
      <c r="L1423" s="104"/>
      <c r="M1423" s="104"/>
      <c r="N1423" s="104"/>
      <c r="O1423" s="104"/>
      <c r="P1423" s="104"/>
      <c r="Q1423" s="104"/>
      <c r="R1423" s="104"/>
      <c r="S1423" s="104"/>
    </row>
    <row r="1424" spans="4:19">
      <c r="D1424" s="104"/>
      <c r="E1424" s="104"/>
      <c r="F1424" s="104"/>
      <c r="G1424" s="104"/>
      <c r="H1424" s="104"/>
      <c r="I1424" s="104"/>
      <c r="J1424" s="104"/>
      <c r="K1424" s="104"/>
      <c r="L1424" s="104"/>
      <c r="M1424" s="104"/>
      <c r="N1424" s="104"/>
      <c r="O1424" s="104"/>
      <c r="P1424" s="104"/>
      <c r="Q1424" s="104"/>
      <c r="R1424" s="104"/>
      <c r="S1424" s="104"/>
    </row>
    <row r="1425" spans="4:19">
      <c r="D1425" s="104"/>
      <c r="E1425" s="104"/>
      <c r="F1425" s="104"/>
      <c r="G1425" s="104"/>
      <c r="H1425" s="104"/>
      <c r="I1425" s="104"/>
      <c r="J1425" s="104"/>
      <c r="K1425" s="104"/>
      <c r="L1425" s="104"/>
      <c r="M1425" s="104"/>
      <c r="N1425" s="104"/>
      <c r="O1425" s="104"/>
      <c r="P1425" s="104"/>
      <c r="Q1425" s="104"/>
      <c r="R1425" s="104"/>
      <c r="S1425" s="104"/>
    </row>
    <row r="1426" spans="4:19">
      <c r="D1426" s="104"/>
      <c r="E1426" s="104"/>
      <c r="F1426" s="104"/>
      <c r="G1426" s="104"/>
      <c r="H1426" s="104"/>
      <c r="I1426" s="104"/>
      <c r="J1426" s="104"/>
      <c r="K1426" s="104"/>
      <c r="L1426" s="104"/>
      <c r="M1426" s="104"/>
      <c r="N1426" s="104"/>
      <c r="O1426" s="104"/>
      <c r="P1426" s="104"/>
      <c r="Q1426" s="104"/>
      <c r="R1426" s="104"/>
      <c r="S1426" s="104"/>
    </row>
    <row r="1427" spans="4:19">
      <c r="D1427" s="104"/>
      <c r="E1427" s="104"/>
      <c r="F1427" s="104"/>
      <c r="G1427" s="104"/>
      <c r="H1427" s="104"/>
      <c r="I1427" s="104"/>
      <c r="J1427" s="104"/>
      <c r="K1427" s="104"/>
      <c r="L1427" s="104"/>
      <c r="M1427" s="104"/>
      <c r="N1427" s="104"/>
      <c r="O1427" s="104"/>
      <c r="P1427" s="104"/>
      <c r="Q1427" s="104"/>
      <c r="R1427" s="104"/>
      <c r="S1427" s="104"/>
    </row>
    <row r="1428" spans="4:19">
      <c r="D1428" s="104"/>
      <c r="E1428" s="104"/>
      <c r="F1428" s="104"/>
      <c r="G1428" s="104"/>
      <c r="H1428" s="104"/>
      <c r="I1428" s="104"/>
      <c r="J1428" s="104"/>
      <c r="K1428" s="104"/>
      <c r="L1428" s="104"/>
      <c r="M1428" s="104"/>
      <c r="N1428" s="104"/>
      <c r="O1428" s="104"/>
      <c r="P1428" s="104"/>
      <c r="Q1428" s="104"/>
      <c r="R1428" s="104"/>
      <c r="S1428" s="104"/>
    </row>
    <row r="1429" spans="4:19">
      <c r="D1429" s="104"/>
      <c r="E1429" s="104"/>
      <c r="F1429" s="104"/>
      <c r="G1429" s="104"/>
      <c r="H1429" s="104"/>
      <c r="I1429" s="104"/>
      <c r="J1429" s="104"/>
      <c r="K1429" s="104"/>
      <c r="L1429" s="104"/>
      <c r="M1429" s="104"/>
      <c r="N1429" s="104"/>
      <c r="O1429" s="104"/>
      <c r="P1429" s="104"/>
      <c r="Q1429" s="104"/>
      <c r="R1429" s="104"/>
      <c r="S1429" s="104"/>
    </row>
    <row r="1430" spans="4:19">
      <c r="D1430" s="104"/>
      <c r="E1430" s="104"/>
      <c r="F1430" s="104"/>
      <c r="G1430" s="104"/>
      <c r="H1430" s="104"/>
      <c r="I1430" s="104"/>
      <c r="J1430" s="104"/>
      <c r="K1430" s="104"/>
      <c r="L1430" s="104"/>
      <c r="M1430" s="104"/>
      <c r="N1430" s="104"/>
      <c r="O1430" s="104"/>
      <c r="P1430" s="104"/>
      <c r="Q1430" s="104"/>
      <c r="R1430" s="104"/>
      <c r="S1430" s="104"/>
    </row>
    <row r="1431" spans="4:19">
      <c r="D1431" s="104"/>
      <c r="E1431" s="104"/>
      <c r="F1431" s="104"/>
      <c r="G1431" s="104"/>
      <c r="H1431" s="104"/>
      <c r="I1431" s="104"/>
      <c r="J1431" s="104"/>
      <c r="K1431" s="104"/>
      <c r="L1431" s="104"/>
      <c r="M1431" s="104"/>
      <c r="N1431" s="104"/>
      <c r="O1431" s="104"/>
      <c r="P1431" s="104"/>
      <c r="Q1431" s="104"/>
      <c r="R1431" s="104"/>
      <c r="S1431" s="104"/>
    </row>
    <row r="1432" spans="4:19">
      <c r="D1432" s="104"/>
      <c r="E1432" s="104"/>
      <c r="F1432" s="104"/>
      <c r="G1432" s="104"/>
      <c r="H1432" s="104"/>
      <c r="I1432" s="104"/>
      <c r="J1432" s="104"/>
      <c r="K1432" s="104"/>
      <c r="L1432" s="104"/>
      <c r="M1432" s="104"/>
      <c r="N1432" s="104"/>
      <c r="O1432" s="104"/>
      <c r="P1432" s="104"/>
      <c r="Q1432" s="104"/>
      <c r="R1432" s="104"/>
      <c r="S1432" s="104"/>
    </row>
    <row r="1433" spans="4:19">
      <c r="D1433" s="104"/>
      <c r="E1433" s="104"/>
      <c r="F1433" s="104"/>
      <c r="G1433" s="104"/>
      <c r="H1433" s="104"/>
      <c r="I1433" s="104"/>
      <c r="J1433" s="104"/>
      <c r="K1433" s="104"/>
      <c r="L1433" s="104"/>
      <c r="M1433" s="104"/>
      <c r="N1433" s="104"/>
      <c r="O1433" s="104"/>
      <c r="P1433" s="104"/>
      <c r="Q1433" s="104"/>
      <c r="R1433" s="104"/>
      <c r="S1433" s="104"/>
    </row>
    <row r="1434" spans="4:19">
      <c r="D1434" s="104"/>
      <c r="E1434" s="104"/>
      <c r="F1434" s="104"/>
      <c r="G1434" s="104"/>
      <c r="H1434" s="104"/>
      <c r="I1434" s="104"/>
      <c r="J1434" s="104"/>
      <c r="K1434" s="104"/>
      <c r="L1434" s="104"/>
      <c r="M1434" s="104"/>
      <c r="N1434" s="104"/>
      <c r="O1434" s="104"/>
      <c r="P1434" s="104"/>
      <c r="Q1434" s="104"/>
      <c r="R1434" s="104"/>
      <c r="S1434" s="104"/>
    </row>
    <row r="1435" spans="4:19">
      <c r="D1435" s="104"/>
      <c r="E1435" s="104"/>
      <c r="F1435" s="104"/>
      <c r="G1435" s="104"/>
      <c r="H1435" s="104"/>
      <c r="I1435" s="104"/>
      <c r="J1435" s="104"/>
      <c r="K1435" s="104"/>
      <c r="L1435" s="104"/>
      <c r="M1435" s="104"/>
      <c r="N1435" s="104"/>
      <c r="O1435" s="104"/>
      <c r="P1435" s="104"/>
      <c r="Q1435" s="104"/>
      <c r="R1435" s="104"/>
      <c r="S1435" s="104"/>
    </row>
    <row r="1436" spans="4:19">
      <c r="D1436" s="104"/>
      <c r="E1436" s="104"/>
      <c r="F1436" s="104"/>
      <c r="G1436" s="104"/>
      <c r="H1436" s="104"/>
      <c r="I1436" s="104"/>
      <c r="J1436" s="104"/>
      <c r="K1436" s="104"/>
      <c r="L1436" s="104"/>
      <c r="M1436" s="104"/>
      <c r="N1436" s="104"/>
      <c r="O1436" s="104"/>
      <c r="P1436" s="104"/>
      <c r="Q1436" s="104"/>
      <c r="R1436" s="104"/>
      <c r="S1436" s="104"/>
    </row>
    <row r="1437" spans="4:19">
      <c r="D1437" s="104"/>
      <c r="E1437" s="104"/>
      <c r="F1437" s="104"/>
      <c r="G1437" s="104"/>
      <c r="H1437" s="104"/>
      <c r="I1437" s="104"/>
      <c r="J1437" s="104"/>
      <c r="K1437" s="104"/>
      <c r="L1437" s="104"/>
      <c r="M1437" s="104"/>
      <c r="N1437" s="104"/>
      <c r="O1437" s="104"/>
      <c r="P1437" s="104"/>
      <c r="Q1437" s="104"/>
      <c r="R1437" s="104"/>
      <c r="S1437" s="104"/>
    </row>
    <row r="1438" spans="4:19">
      <c r="D1438" s="104"/>
      <c r="E1438" s="104"/>
      <c r="F1438" s="104"/>
      <c r="G1438" s="104"/>
      <c r="H1438" s="104"/>
      <c r="I1438" s="104"/>
      <c r="J1438" s="104"/>
      <c r="K1438" s="104"/>
      <c r="L1438" s="104"/>
      <c r="M1438" s="104"/>
      <c r="N1438" s="104"/>
      <c r="O1438" s="104"/>
      <c r="P1438" s="104"/>
      <c r="Q1438" s="104"/>
      <c r="R1438" s="104"/>
      <c r="S1438" s="104"/>
    </row>
    <row r="1439" spans="4:19">
      <c r="D1439" s="104"/>
      <c r="E1439" s="104"/>
      <c r="F1439" s="104"/>
      <c r="G1439" s="104"/>
      <c r="H1439" s="104"/>
      <c r="I1439" s="104"/>
      <c r="J1439" s="104"/>
      <c r="K1439" s="104"/>
      <c r="L1439" s="104"/>
      <c r="M1439" s="104"/>
      <c r="N1439" s="104"/>
      <c r="O1439" s="104"/>
      <c r="P1439" s="104"/>
      <c r="Q1439" s="104"/>
      <c r="R1439" s="104"/>
      <c r="S1439" s="104"/>
    </row>
    <row r="1440" spans="4:19">
      <c r="D1440" s="104"/>
      <c r="E1440" s="104"/>
      <c r="F1440" s="104"/>
      <c r="G1440" s="104"/>
      <c r="H1440" s="104"/>
      <c r="I1440" s="104"/>
      <c r="J1440" s="104"/>
      <c r="K1440" s="104"/>
      <c r="L1440" s="104"/>
      <c r="M1440" s="104"/>
      <c r="N1440" s="104"/>
      <c r="O1440" s="104"/>
      <c r="P1440" s="104"/>
      <c r="Q1440" s="104"/>
      <c r="R1440" s="104"/>
      <c r="S1440" s="104"/>
    </row>
    <row r="1441" spans="4:19">
      <c r="D1441" s="104"/>
      <c r="E1441" s="104"/>
      <c r="F1441" s="104"/>
      <c r="G1441" s="104"/>
      <c r="H1441" s="104"/>
      <c r="I1441" s="104"/>
      <c r="J1441" s="104"/>
      <c r="K1441" s="104"/>
      <c r="L1441" s="104"/>
      <c r="M1441" s="104"/>
      <c r="N1441" s="104"/>
      <c r="O1441" s="104"/>
      <c r="P1441" s="104"/>
      <c r="Q1441" s="104"/>
      <c r="R1441" s="104"/>
      <c r="S1441" s="104"/>
    </row>
    <row r="1442" spans="4:19">
      <c r="D1442" s="104"/>
      <c r="E1442" s="104"/>
      <c r="F1442" s="104"/>
      <c r="G1442" s="104"/>
      <c r="H1442" s="104"/>
      <c r="I1442" s="104"/>
      <c r="J1442" s="104"/>
      <c r="K1442" s="104"/>
      <c r="L1442" s="104"/>
      <c r="M1442" s="104"/>
      <c r="N1442" s="104"/>
      <c r="O1442" s="104"/>
      <c r="P1442" s="104"/>
      <c r="Q1442" s="104"/>
      <c r="R1442" s="104"/>
      <c r="S1442" s="104"/>
    </row>
    <row r="1443" spans="4:19">
      <c r="D1443" s="104"/>
      <c r="E1443" s="104"/>
      <c r="F1443" s="104"/>
      <c r="G1443" s="104"/>
      <c r="H1443" s="104"/>
      <c r="I1443" s="104"/>
      <c r="J1443" s="104"/>
      <c r="K1443" s="104"/>
      <c r="L1443" s="104"/>
      <c r="M1443" s="104"/>
      <c r="N1443" s="104"/>
      <c r="O1443" s="104"/>
      <c r="P1443" s="104"/>
      <c r="Q1443" s="104"/>
      <c r="R1443" s="104"/>
      <c r="S1443" s="104"/>
    </row>
    <row r="1444" spans="4:19">
      <c r="D1444" s="104"/>
      <c r="E1444" s="104"/>
      <c r="F1444" s="104"/>
      <c r="G1444" s="104"/>
      <c r="H1444" s="104"/>
      <c r="I1444" s="104"/>
      <c r="J1444" s="104"/>
      <c r="K1444" s="104"/>
      <c r="L1444" s="104"/>
      <c r="M1444" s="104"/>
      <c r="N1444" s="104"/>
      <c r="O1444" s="104"/>
      <c r="P1444" s="104"/>
      <c r="Q1444" s="104"/>
      <c r="R1444" s="104"/>
      <c r="S1444" s="104"/>
    </row>
    <row r="1445" spans="4:19">
      <c r="D1445" s="104"/>
      <c r="E1445" s="104"/>
      <c r="F1445" s="104"/>
      <c r="G1445" s="104"/>
      <c r="H1445" s="104"/>
      <c r="I1445" s="104"/>
      <c r="J1445" s="104"/>
      <c r="K1445" s="104"/>
      <c r="L1445" s="104"/>
      <c r="M1445" s="104"/>
      <c r="N1445" s="104"/>
      <c r="O1445" s="104"/>
      <c r="P1445" s="104"/>
      <c r="Q1445" s="104"/>
      <c r="R1445" s="104"/>
      <c r="S1445" s="104"/>
    </row>
    <row r="1446" spans="4:19">
      <c r="D1446" s="104"/>
      <c r="E1446" s="104"/>
      <c r="F1446" s="104"/>
      <c r="G1446" s="104"/>
      <c r="H1446" s="104"/>
      <c r="I1446" s="104"/>
      <c r="J1446" s="104"/>
      <c r="K1446" s="104"/>
      <c r="L1446" s="104"/>
      <c r="M1446" s="104"/>
      <c r="N1446" s="104"/>
      <c r="O1446" s="104"/>
      <c r="P1446" s="104"/>
      <c r="Q1446" s="104"/>
      <c r="R1446" s="104"/>
      <c r="S1446" s="104"/>
    </row>
    <row r="1447" spans="4:19">
      <c r="D1447" s="104"/>
      <c r="E1447" s="104"/>
      <c r="F1447" s="104"/>
      <c r="G1447" s="104"/>
      <c r="H1447" s="104"/>
      <c r="I1447" s="104"/>
      <c r="J1447" s="104"/>
      <c r="K1447" s="104"/>
      <c r="L1447" s="104"/>
      <c r="M1447" s="104"/>
      <c r="N1447" s="104"/>
      <c r="O1447" s="104"/>
      <c r="P1447" s="104"/>
      <c r="Q1447" s="104"/>
      <c r="R1447" s="104"/>
      <c r="S1447" s="104"/>
    </row>
    <row r="1448" spans="4:19">
      <c r="D1448" s="104"/>
      <c r="E1448" s="104"/>
      <c r="F1448" s="104"/>
      <c r="G1448" s="104"/>
      <c r="H1448" s="104"/>
      <c r="I1448" s="104"/>
      <c r="J1448" s="104"/>
      <c r="K1448" s="104"/>
      <c r="L1448" s="104"/>
      <c r="M1448" s="104"/>
      <c r="N1448" s="104"/>
      <c r="O1448" s="104"/>
      <c r="P1448" s="104"/>
      <c r="Q1448" s="104"/>
      <c r="R1448" s="104"/>
      <c r="S1448" s="104"/>
    </row>
    <row r="1449" spans="4:19">
      <c r="D1449" s="104"/>
      <c r="E1449" s="104"/>
      <c r="F1449" s="104"/>
      <c r="G1449" s="104"/>
      <c r="H1449" s="104"/>
      <c r="I1449" s="104"/>
      <c r="J1449" s="104"/>
      <c r="K1449" s="104"/>
      <c r="L1449" s="104"/>
      <c r="M1449" s="104"/>
      <c r="N1449" s="104"/>
      <c r="O1449" s="104"/>
      <c r="P1449" s="104"/>
      <c r="Q1449" s="104"/>
      <c r="R1449" s="104"/>
      <c r="S1449" s="104"/>
    </row>
    <row r="1450" spans="4:19">
      <c r="D1450" s="104"/>
      <c r="E1450" s="104"/>
      <c r="F1450" s="104"/>
      <c r="G1450" s="104"/>
      <c r="H1450" s="104"/>
      <c r="I1450" s="104"/>
      <c r="J1450" s="104"/>
      <c r="K1450" s="104"/>
      <c r="L1450" s="104"/>
      <c r="M1450" s="104"/>
      <c r="N1450" s="104"/>
      <c r="O1450" s="104"/>
      <c r="P1450" s="104"/>
      <c r="Q1450" s="104"/>
      <c r="R1450" s="104"/>
      <c r="S1450" s="104"/>
    </row>
    <row r="1451" spans="4:19">
      <c r="D1451" s="104"/>
      <c r="E1451" s="104"/>
      <c r="F1451" s="104"/>
      <c r="G1451" s="104"/>
      <c r="H1451" s="104"/>
      <c r="I1451" s="104"/>
      <c r="J1451" s="104"/>
      <c r="K1451" s="104"/>
      <c r="L1451" s="104"/>
      <c r="M1451" s="104"/>
      <c r="N1451" s="104"/>
      <c r="O1451" s="104"/>
      <c r="P1451" s="104"/>
      <c r="Q1451" s="104"/>
      <c r="R1451" s="104"/>
      <c r="S1451" s="104"/>
    </row>
    <row r="1452" spans="4:19">
      <c r="D1452" s="104"/>
      <c r="E1452" s="104"/>
      <c r="F1452" s="104"/>
      <c r="G1452" s="104"/>
      <c r="H1452" s="104"/>
      <c r="I1452" s="104"/>
      <c r="J1452" s="104"/>
      <c r="K1452" s="104"/>
      <c r="L1452" s="104"/>
      <c r="M1452" s="104"/>
      <c r="N1452" s="104"/>
      <c r="O1452" s="104"/>
      <c r="P1452" s="104"/>
      <c r="Q1452" s="104"/>
      <c r="R1452" s="104"/>
      <c r="S1452" s="104"/>
    </row>
    <row r="1453" spans="4:19">
      <c r="D1453" s="104"/>
      <c r="E1453" s="104"/>
      <c r="F1453" s="104"/>
      <c r="G1453" s="104"/>
      <c r="H1453" s="104"/>
      <c r="I1453" s="104"/>
      <c r="J1453" s="104"/>
      <c r="K1453" s="104"/>
      <c r="L1453" s="104"/>
      <c r="M1453" s="104"/>
      <c r="N1453" s="104"/>
      <c r="O1453" s="104"/>
      <c r="P1453" s="104"/>
      <c r="Q1453" s="104"/>
      <c r="R1453" s="104"/>
      <c r="S1453" s="104"/>
    </row>
    <row r="1454" spans="4:19">
      <c r="D1454" s="104"/>
      <c r="E1454" s="104"/>
      <c r="F1454" s="104"/>
      <c r="G1454" s="104"/>
      <c r="H1454" s="104"/>
      <c r="I1454" s="104"/>
      <c r="J1454" s="104"/>
      <c r="K1454" s="104"/>
      <c r="L1454" s="104"/>
      <c r="M1454" s="104"/>
      <c r="N1454" s="104"/>
      <c r="O1454" s="104"/>
      <c r="P1454" s="104"/>
      <c r="Q1454" s="104"/>
      <c r="R1454" s="104"/>
      <c r="S1454" s="104"/>
    </row>
    <row r="1455" spans="4:19">
      <c r="D1455" s="104"/>
      <c r="E1455" s="104"/>
      <c r="F1455" s="104"/>
      <c r="G1455" s="104"/>
      <c r="H1455" s="104"/>
      <c r="I1455" s="104"/>
      <c r="J1455" s="104"/>
      <c r="K1455" s="104"/>
      <c r="L1455" s="104"/>
      <c r="M1455" s="104"/>
      <c r="N1455" s="104"/>
      <c r="O1455" s="104"/>
      <c r="P1455" s="104"/>
      <c r="Q1455" s="104"/>
      <c r="R1455" s="104"/>
      <c r="S1455" s="104"/>
    </row>
    <row r="1456" spans="4:19">
      <c r="D1456" s="104"/>
      <c r="E1456" s="104"/>
      <c r="F1456" s="104"/>
      <c r="G1456" s="104"/>
      <c r="H1456" s="104"/>
      <c r="I1456" s="104"/>
      <c r="J1456" s="104"/>
      <c r="K1456" s="104"/>
      <c r="L1456" s="104"/>
      <c r="M1456" s="104"/>
      <c r="N1456" s="104"/>
      <c r="O1456" s="104"/>
      <c r="P1456" s="104"/>
      <c r="Q1456" s="104"/>
      <c r="R1456" s="104"/>
      <c r="S1456" s="104"/>
    </row>
    <row r="1457" spans="4:19">
      <c r="D1457" s="104"/>
      <c r="E1457" s="104"/>
      <c r="F1457" s="104"/>
      <c r="G1457" s="104"/>
      <c r="H1457" s="104"/>
      <c r="I1457" s="104"/>
      <c r="J1457" s="104"/>
      <c r="K1457" s="104"/>
      <c r="L1457" s="104"/>
      <c r="M1457" s="104"/>
      <c r="N1457" s="104"/>
      <c r="O1457" s="104"/>
      <c r="P1457" s="104"/>
      <c r="Q1457" s="104"/>
      <c r="R1457" s="104"/>
      <c r="S1457" s="104"/>
    </row>
    <row r="1458" spans="4:19">
      <c r="D1458" s="104"/>
      <c r="E1458" s="104"/>
      <c r="F1458" s="104"/>
      <c r="G1458" s="104"/>
      <c r="H1458" s="104"/>
      <c r="I1458" s="104"/>
      <c r="J1458" s="104"/>
      <c r="K1458" s="104"/>
      <c r="L1458" s="104"/>
      <c r="M1458" s="104"/>
      <c r="N1458" s="104"/>
      <c r="O1458" s="104"/>
      <c r="P1458" s="104"/>
      <c r="Q1458" s="104"/>
      <c r="R1458" s="104"/>
      <c r="S1458" s="104"/>
    </row>
    <row r="1459" spans="4:19">
      <c r="D1459" s="104"/>
      <c r="E1459" s="104"/>
      <c r="F1459" s="104"/>
      <c r="G1459" s="104"/>
      <c r="H1459" s="104"/>
      <c r="I1459" s="104"/>
      <c r="J1459" s="104"/>
      <c r="K1459" s="104"/>
      <c r="L1459" s="104"/>
      <c r="M1459" s="104"/>
      <c r="N1459" s="104"/>
      <c r="O1459" s="104"/>
      <c r="P1459" s="104"/>
      <c r="Q1459" s="104"/>
      <c r="R1459" s="104"/>
      <c r="S1459" s="104"/>
    </row>
    <row r="1460" spans="4:19">
      <c r="D1460" s="104"/>
      <c r="E1460" s="104"/>
      <c r="F1460" s="104"/>
      <c r="G1460" s="104"/>
      <c r="H1460" s="104"/>
      <c r="I1460" s="104"/>
      <c r="J1460" s="104"/>
      <c r="K1460" s="104"/>
      <c r="L1460" s="104"/>
      <c r="M1460" s="104"/>
      <c r="N1460" s="104"/>
      <c r="O1460" s="104"/>
      <c r="P1460" s="104"/>
      <c r="Q1460" s="104"/>
      <c r="R1460" s="104"/>
      <c r="S1460" s="104"/>
    </row>
    <row r="1461" spans="4:19">
      <c r="D1461" s="104"/>
      <c r="E1461" s="104"/>
      <c r="F1461" s="104"/>
      <c r="G1461" s="104"/>
      <c r="H1461" s="104"/>
      <c r="I1461" s="104"/>
      <c r="J1461" s="104"/>
      <c r="K1461" s="104"/>
      <c r="L1461" s="104"/>
      <c r="M1461" s="104"/>
      <c r="N1461" s="104"/>
      <c r="O1461" s="104"/>
      <c r="P1461" s="104"/>
      <c r="Q1461" s="104"/>
      <c r="R1461" s="104"/>
      <c r="S1461" s="104"/>
    </row>
    <row r="1462" spans="4:19">
      <c r="D1462" s="104"/>
      <c r="E1462" s="104"/>
      <c r="F1462" s="104"/>
      <c r="G1462" s="104"/>
      <c r="H1462" s="104"/>
      <c r="I1462" s="104"/>
      <c r="J1462" s="104"/>
      <c r="K1462" s="104"/>
      <c r="L1462" s="104"/>
      <c r="M1462" s="104"/>
      <c r="N1462" s="104"/>
      <c r="O1462" s="104"/>
      <c r="P1462" s="104"/>
      <c r="Q1462" s="104"/>
      <c r="R1462" s="104"/>
      <c r="S1462" s="104"/>
    </row>
    <row r="1463" spans="4:19">
      <c r="D1463" s="104"/>
      <c r="E1463" s="104"/>
      <c r="F1463" s="104"/>
      <c r="G1463" s="104"/>
      <c r="H1463" s="104"/>
      <c r="I1463" s="104"/>
      <c r="J1463" s="104"/>
      <c r="K1463" s="104"/>
      <c r="L1463" s="104"/>
      <c r="M1463" s="104"/>
      <c r="N1463" s="104"/>
      <c r="O1463" s="104"/>
      <c r="P1463" s="104"/>
      <c r="Q1463" s="104"/>
      <c r="R1463" s="104"/>
      <c r="S1463" s="104"/>
    </row>
    <row r="1464" spans="4:19">
      <c r="D1464" s="104"/>
      <c r="E1464" s="104"/>
      <c r="F1464" s="104"/>
      <c r="G1464" s="104"/>
      <c r="H1464" s="104"/>
      <c r="I1464" s="104"/>
      <c r="J1464" s="104"/>
      <c r="K1464" s="104"/>
      <c r="L1464" s="104"/>
      <c r="M1464" s="104"/>
      <c r="N1464" s="104"/>
      <c r="O1464" s="104"/>
      <c r="P1464" s="104"/>
      <c r="Q1464" s="104"/>
      <c r="R1464" s="104"/>
      <c r="S1464" s="104"/>
    </row>
    <row r="1465" spans="4:19">
      <c r="D1465" s="104"/>
      <c r="E1465" s="104"/>
      <c r="F1465" s="104"/>
      <c r="G1465" s="104"/>
      <c r="H1465" s="104"/>
      <c r="I1465" s="104"/>
      <c r="J1465" s="104"/>
      <c r="K1465" s="104"/>
      <c r="L1465" s="104"/>
      <c r="M1465" s="104"/>
      <c r="N1465" s="104"/>
      <c r="O1465" s="104"/>
      <c r="P1465" s="104"/>
      <c r="Q1465" s="104"/>
      <c r="R1465" s="104"/>
      <c r="S1465" s="104"/>
    </row>
    <row r="1466" spans="4:19">
      <c r="D1466" s="104"/>
      <c r="E1466" s="104"/>
      <c r="F1466" s="104"/>
      <c r="G1466" s="104"/>
      <c r="H1466" s="104"/>
      <c r="I1466" s="104"/>
      <c r="J1466" s="104"/>
      <c r="K1466" s="104"/>
      <c r="L1466" s="104"/>
      <c r="M1466" s="104"/>
      <c r="N1466" s="104"/>
      <c r="O1466" s="104"/>
      <c r="P1466" s="104"/>
      <c r="Q1466" s="104"/>
      <c r="R1466" s="104"/>
      <c r="S1466" s="104"/>
    </row>
    <row r="1467" spans="4:19">
      <c r="D1467" s="104"/>
      <c r="E1467" s="104"/>
      <c r="F1467" s="104"/>
      <c r="G1467" s="104"/>
      <c r="H1467" s="104"/>
      <c r="I1467" s="104"/>
      <c r="J1467" s="104"/>
      <c r="K1467" s="104"/>
      <c r="L1467" s="104"/>
      <c r="M1467" s="104"/>
      <c r="N1467" s="104"/>
      <c r="O1467" s="104"/>
      <c r="P1467" s="104"/>
      <c r="Q1467" s="104"/>
      <c r="R1467" s="104"/>
      <c r="S1467" s="104"/>
    </row>
    <row r="1468" spans="4:19">
      <c r="D1468" s="104"/>
      <c r="E1468" s="104"/>
      <c r="F1468" s="104"/>
      <c r="G1468" s="104"/>
      <c r="H1468" s="104"/>
      <c r="I1468" s="104"/>
      <c r="J1468" s="104"/>
      <c r="K1468" s="104"/>
      <c r="L1468" s="104"/>
      <c r="M1468" s="104"/>
      <c r="N1468" s="104"/>
      <c r="O1468" s="104"/>
      <c r="P1468" s="104"/>
      <c r="Q1468" s="104"/>
      <c r="R1468" s="104"/>
      <c r="S1468" s="104"/>
    </row>
    <row r="1469" spans="4:19">
      <c r="D1469" s="104"/>
      <c r="E1469" s="104"/>
      <c r="F1469" s="104"/>
      <c r="G1469" s="104"/>
      <c r="H1469" s="104"/>
      <c r="I1469" s="104"/>
      <c r="J1469" s="104"/>
      <c r="K1469" s="104"/>
      <c r="L1469" s="104"/>
      <c r="M1469" s="104"/>
      <c r="N1469" s="104"/>
      <c r="O1469" s="104"/>
      <c r="P1469" s="104"/>
      <c r="Q1469" s="104"/>
      <c r="R1469" s="104"/>
      <c r="S1469" s="104"/>
    </row>
    <row r="1470" spans="4:19">
      <c r="D1470" s="104"/>
      <c r="E1470" s="104"/>
      <c r="F1470" s="104"/>
      <c r="G1470" s="104"/>
      <c r="H1470" s="104"/>
      <c r="I1470" s="104"/>
      <c r="J1470" s="104"/>
      <c r="K1470" s="104"/>
      <c r="L1470" s="104"/>
      <c r="M1470" s="104"/>
      <c r="N1470" s="104"/>
      <c r="O1470" s="104"/>
      <c r="P1470" s="104"/>
      <c r="Q1470" s="104"/>
      <c r="R1470" s="104"/>
      <c r="S1470" s="104"/>
    </row>
    <row r="1471" spans="4:19">
      <c r="D1471" s="104"/>
      <c r="E1471" s="104"/>
      <c r="F1471" s="104"/>
      <c r="G1471" s="104"/>
      <c r="H1471" s="104"/>
      <c r="I1471" s="104"/>
      <c r="J1471" s="104"/>
      <c r="K1471" s="104"/>
      <c r="L1471" s="104"/>
      <c r="M1471" s="104"/>
      <c r="N1471" s="104"/>
      <c r="O1471" s="104"/>
      <c r="P1471" s="104"/>
      <c r="Q1471" s="104"/>
      <c r="R1471" s="104"/>
      <c r="S1471" s="104"/>
    </row>
    <row r="1472" spans="4:19">
      <c r="D1472" s="104"/>
      <c r="E1472" s="104"/>
      <c r="F1472" s="104"/>
      <c r="G1472" s="104"/>
      <c r="H1472" s="104"/>
      <c r="I1472" s="104"/>
      <c r="J1472" s="104"/>
      <c r="K1472" s="104"/>
      <c r="L1472" s="104"/>
      <c r="M1472" s="104"/>
      <c r="N1472" s="104"/>
      <c r="O1472" s="104"/>
      <c r="P1472" s="104"/>
      <c r="Q1472" s="104"/>
      <c r="R1472" s="104"/>
      <c r="S1472" s="104"/>
    </row>
    <row r="1473" spans="4:19">
      <c r="D1473" s="104"/>
      <c r="E1473" s="104"/>
      <c r="F1473" s="104"/>
      <c r="G1473" s="104"/>
      <c r="H1473" s="104"/>
      <c r="I1473" s="104"/>
      <c r="J1473" s="104"/>
      <c r="K1473" s="104"/>
      <c r="L1473" s="104"/>
      <c r="M1473" s="104"/>
      <c r="N1473" s="104"/>
      <c r="O1473" s="104"/>
      <c r="P1473" s="104"/>
      <c r="Q1473" s="104"/>
      <c r="R1473" s="104"/>
      <c r="S1473" s="104"/>
    </row>
    <row r="1474" spans="4:19">
      <c r="D1474" s="104"/>
      <c r="E1474" s="104"/>
      <c r="F1474" s="104"/>
      <c r="G1474" s="104"/>
      <c r="H1474" s="104"/>
      <c r="I1474" s="104"/>
      <c r="J1474" s="104"/>
      <c r="K1474" s="104"/>
      <c r="L1474" s="104"/>
      <c r="M1474" s="104"/>
      <c r="N1474" s="104"/>
      <c r="O1474" s="104"/>
      <c r="P1474" s="104"/>
      <c r="Q1474" s="104"/>
      <c r="R1474" s="104"/>
      <c r="S1474" s="104"/>
    </row>
    <row r="1475" spans="4:19">
      <c r="D1475" s="104"/>
      <c r="E1475" s="104"/>
      <c r="F1475" s="104"/>
      <c r="G1475" s="104"/>
      <c r="H1475" s="104"/>
      <c r="I1475" s="104"/>
      <c r="J1475" s="104"/>
      <c r="K1475" s="104"/>
      <c r="L1475" s="104"/>
      <c r="M1475" s="104"/>
      <c r="N1475" s="104"/>
      <c r="O1475" s="104"/>
      <c r="P1475" s="104"/>
      <c r="Q1475" s="104"/>
      <c r="R1475" s="104"/>
      <c r="S1475" s="104"/>
    </row>
    <row r="1476" spans="4:19">
      <c r="D1476" s="104"/>
      <c r="E1476" s="104"/>
      <c r="F1476" s="104"/>
      <c r="G1476" s="104"/>
      <c r="H1476" s="104"/>
      <c r="I1476" s="104"/>
      <c r="J1476" s="104"/>
      <c r="K1476" s="104"/>
      <c r="L1476" s="104"/>
      <c r="M1476" s="104"/>
      <c r="N1476" s="104"/>
      <c r="O1476" s="104"/>
      <c r="P1476" s="104"/>
      <c r="Q1476" s="104"/>
      <c r="R1476" s="104"/>
      <c r="S1476" s="104"/>
    </row>
    <row r="1477" spans="4:19">
      <c r="D1477" s="104"/>
      <c r="E1477" s="104"/>
      <c r="F1477" s="104"/>
      <c r="G1477" s="104"/>
      <c r="H1477" s="104"/>
      <c r="I1477" s="104"/>
      <c r="J1477" s="104"/>
      <c r="K1477" s="104"/>
      <c r="L1477" s="104"/>
      <c r="M1477" s="104"/>
      <c r="N1477" s="104"/>
      <c r="O1477" s="104"/>
      <c r="P1477" s="104"/>
      <c r="Q1477" s="104"/>
      <c r="R1477" s="104"/>
      <c r="S1477" s="104"/>
    </row>
    <row r="1478" spans="4:19">
      <c r="D1478" s="104"/>
      <c r="E1478" s="104"/>
      <c r="F1478" s="104"/>
      <c r="G1478" s="104"/>
      <c r="H1478" s="104"/>
      <c r="I1478" s="104"/>
      <c r="J1478" s="104"/>
      <c r="K1478" s="104"/>
      <c r="L1478" s="104"/>
      <c r="M1478" s="104"/>
      <c r="N1478" s="104"/>
      <c r="O1478" s="104"/>
      <c r="P1478" s="104"/>
      <c r="Q1478" s="104"/>
      <c r="R1478" s="104"/>
      <c r="S1478" s="104"/>
    </row>
    <row r="1479" spans="4:19">
      <c r="D1479" s="104"/>
      <c r="E1479" s="104"/>
      <c r="F1479" s="104"/>
      <c r="G1479" s="104"/>
      <c r="H1479" s="104"/>
      <c r="I1479" s="104"/>
      <c r="J1479" s="104"/>
      <c r="K1479" s="104"/>
      <c r="L1479" s="104"/>
      <c r="M1479" s="104"/>
      <c r="N1479" s="104"/>
      <c r="O1479" s="104"/>
      <c r="P1479" s="104"/>
      <c r="Q1479" s="104"/>
      <c r="R1479" s="104"/>
      <c r="S1479" s="104"/>
    </row>
    <row r="1480" spans="4:19">
      <c r="D1480" s="104"/>
      <c r="E1480" s="104"/>
      <c r="F1480" s="104"/>
      <c r="G1480" s="104"/>
      <c r="H1480" s="104"/>
      <c r="I1480" s="104"/>
      <c r="J1480" s="104"/>
      <c r="K1480" s="104"/>
      <c r="L1480" s="104"/>
      <c r="M1480" s="104"/>
      <c r="N1480" s="104"/>
      <c r="O1480" s="104"/>
      <c r="P1480" s="104"/>
      <c r="Q1480" s="104"/>
      <c r="R1480" s="104"/>
      <c r="S1480" s="104"/>
    </row>
    <row r="1481" spans="4:19">
      <c r="D1481" s="104"/>
      <c r="E1481" s="104"/>
      <c r="F1481" s="104"/>
      <c r="G1481" s="104"/>
      <c r="H1481" s="104"/>
      <c r="I1481" s="104"/>
      <c r="J1481" s="104"/>
      <c r="K1481" s="104"/>
      <c r="L1481" s="104"/>
      <c r="M1481" s="104"/>
      <c r="N1481" s="104"/>
      <c r="O1481" s="104"/>
      <c r="P1481" s="104"/>
      <c r="Q1481" s="104"/>
      <c r="R1481" s="104"/>
      <c r="S1481" s="104"/>
    </row>
    <row r="1482" spans="4:19">
      <c r="D1482" s="104"/>
      <c r="E1482" s="104"/>
      <c r="F1482" s="104"/>
      <c r="G1482" s="104"/>
      <c r="H1482" s="104"/>
      <c r="I1482" s="104"/>
      <c r="J1482" s="104"/>
      <c r="K1482" s="104"/>
      <c r="L1482" s="104"/>
      <c r="M1482" s="104"/>
      <c r="N1482" s="104"/>
      <c r="O1482" s="104"/>
      <c r="P1482" s="104"/>
      <c r="Q1482" s="104"/>
      <c r="R1482" s="104"/>
      <c r="S1482" s="104"/>
    </row>
    <row r="1483" spans="4:19">
      <c r="D1483" s="104"/>
      <c r="E1483" s="104"/>
      <c r="F1483" s="104"/>
      <c r="G1483" s="104"/>
      <c r="H1483" s="104"/>
      <c r="I1483" s="104"/>
      <c r="J1483" s="104"/>
      <c r="K1483" s="104"/>
      <c r="L1483" s="104"/>
      <c r="M1483" s="104"/>
      <c r="N1483" s="104"/>
      <c r="O1483" s="104"/>
      <c r="P1483" s="104"/>
      <c r="Q1483" s="104"/>
      <c r="R1483" s="104"/>
      <c r="S1483" s="104"/>
    </row>
    <row r="1484" spans="4:19">
      <c r="D1484" s="104"/>
      <c r="E1484" s="104"/>
      <c r="F1484" s="104"/>
      <c r="G1484" s="104"/>
      <c r="H1484" s="104"/>
      <c r="I1484" s="104"/>
      <c r="J1484" s="104"/>
      <c r="K1484" s="104"/>
      <c r="L1484" s="104"/>
      <c r="M1484" s="104"/>
      <c r="N1484" s="104"/>
      <c r="O1484" s="104"/>
      <c r="P1484" s="104"/>
      <c r="Q1484" s="104"/>
      <c r="R1484" s="104"/>
      <c r="S1484" s="104"/>
    </row>
    <row r="1485" spans="4:19">
      <c r="D1485" s="104"/>
      <c r="E1485" s="104"/>
      <c r="F1485" s="104"/>
      <c r="G1485" s="104"/>
      <c r="H1485" s="104"/>
      <c r="I1485" s="104"/>
      <c r="J1485" s="104"/>
      <c r="K1485" s="104"/>
      <c r="L1485" s="104"/>
      <c r="M1485" s="104"/>
      <c r="N1485" s="104"/>
      <c r="O1485" s="104"/>
      <c r="P1485" s="104"/>
      <c r="Q1485" s="104"/>
      <c r="R1485" s="104"/>
      <c r="S1485" s="104"/>
    </row>
    <row r="1486" spans="4:19">
      <c r="D1486" s="104"/>
      <c r="E1486" s="104"/>
      <c r="F1486" s="104"/>
      <c r="G1486" s="104"/>
      <c r="H1486" s="104"/>
      <c r="I1486" s="104"/>
      <c r="J1486" s="104"/>
      <c r="K1486" s="104"/>
      <c r="L1486" s="104"/>
      <c r="M1486" s="104"/>
      <c r="N1486" s="104"/>
      <c r="O1486" s="104"/>
      <c r="P1486" s="104"/>
      <c r="Q1486" s="104"/>
      <c r="R1486" s="104"/>
      <c r="S1486" s="104"/>
    </row>
    <row r="1487" spans="4:19">
      <c r="D1487" s="104"/>
      <c r="E1487" s="104"/>
      <c r="F1487" s="104"/>
      <c r="G1487" s="104"/>
      <c r="H1487" s="104"/>
      <c r="I1487" s="104"/>
      <c r="J1487" s="104"/>
      <c r="K1487" s="104"/>
      <c r="L1487" s="104"/>
      <c r="M1487" s="104"/>
      <c r="N1487" s="104"/>
      <c r="O1487" s="104"/>
      <c r="P1487" s="104"/>
      <c r="Q1487" s="104"/>
      <c r="R1487" s="104"/>
      <c r="S1487" s="104"/>
    </row>
    <row r="1488" spans="4:19">
      <c r="D1488" s="104"/>
      <c r="E1488" s="104"/>
      <c r="F1488" s="104"/>
      <c r="G1488" s="104"/>
      <c r="H1488" s="104"/>
      <c r="I1488" s="104"/>
      <c r="J1488" s="104"/>
      <c r="K1488" s="104"/>
      <c r="L1488" s="104"/>
      <c r="M1488" s="104"/>
      <c r="N1488" s="104"/>
      <c r="O1488" s="104"/>
      <c r="P1488" s="104"/>
      <c r="Q1488" s="104"/>
      <c r="R1488" s="104"/>
      <c r="S1488" s="104"/>
    </row>
    <row r="1489" spans="4:19">
      <c r="D1489" s="104"/>
      <c r="E1489" s="104"/>
      <c r="F1489" s="104"/>
      <c r="G1489" s="104"/>
      <c r="H1489" s="104"/>
      <c r="I1489" s="104"/>
      <c r="J1489" s="104"/>
      <c r="K1489" s="104"/>
      <c r="L1489" s="104"/>
      <c r="M1489" s="104"/>
      <c r="N1489" s="104"/>
      <c r="O1489" s="104"/>
      <c r="P1489" s="104"/>
      <c r="Q1489" s="104"/>
      <c r="R1489" s="104"/>
      <c r="S1489" s="104"/>
    </row>
    <row r="1490" spans="4:19">
      <c r="D1490" s="104"/>
      <c r="E1490" s="104"/>
      <c r="F1490" s="104"/>
      <c r="G1490" s="104"/>
      <c r="H1490" s="104"/>
      <c r="I1490" s="104"/>
      <c r="J1490" s="104"/>
      <c r="K1490" s="104"/>
      <c r="L1490" s="104"/>
      <c r="M1490" s="104"/>
      <c r="N1490" s="104"/>
      <c r="O1490" s="104"/>
      <c r="P1490" s="104"/>
      <c r="Q1490" s="104"/>
      <c r="R1490" s="104"/>
      <c r="S1490" s="104"/>
    </row>
    <row r="1491" spans="4:19">
      <c r="D1491" s="104"/>
      <c r="E1491" s="104"/>
      <c r="F1491" s="104"/>
      <c r="G1491" s="104"/>
      <c r="H1491" s="104"/>
      <c r="I1491" s="104"/>
      <c r="J1491" s="104"/>
      <c r="K1491" s="104"/>
      <c r="L1491" s="104"/>
      <c r="M1491" s="104"/>
      <c r="N1491" s="104"/>
      <c r="O1491" s="104"/>
      <c r="P1491" s="104"/>
      <c r="Q1491" s="104"/>
      <c r="R1491" s="104"/>
      <c r="S1491" s="104"/>
    </row>
    <row r="1492" spans="4:19">
      <c r="D1492" s="104"/>
      <c r="E1492" s="104"/>
      <c r="F1492" s="104"/>
      <c r="G1492" s="104"/>
      <c r="H1492" s="104"/>
      <c r="I1492" s="104"/>
      <c r="J1492" s="104"/>
      <c r="K1492" s="104"/>
      <c r="L1492" s="104"/>
      <c r="M1492" s="104"/>
      <c r="N1492" s="104"/>
      <c r="O1492" s="104"/>
      <c r="P1492" s="104"/>
      <c r="Q1492" s="104"/>
      <c r="R1492" s="104"/>
      <c r="S1492" s="104"/>
    </row>
    <row r="1493" spans="4:19">
      <c r="D1493" s="104"/>
      <c r="E1493" s="104"/>
      <c r="F1493" s="104"/>
      <c r="G1493" s="104"/>
      <c r="H1493" s="104"/>
      <c r="I1493" s="104"/>
      <c r="J1493" s="104"/>
      <c r="K1493" s="104"/>
      <c r="L1493" s="104"/>
      <c r="M1493" s="104"/>
      <c r="N1493" s="104"/>
      <c r="O1493" s="104"/>
      <c r="P1493" s="104"/>
      <c r="Q1493" s="104"/>
      <c r="R1493" s="104"/>
      <c r="S1493" s="104"/>
    </row>
    <row r="1494" spans="4:19">
      <c r="D1494" s="104"/>
      <c r="E1494" s="104"/>
      <c r="F1494" s="104"/>
      <c r="G1494" s="104"/>
      <c r="H1494" s="104"/>
      <c r="I1494" s="104"/>
      <c r="J1494" s="104"/>
      <c r="K1494" s="104"/>
      <c r="L1494" s="104"/>
      <c r="M1494" s="104"/>
      <c r="N1494" s="104"/>
      <c r="O1494" s="104"/>
      <c r="P1494" s="104"/>
      <c r="Q1494" s="104"/>
      <c r="R1494" s="104"/>
      <c r="S1494" s="104"/>
    </row>
    <row r="1495" spans="4:19">
      <c r="D1495" s="104"/>
      <c r="E1495" s="104"/>
      <c r="F1495" s="104"/>
      <c r="G1495" s="104"/>
      <c r="H1495" s="104"/>
      <c r="I1495" s="104"/>
      <c r="J1495" s="104"/>
      <c r="K1495" s="104"/>
      <c r="L1495" s="104"/>
      <c r="M1495" s="104"/>
      <c r="N1495" s="104"/>
      <c r="O1495" s="104"/>
      <c r="P1495" s="104"/>
      <c r="Q1495" s="104"/>
      <c r="R1495" s="104"/>
      <c r="S1495" s="104"/>
    </row>
    <row r="1496" spans="4:19">
      <c r="D1496" s="104"/>
      <c r="E1496" s="104"/>
      <c r="F1496" s="104"/>
      <c r="G1496" s="104"/>
      <c r="H1496" s="104"/>
      <c r="I1496" s="104"/>
      <c r="J1496" s="104"/>
      <c r="K1496" s="104"/>
      <c r="L1496" s="104"/>
      <c r="M1496" s="104"/>
      <c r="N1496" s="104"/>
      <c r="O1496" s="104"/>
      <c r="P1496" s="104"/>
      <c r="Q1496" s="104"/>
      <c r="R1496" s="104"/>
      <c r="S1496" s="104"/>
    </row>
    <row r="1497" spans="4:19">
      <c r="D1497" s="104"/>
      <c r="E1497" s="104"/>
      <c r="F1497" s="104"/>
      <c r="G1497" s="104"/>
      <c r="H1497" s="104"/>
      <c r="I1497" s="104"/>
      <c r="J1497" s="104"/>
      <c r="K1497" s="104"/>
      <c r="L1497" s="104"/>
      <c r="M1497" s="104"/>
      <c r="N1497" s="104"/>
      <c r="O1497" s="104"/>
      <c r="P1497" s="104"/>
      <c r="Q1497" s="104"/>
      <c r="R1497" s="104"/>
      <c r="S1497" s="104"/>
    </row>
    <row r="1498" spans="4:19">
      <c r="D1498" s="104"/>
      <c r="E1498" s="104"/>
      <c r="F1498" s="104"/>
      <c r="G1498" s="104"/>
      <c r="H1498" s="104"/>
      <c r="I1498" s="104"/>
      <c r="J1498" s="104"/>
      <c r="K1498" s="104"/>
      <c r="L1498" s="104"/>
      <c r="M1498" s="104"/>
      <c r="N1498" s="104"/>
      <c r="O1498" s="104"/>
      <c r="P1498" s="104"/>
      <c r="Q1498" s="104"/>
      <c r="R1498" s="104"/>
      <c r="S1498" s="104"/>
    </row>
    <row r="1499" spans="4:19">
      <c r="D1499" s="104"/>
      <c r="E1499" s="104"/>
      <c r="F1499" s="104"/>
      <c r="G1499" s="104"/>
      <c r="H1499" s="104"/>
      <c r="I1499" s="104"/>
      <c r="J1499" s="104"/>
      <c r="K1499" s="104"/>
      <c r="L1499" s="104"/>
      <c r="M1499" s="104"/>
      <c r="N1499" s="104"/>
      <c r="O1499" s="104"/>
      <c r="P1499" s="104"/>
      <c r="Q1499" s="104"/>
      <c r="R1499" s="104"/>
      <c r="S1499" s="104"/>
    </row>
    <row r="1500" spans="4:19">
      <c r="D1500" s="104"/>
      <c r="E1500" s="104"/>
      <c r="F1500" s="104"/>
      <c r="G1500" s="104"/>
      <c r="H1500" s="104"/>
      <c r="I1500" s="104"/>
      <c r="J1500" s="104"/>
      <c r="K1500" s="104"/>
      <c r="L1500" s="104"/>
      <c r="M1500" s="104"/>
      <c r="N1500" s="104"/>
      <c r="O1500" s="104"/>
      <c r="P1500" s="104"/>
      <c r="Q1500" s="104"/>
      <c r="R1500" s="104"/>
      <c r="S1500" s="104"/>
    </row>
    <row r="1501" spans="4:19">
      <c r="D1501" s="104"/>
      <c r="E1501" s="104"/>
      <c r="F1501" s="104"/>
      <c r="G1501" s="104"/>
      <c r="H1501" s="104"/>
      <c r="I1501" s="104"/>
      <c r="J1501" s="104"/>
      <c r="K1501" s="104"/>
      <c r="L1501" s="104"/>
      <c r="M1501" s="104"/>
      <c r="N1501" s="104"/>
      <c r="O1501" s="104"/>
      <c r="P1501" s="104"/>
      <c r="Q1501" s="104"/>
      <c r="R1501" s="104"/>
      <c r="S1501" s="104"/>
    </row>
    <row r="1502" spans="4:19">
      <c r="D1502" s="104"/>
      <c r="E1502" s="104"/>
      <c r="F1502" s="104"/>
      <c r="G1502" s="104"/>
      <c r="H1502" s="104"/>
      <c r="I1502" s="104"/>
      <c r="J1502" s="104"/>
      <c r="K1502" s="104"/>
      <c r="L1502" s="104"/>
      <c r="M1502" s="104"/>
      <c r="N1502" s="104"/>
      <c r="O1502" s="104"/>
      <c r="P1502" s="104"/>
      <c r="Q1502" s="104"/>
      <c r="R1502" s="104"/>
      <c r="S1502" s="104"/>
    </row>
    <row r="1503" spans="4:19">
      <c r="D1503" s="104"/>
      <c r="E1503" s="104"/>
      <c r="F1503" s="104"/>
      <c r="G1503" s="104"/>
      <c r="H1503" s="104"/>
      <c r="I1503" s="104"/>
      <c r="J1503" s="104"/>
      <c r="K1503" s="104"/>
      <c r="L1503" s="104"/>
      <c r="M1503" s="104"/>
      <c r="N1503" s="104"/>
      <c r="O1503" s="104"/>
      <c r="P1503" s="104"/>
      <c r="Q1503" s="104"/>
      <c r="R1503" s="104"/>
      <c r="S1503" s="104"/>
    </row>
    <row r="1504" spans="4:19">
      <c r="D1504" s="104"/>
      <c r="E1504" s="104"/>
      <c r="F1504" s="104"/>
      <c r="G1504" s="104"/>
      <c r="H1504" s="104"/>
      <c r="I1504" s="104"/>
      <c r="J1504" s="104"/>
      <c r="K1504" s="104"/>
      <c r="L1504" s="104"/>
      <c r="M1504" s="104"/>
      <c r="N1504" s="104"/>
      <c r="O1504" s="104"/>
      <c r="P1504" s="104"/>
      <c r="Q1504" s="104"/>
      <c r="R1504" s="104"/>
      <c r="S1504" s="104"/>
    </row>
    <row r="1505" spans="4:19">
      <c r="D1505" s="104"/>
      <c r="E1505" s="104"/>
      <c r="F1505" s="104"/>
      <c r="G1505" s="104"/>
      <c r="H1505" s="104"/>
      <c r="I1505" s="104"/>
      <c r="J1505" s="104"/>
      <c r="K1505" s="104"/>
      <c r="L1505" s="104"/>
      <c r="M1505" s="104"/>
      <c r="N1505" s="104"/>
      <c r="O1505" s="104"/>
      <c r="P1505" s="104"/>
      <c r="Q1505" s="104"/>
      <c r="R1505" s="104"/>
      <c r="S1505" s="104"/>
    </row>
    <row r="1506" spans="4:19">
      <c r="D1506" s="104"/>
      <c r="E1506" s="104"/>
      <c r="F1506" s="104"/>
      <c r="G1506" s="104"/>
      <c r="H1506" s="104"/>
      <c r="I1506" s="104"/>
      <c r="J1506" s="104"/>
      <c r="K1506" s="104"/>
      <c r="L1506" s="104"/>
      <c r="M1506" s="104"/>
      <c r="N1506" s="104"/>
      <c r="O1506" s="104"/>
      <c r="P1506" s="104"/>
      <c r="Q1506" s="104"/>
      <c r="R1506" s="104"/>
      <c r="S1506" s="104"/>
    </row>
    <row r="1507" spans="4:19">
      <c r="D1507" s="104"/>
      <c r="E1507" s="104"/>
      <c r="F1507" s="104"/>
      <c r="G1507" s="104"/>
      <c r="H1507" s="104"/>
      <c r="I1507" s="104"/>
      <c r="J1507" s="104"/>
      <c r="K1507" s="104"/>
      <c r="L1507" s="104"/>
      <c r="M1507" s="104"/>
      <c r="N1507" s="104"/>
      <c r="O1507" s="104"/>
      <c r="P1507" s="104"/>
      <c r="Q1507" s="104"/>
      <c r="R1507" s="104"/>
      <c r="S1507" s="104"/>
    </row>
    <row r="1508" spans="4:19">
      <c r="D1508" s="104"/>
      <c r="E1508" s="104"/>
      <c r="F1508" s="104"/>
      <c r="G1508" s="104"/>
      <c r="H1508" s="104"/>
      <c r="I1508" s="104"/>
      <c r="J1508" s="104"/>
      <c r="K1508" s="104"/>
      <c r="L1508" s="104"/>
      <c r="M1508" s="104"/>
      <c r="N1508" s="104"/>
      <c r="O1508" s="104"/>
      <c r="P1508" s="104"/>
      <c r="Q1508" s="104"/>
      <c r="R1508" s="104"/>
      <c r="S1508" s="104"/>
    </row>
    <row r="1509" spans="4:19">
      <c r="D1509" s="104"/>
      <c r="E1509" s="104"/>
      <c r="F1509" s="104"/>
      <c r="G1509" s="104"/>
      <c r="H1509" s="104"/>
      <c r="I1509" s="104"/>
      <c r="J1509" s="104"/>
      <c r="K1509" s="104"/>
      <c r="L1509" s="104"/>
      <c r="M1509" s="104"/>
      <c r="N1509" s="104"/>
      <c r="O1509" s="104"/>
      <c r="P1509" s="104"/>
      <c r="Q1509" s="104"/>
      <c r="R1509" s="104"/>
      <c r="S1509" s="104"/>
    </row>
    <row r="1510" spans="4:19">
      <c r="D1510" s="104"/>
      <c r="E1510" s="104"/>
      <c r="F1510" s="104"/>
      <c r="G1510" s="104"/>
      <c r="H1510" s="104"/>
      <c r="I1510" s="104"/>
      <c r="J1510" s="104"/>
      <c r="K1510" s="104"/>
      <c r="L1510" s="104"/>
      <c r="M1510" s="104"/>
      <c r="N1510" s="104"/>
      <c r="O1510" s="104"/>
      <c r="P1510" s="104"/>
      <c r="Q1510" s="104"/>
      <c r="R1510" s="104"/>
      <c r="S1510" s="104"/>
    </row>
    <row r="1511" spans="4:19">
      <c r="D1511" s="104"/>
      <c r="E1511" s="104"/>
      <c r="F1511" s="104"/>
      <c r="G1511" s="104"/>
      <c r="H1511" s="104"/>
      <c r="I1511" s="104"/>
      <c r="J1511" s="104"/>
      <c r="K1511" s="104"/>
      <c r="L1511" s="104"/>
      <c r="M1511" s="104"/>
      <c r="N1511" s="104"/>
      <c r="O1511" s="104"/>
      <c r="P1511" s="104"/>
      <c r="Q1511" s="104"/>
      <c r="R1511" s="104"/>
      <c r="S1511" s="104"/>
    </row>
    <row r="1512" spans="4:19">
      <c r="D1512" s="104"/>
      <c r="E1512" s="104"/>
      <c r="F1512" s="104"/>
      <c r="G1512" s="104"/>
      <c r="H1512" s="104"/>
      <c r="I1512" s="104"/>
      <c r="J1512" s="104"/>
      <c r="K1512" s="104"/>
      <c r="L1512" s="104"/>
      <c r="M1512" s="104"/>
      <c r="N1512" s="104"/>
      <c r="O1512" s="104"/>
      <c r="P1512" s="104"/>
      <c r="Q1512" s="104"/>
      <c r="R1512" s="104"/>
      <c r="S1512" s="104"/>
    </row>
    <row r="1513" spans="4:19">
      <c r="D1513" s="104"/>
      <c r="E1513" s="104"/>
      <c r="F1513" s="104"/>
      <c r="G1513" s="104"/>
      <c r="H1513" s="104"/>
      <c r="I1513" s="104"/>
      <c r="J1513" s="104"/>
      <c r="K1513" s="104"/>
      <c r="L1513" s="104"/>
      <c r="M1513" s="104"/>
      <c r="N1513" s="104"/>
      <c r="O1513" s="104"/>
      <c r="P1513" s="104"/>
      <c r="Q1513" s="104"/>
      <c r="R1513" s="104"/>
      <c r="S1513" s="104"/>
    </row>
    <row r="1514" spans="4:19">
      <c r="D1514" s="104"/>
      <c r="E1514" s="104"/>
      <c r="F1514" s="104"/>
      <c r="G1514" s="104"/>
      <c r="H1514" s="104"/>
      <c r="I1514" s="104"/>
      <c r="J1514" s="104"/>
      <c r="K1514" s="104"/>
      <c r="L1514" s="104"/>
      <c r="M1514" s="104"/>
      <c r="N1514" s="104"/>
      <c r="O1514" s="104"/>
      <c r="P1514" s="104"/>
      <c r="Q1514" s="104"/>
      <c r="R1514" s="104"/>
      <c r="S1514" s="104"/>
    </row>
    <row r="1515" spans="4:19">
      <c r="D1515" s="104"/>
      <c r="E1515" s="104"/>
      <c r="F1515" s="104"/>
      <c r="G1515" s="104"/>
      <c r="H1515" s="104"/>
      <c r="I1515" s="104"/>
      <c r="J1515" s="104"/>
      <c r="K1515" s="104"/>
      <c r="L1515" s="104"/>
      <c r="M1515" s="104"/>
      <c r="N1515" s="104"/>
      <c r="O1515" s="104"/>
      <c r="P1515" s="104"/>
      <c r="Q1515" s="104"/>
      <c r="R1515" s="104"/>
      <c r="S1515" s="104"/>
    </row>
    <row r="1516" spans="4:19">
      <c r="D1516" s="104"/>
      <c r="E1516" s="104"/>
      <c r="F1516" s="104"/>
      <c r="G1516" s="104"/>
      <c r="H1516" s="104"/>
      <c r="I1516" s="104"/>
      <c r="J1516" s="104"/>
      <c r="K1516" s="104"/>
      <c r="L1516" s="104"/>
      <c r="M1516" s="104"/>
      <c r="N1516" s="104"/>
      <c r="O1516" s="104"/>
      <c r="P1516" s="104"/>
      <c r="Q1516" s="104"/>
      <c r="R1516" s="104"/>
      <c r="S1516" s="104"/>
    </row>
    <row r="1517" spans="4:19">
      <c r="D1517" s="104"/>
      <c r="E1517" s="104"/>
      <c r="F1517" s="104"/>
      <c r="G1517" s="104"/>
      <c r="H1517" s="104"/>
      <c r="I1517" s="104"/>
      <c r="J1517" s="104"/>
      <c r="K1517" s="104"/>
      <c r="L1517" s="104"/>
      <c r="M1517" s="104"/>
      <c r="N1517" s="104"/>
      <c r="O1517" s="104"/>
      <c r="P1517" s="104"/>
      <c r="Q1517" s="104"/>
      <c r="R1517" s="104"/>
      <c r="S1517" s="104"/>
    </row>
    <row r="1518" spans="4:19">
      <c r="D1518" s="104"/>
      <c r="E1518" s="104"/>
      <c r="F1518" s="104"/>
      <c r="G1518" s="104"/>
      <c r="H1518" s="104"/>
      <c r="I1518" s="104"/>
      <c r="J1518" s="104"/>
      <c r="K1518" s="104"/>
      <c r="L1518" s="104"/>
      <c r="M1518" s="104"/>
      <c r="N1518" s="104"/>
      <c r="O1518" s="104"/>
      <c r="P1518" s="104"/>
      <c r="Q1518" s="104"/>
      <c r="R1518" s="104"/>
      <c r="S1518" s="104"/>
    </row>
    <row r="1519" spans="4:19">
      <c r="D1519" s="104"/>
      <c r="E1519" s="104"/>
      <c r="F1519" s="104"/>
      <c r="G1519" s="104"/>
      <c r="H1519" s="104"/>
      <c r="I1519" s="104"/>
      <c r="J1519" s="104"/>
      <c r="K1519" s="104"/>
      <c r="L1519" s="104"/>
      <c r="M1519" s="104"/>
      <c r="N1519" s="104"/>
      <c r="O1519" s="104"/>
      <c r="P1519" s="104"/>
      <c r="Q1519" s="104"/>
      <c r="R1519" s="104"/>
      <c r="S1519" s="104"/>
    </row>
    <row r="1520" spans="4:19">
      <c r="D1520" s="104"/>
      <c r="E1520" s="104"/>
      <c r="F1520" s="104"/>
      <c r="G1520" s="104"/>
      <c r="H1520" s="104"/>
      <c r="I1520" s="104"/>
      <c r="J1520" s="104"/>
      <c r="K1520" s="104"/>
      <c r="L1520" s="104"/>
      <c r="M1520" s="104"/>
      <c r="N1520" s="104"/>
      <c r="O1520" s="104"/>
      <c r="P1520" s="104"/>
      <c r="Q1520" s="104"/>
      <c r="R1520" s="104"/>
      <c r="S1520" s="104"/>
    </row>
    <row r="1521" spans="4:19">
      <c r="D1521" s="104"/>
      <c r="E1521" s="104"/>
      <c r="F1521" s="104"/>
      <c r="G1521" s="104"/>
      <c r="H1521" s="104"/>
      <c r="I1521" s="104"/>
      <c r="J1521" s="104"/>
      <c r="K1521" s="104"/>
      <c r="L1521" s="104"/>
      <c r="M1521" s="104"/>
      <c r="N1521" s="104"/>
      <c r="O1521" s="104"/>
      <c r="P1521" s="104"/>
      <c r="Q1521" s="104"/>
      <c r="R1521" s="104"/>
      <c r="S1521" s="104"/>
    </row>
    <row r="1522" spans="4:19">
      <c r="D1522" s="104"/>
      <c r="E1522" s="104"/>
      <c r="F1522" s="104"/>
      <c r="G1522" s="104"/>
      <c r="H1522" s="104"/>
      <c r="I1522" s="104"/>
      <c r="J1522" s="104"/>
      <c r="K1522" s="104"/>
      <c r="L1522" s="104"/>
      <c r="M1522" s="104"/>
      <c r="N1522" s="104"/>
      <c r="O1522" s="104"/>
      <c r="P1522" s="104"/>
      <c r="Q1522" s="104"/>
      <c r="R1522" s="104"/>
      <c r="S1522" s="104"/>
    </row>
    <row r="1523" spans="4:19">
      <c r="D1523" s="104"/>
      <c r="E1523" s="104"/>
      <c r="F1523" s="104"/>
      <c r="G1523" s="104"/>
      <c r="H1523" s="104"/>
      <c r="I1523" s="104"/>
      <c r="J1523" s="104"/>
      <c r="K1523" s="104"/>
      <c r="L1523" s="104"/>
      <c r="M1523" s="104"/>
      <c r="N1523" s="104"/>
      <c r="O1523" s="104"/>
      <c r="P1523" s="104"/>
      <c r="Q1523" s="104"/>
      <c r="R1523" s="104"/>
      <c r="S1523" s="104"/>
    </row>
    <row r="1524" spans="4:19">
      <c r="D1524" s="104"/>
      <c r="E1524" s="104"/>
      <c r="F1524" s="104"/>
      <c r="G1524" s="104"/>
      <c r="H1524" s="104"/>
      <c r="I1524" s="104"/>
      <c r="J1524" s="104"/>
      <c r="K1524" s="104"/>
      <c r="L1524" s="104"/>
      <c r="M1524" s="104"/>
      <c r="N1524" s="104"/>
      <c r="O1524" s="104"/>
      <c r="P1524" s="104"/>
      <c r="Q1524" s="104"/>
      <c r="R1524" s="104"/>
      <c r="S1524" s="104"/>
    </row>
    <row r="1525" spans="4:19">
      <c r="D1525" s="104"/>
      <c r="E1525" s="104"/>
      <c r="F1525" s="104"/>
      <c r="G1525" s="104"/>
      <c r="H1525" s="104"/>
      <c r="I1525" s="104"/>
      <c r="J1525" s="104"/>
      <c r="K1525" s="104"/>
      <c r="L1525" s="104"/>
      <c r="M1525" s="104"/>
      <c r="N1525" s="104"/>
      <c r="O1525" s="104"/>
      <c r="P1525" s="104"/>
      <c r="Q1525" s="104"/>
      <c r="R1525" s="104"/>
      <c r="S1525" s="104"/>
    </row>
    <row r="1526" spans="4:19">
      <c r="D1526" s="104"/>
      <c r="E1526" s="104"/>
      <c r="F1526" s="104"/>
      <c r="G1526" s="104"/>
      <c r="H1526" s="104"/>
      <c r="I1526" s="104"/>
      <c r="J1526" s="104"/>
      <c r="K1526" s="104"/>
      <c r="L1526" s="104"/>
      <c r="M1526" s="104"/>
      <c r="N1526" s="104"/>
      <c r="O1526" s="104"/>
      <c r="P1526" s="104"/>
      <c r="Q1526" s="104"/>
      <c r="R1526" s="104"/>
      <c r="S1526" s="104"/>
    </row>
    <row r="1527" spans="4:19">
      <c r="D1527" s="104"/>
      <c r="E1527" s="104"/>
      <c r="F1527" s="104"/>
      <c r="G1527" s="104"/>
      <c r="H1527" s="104"/>
      <c r="I1527" s="104"/>
      <c r="J1527" s="104"/>
      <c r="K1527" s="104"/>
      <c r="L1527" s="104"/>
      <c r="M1527" s="104"/>
      <c r="N1527" s="104"/>
      <c r="O1527" s="104"/>
      <c r="P1527" s="104"/>
      <c r="Q1527" s="104"/>
      <c r="R1527" s="104"/>
      <c r="S1527" s="104"/>
    </row>
    <row r="1528" spans="4:19">
      <c r="D1528" s="104"/>
      <c r="E1528" s="104"/>
      <c r="F1528" s="104"/>
      <c r="G1528" s="104"/>
      <c r="H1528" s="104"/>
      <c r="I1528" s="104"/>
      <c r="J1528" s="104"/>
      <c r="K1528" s="104"/>
      <c r="L1528" s="104"/>
      <c r="M1528" s="104"/>
      <c r="N1528" s="104"/>
      <c r="O1528" s="104"/>
      <c r="P1528" s="104"/>
      <c r="Q1528" s="104"/>
      <c r="R1528" s="104"/>
      <c r="S1528" s="104"/>
    </row>
    <row r="1529" spans="4:19">
      <c r="D1529" s="104"/>
      <c r="E1529" s="104"/>
      <c r="F1529" s="104"/>
      <c r="G1529" s="104"/>
      <c r="H1529" s="104"/>
      <c r="I1529" s="104"/>
      <c r="J1529" s="104"/>
      <c r="K1529" s="104"/>
      <c r="L1529" s="104"/>
      <c r="M1529" s="104"/>
      <c r="N1529" s="104"/>
      <c r="O1529" s="104"/>
      <c r="P1529" s="104"/>
      <c r="Q1529" s="104"/>
      <c r="R1529" s="104"/>
      <c r="S1529" s="104"/>
    </row>
    <row r="1530" spans="4:19">
      <c r="D1530" s="104"/>
      <c r="E1530" s="104"/>
      <c r="F1530" s="104"/>
      <c r="G1530" s="104"/>
      <c r="H1530" s="104"/>
      <c r="I1530" s="104"/>
      <c r="J1530" s="104"/>
      <c r="K1530" s="104"/>
      <c r="L1530" s="104"/>
      <c r="M1530" s="104"/>
      <c r="N1530" s="104"/>
      <c r="O1530" s="104"/>
      <c r="P1530" s="104"/>
      <c r="Q1530" s="104"/>
      <c r="R1530" s="104"/>
      <c r="S1530" s="104"/>
    </row>
    <row r="1531" spans="4:19">
      <c r="D1531" s="104"/>
      <c r="E1531" s="104"/>
      <c r="F1531" s="104"/>
      <c r="G1531" s="104"/>
      <c r="H1531" s="104"/>
      <c r="I1531" s="104"/>
      <c r="J1531" s="104"/>
      <c r="K1531" s="104"/>
      <c r="L1531" s="104"/>
      <c r="M1531" s="104"/>
      <c r="N1531" s="104"/>
      <c r="O1531" s="104"/>
      <c r="P1531" s="104"/>
      <c r="Q1531" s="104"/>
      <c r="R1531" s="104"/>
      <c r="S1531" s="104"/>
    </row>
    <row r="1532" spans="4:19">
      <c r="D1532" s="104"/>
      <c r="E1532" s="104"/>
      <c r="F1532" s="104"/>
      <c r="G1532" s="104"/>
      <c r="H1532" s="104"/>
      <c r="I1532" s="104"/>
      <c r="J1532" s="104"/>
      <c r="K1532" s="104"/>
      <c r="L1532" s="104"/>
      <c r="M1532" s="104"/>
      <c r="N1532" s="104"/>
      <c r="O1532" s="104"/>
      <c r="P1532" s="104"/>
      <c r="Q1532" s="104"/>
      <c r="R1532" s="104"/>
      <c r="S1532" s="104"/>
    </row>
    <row r="1533" spans="4:19">
      <c r="D1533" s="104"/>
      <c r="E1533" s="104"/>
      <c r="F1533" s="104"/>
      <c r="G1533" s="104"/>
      <c r="H1533" s="104"/>
      <c r="I1533" s="104"/>
      <c r="J1533" s="104"/>
      <c r="K1533" s="104"/>
      <c r="L1533" s="104"/>
      <c r="M1533" s="104"/>
      <c r="N1533" s="104"/>
      <c r="O1533" s="104"/>
      <c r="P1533" s="104"/>
      <c r="Q1533" s="104"/>
      <c r="R1533" s="104"/>
      <c r="S1533" s="104"/>
    </row>
    <row r="1534" spans="4:19">
      <c r="D1534" s="104"/>
      <c r="E1534" s="104"/>
      <c r="F1534" s="104"/>
      <c r="G1534" s="104"/>
      <c r="H1534" s="104"/>
      <c r="I1534" s="104"/>
      <c r="J1534" s="104"/>
      <c r="K1534" s="104"/>
      <c r="L1534" s="104"/>
      <c r="M1534" s="104"/>
      <c r="N1534" s="104"/>
      <c r="O1534" s="104"/>
      <c r="P1534" s="104"/>
      <c r="Q1534" s="104"/>
      <c r="R1534" s="104"/>
      <c r="S1534" s="104"/>
    </row>
    <row r="1535" spans="4:19">
      <c r="D1535" s="104"/>
      <c r="E1535" s="104"/>
      <c r="F1535" s="104"/>
      <c r="G1535" s="104"/>
      <c r="H1535" s="104"/>
      <c r="I1535" s="104"/>
      <c r="J1535" s="104"/>
      <c r="K1535" s="104"/>
      <c r="L1535" s="104"/>
      <c r="M1535" s="104"/>
      <c r="N1535" s="104"/>
      <c r="O1535" s="104"/>
      <c r="P1535" s="104"/>
      <c r="Q1535" s="104"/>
      <c r="R1535" s="104"/>
      <c r="S1535" s="104"/>
    </row>
    <row r="1536" spans="4:19">
      <c r="D1536" s="104"/>
      <c r="E1536" s="104"/>
      <c r="F1536" s="104"/>
      <c r="G1536" s="104"/>
      <c r="H1536" s="104"/>
      <c r="I1536" s="104"/>
      <c r="J1536" s="104"/>
      <c r="K1536" s="104"/>
      <c r="L1536" s="104"/>
      <c r="M1536" s="104"/>
      <c r="N1536" s="104"/>
      <c r="O1536" s="104"/>
      <c r="P1536" s="104"/>
      <c r="Q1536" s="104"/>
      <c r="R1536" s="104"/>
      <c r="S1536" s="104"/>
    </row>
    <row r="1537" spans="4:19">
      <c r="D1537" s="104"/>
      <c r="E1537" s="104"/>
      <c r="F1537" s="104"/>
      <c r="G1537" s="104"/>
      <c r="H1537" s="104"/>
      <c r="I1537" s="104"/>
      <c r="J1537" s="104"/>
      <c r="K1537" s="104"/>
      <c r="L1537" s="104"/>
      <c r="M1537" s="104"/>
      <c r="N1537" s="104"/>
      <c r="O1537" s="104"/>
      <c r="P1537" s="104"/>
      <c r="Q1537" s="104"/>
      <c r="R1537" s="104"/>
      <c r="S1537" s="104"/>
    </row>
    <row r="1538" spans="4:19">
      <c r="D1538" s="104"/>
      <c r="E1538" s="104"/>
      <c r="F1538" s="104"/>
      <c r="G1538" s="104"/>
      <c r="H1538" s="104"/>
      <c r="I1538" s="104"/>
      <c r="J1538" s="104"/>
      <c r="K1538" s="104"/>
      <c r="L1538" s="104"/>
      <c r="M1538" s="104"/>
      <c r="N1538" s="104"/>
      <c r="O1538" s="104"/>
      <c r="P1538" s="104"/>
      <c r="Q1538" s="104"/>
      <c r="R1538" s="104"/>
      <c r="S1538" s="104"/>
    </row>
    <row r="1539" spans="4:19">
      <c r="D1539" s="104"/>
      <c r="E1539" s="104"/>
      <c r="F1539" s="104"/>
      <c r="G1539" s="104"/>
      <c r="H1539" s="104"/>
      <c r="I1539" s="104"/>
      <c r="J1539" s="104"/>
      <c r="K1539" s="104"/>
      <c r="L1539" s="104"/>
      <c r="M1539" s="104"/>
      <c r="N1539" s="104"/>
      <c r="O1539" s="104"/>
      <c r="P1539" s="104"/>
      <c r="Q1539" s="104"/>
      <c r="R1539" s="104"/>
      <c r="S1539" s="104"/>
    </row>
    <row r="1540" spans="4:19">
      <c r="D1540" s="104"/>
      <c r="E1540" s="104"/>
      <c r="F1540" s="104"/>
      <c r="G1540" s="104"/>
      <c r="H1540" s="104"/>
      <c r="I1540" s="104"/>
      <c r="J1540" s="104"/>
      <c r="K1540" s="104"/>
      <c r="L1540" s="104"/>
      <c r="M1540" s="104"/>
      <c r="N1540" s="104"/>
      <c r="O1540" s="104"/>
      <c r="P1540" s="104"/>
      <c r="Q1540" s="104"/>
      <c r="R1540" s="104"/>
      <c r="S1540" s="104"/>
    </row>
    <row r="1541" spans="4:19">
      <c r="D1541" s="104"/>
      <c r="E1541" s="104"/>
      <c r="F1541" s="104"/>
      <c r="G1541" s="104"/>
      <c r="H1541" s="104"/>
      <c r="I1541" s="104"/>
      <c r="J1541" s="104"/>
      <c r="K1541" s="104"/>
      <c r="L1541" s="104"/>
      <c r="M1541" s="104"/>
      <c r="N1541" s="104"/>
      <c r="O1541" s="104"/>
      <c r="P1541" s="104"/>
      <c r="Q1541" s="104"/>
      <c r="R1541" s="104"/>
      <c r="S1541" s="104"/>
    </row>
    <row r="1542" spans="4:19">
      <c r="D1542" s="104"/>
      <c r="E1542" s="104"/>
      <c r="F1542" s="104"/>
      <c r="G1542" s="104"/>
      <c r="H1542" s="104"/>
      <c r="I1542" s="104"/>
      <c r="J1542" s="104"/>
      <c r="K1542" s="104"/>
      <c r="L1542" s="104"/>
      <c r="M1542" s="104"/>
      <c r="N1542" s="104"/>
      <c r="O1542" s="104"/>
      <c r="P1542" s="104"/>
      <c r="Q1542" s="104"/>
      <c r="R1542" s="104"/>
      <c r="S1542" s="104"/>
    </row>
    <row r="1543" spans="4:19">
      <c r="D1543" s="104"/>
      <c r="E1543" s="104"/>
      <c r="F1543" s="104"/>
      <c r="G1543" s="104"/>
      <c r="H1543" s="104"/>
      <c r="I1543" s="104"/>
      <c r="J1543" s="104"/>
      <c r="K1543" s="104"/>
      <c r="L1543" s="104"/>
      <c r="M1543" s="104"/>
      <c r="N1543" s="104"/>
      <c r="O1543" s="104"/>
      <c r="P1543" s="104"/>
      <c r="Q1543" s="104"/>
      <c r="R1543" s="104"/>
      <c r="S1543" s="104"/>
    </row>
    <row r="1544" spans="4:19">
      <c r="D1544" s="104"/>
      <c r="E1544" s="104"/>
      <c r="F1544" s="104"/>
      <c r="G1544" s="104"/>
      <c r="H1544" s="104"/>
      <c r="I1544" s="104"/>
      <c r="J1544" s="104"/>
      <c r="K1544" s="104"/>
      <c r="L1544" s="104"/>
      <c r="M1544" s="104"/>
      <c r="N1544" s="104"/>
      <c r="O1544" s="104"/>
      <c r="P1544" s="104"/>
      <c r="Q1544" s="104"/>
      <c r="R1544" s="104"/>
      <c r="S1544" s="104"/>
    </row>
    <row r="1545" spans="4:19">
      <c r="D1545" s="104"/>
      <c r="E1545" s="104"/>
      <c r="F1545" s="104"/>
      <c r="G1545" s="104"/>
      <c r="H1545" s="104"/>
      <c r="I1545" s="104"/>
      <c r="J1545" s="104"/>
      <c r="K1545" s="104"/>
      <c r="L1545" s="104"/>
      <c r="M1545" s="104"/>
      <c r="N1545" s="104"/>
      <c r="O1545" s="104"/>
      <c r="P1545" s="104"/>
      <c r="Q1545" s="104"/>
      <c r="R1545" s="104"/>
      <c r="S1545" s="104"/>
    </row>
    <row r="1546" spans="4:19">
      <c r="D1546" s="104"/>
      <c r="E1546" s="104"/>
      <c r="F1546" s="104"/>
      <c r="G1546" s="104"/>
      <c r="H1546" s="104"/>
      <c r="I1546" s="104"/>
      <c r="J1546" s="104"/>
      <c r="K1546" s="104"/>
      <c r="L1546" s="104"/>
      <c r="M1546" s="104"/>
      <c r="N1546" s="104"/>
      <c r="O1546" s="104"/>
      <c r="P1546" s="104"/>
      <c r="Q1546" s="104"/>
      <c r="R1546" s="104"/>
      <c r="S1546" s="104"/>
    </row>
    <row r="1547" spans="4:19">
      <c r="D1547" s="104"/>
      <c r="E1547" s="104"/>
      <c r="F1547" s="104"/>
      <c r="G1547" s="104"/>
      <c r="H1547" s="104"/>
      <c r="I1547" s="104"/>
      <c r="J1547" s="104"/>
      <c r="K1547" s="104"/>
      <c r="L1547" s="104"/>
      <c r="M1547" s="104"/>
      <c r="N1547" s="104"/>
      <c r="O1547" s="104"/>
      <c r="P1547" s="104"/>
      <c r="Q1547" s="104"/>
      <c r="R1547" s="104"/>
      <c r="S1547" s="104"/>
    </row>
    <row r="1548" spans="4:19">
      <c r="D1548" s="104"/>
      <c r="E1548" s="104"/>
      <c r="F1548" s="104"/>
      <c r="G1548" s="104"/>
      <c r="H1548" s="104"/>
      <c r="I1548" s="104"/>
      <c r="J1548" s="104"/>
      <c r="K1548" s="104"/>
      <c r="L1548" s="104"/>
      <c r="M1548" s="104"/>
      <c r="N1548" s="104"/>
      <c r="O1548" s="104"/>
      <c r="P1548" s="104"/>
      <c r="Q1548" s="104"/>
      <c r="R1548" s="104"/>
      <c r="S1548" s="104"/>
    </row>
    <row r="1549" spans="4:19">
      <c r="D1549" s="104"/>
      <c r="E1549" s="104"/>
      <c r="F1549" s="104"/>
      <c r="G1549" s="104"/>
      <c r="H1549" s="104"/>
      <c r="I1549" s="104"/>
      <c r="J1549" s="104"/>
      <c r="K1549" s="104"/>
      <c r="L1549" s="104"/>
      <c r="M1549" s="104"/>
      <c r="N1549" s="104"/>
      <c r="O1549" s="104"/>
      <c r="P1549" s="104"/>
      <c r="Q1549" s="104"/>
      <c r="R1549" s="104"/>
      <c r="S1549" s="104"/>
    </row>
    <row r="1550" spans="4:19">
      <c r="D1550" s="104"/>
      <c r="E1550" s="104"/>
      <c r="F1550" s="104"/>
      <c r="G1550" s="104"/>
      <c r="H1550" s="104"/>
      <c r="I1550" s="104"/>
      <c r="J1550" s="104"/>
      <c r="K1550" s="104"/>
      <c r="L1550" s="104"/>
      <c r="M1550" s="104"/>
      <c r="N1550" s="104"/>
      <c r="O1550" s="104"/>
      <c r="P1550" s="104"/>
      <c r="Q1550" s="104"/>
      <c r="R1550" s="104"/>
      <c r="S1550" s="104"/>
    </row>
    <row r="1551" spans="4:19">
      <c r="D1551" s="104"/>
      <c r="E1551" s="104"/>
      <c r="F1551" s="104"/>
      <c r="G1551" s="104"/>
      <c r="H1551" s="104"/>
      <c r="I1551" s="104"/>
      <c r="J1551" s="104"/>
      <c r="K1551" s="104"/>
      <c r="L1551" s="104"/>
      <c r="M1551" s="104"/>
      <c r="N1551" s="104"/>
      <c r="O1551" s="104"/>
      <c r="P1551" s="104"/>
      <c r="Q1551" s="104"/>
      <c r="R1551" s="104"/>
      <c r="S1551" s="104"/>
    </row>
    <row r="1552" spans="4:19">
      <c r="D1552" s="104"/>
      <c r="E1552" s="104"/>
      <c r="F1552" s="104"/>
      <c r="G1552" s="104"/>
      <c r="H1552" s="104"/>
      <c r="I1552" s="104"/>
      <c r="J1552" s="104"/>
      <c r="K1552" s="104"/>
      <c r="L1552" s="104"/>
      <c r="M1552" s="104"/>
      <c r="N1552" s="104"/>
      <c r="O1552" s="104"/>
      <c r="P1552" s="104"/>
      <c r="Q1552" s="104"/>
      <c r="R1552" s="104"/>
      <c r="S1552" s="104"/>
    </row>
    <row r="1553" spans="4:19">
      <c r="D1553" s="104"/>
      <c r="E1553" s="104"/>
      <c r="F1553" s="104"/>
      <c r="G1553" s="104"/>
      <c r="H1553" s="104"/>
      <c r="I1553" s="104"/>
      <c r="J1553" s="104"/>
      <c r="K1553" s="104"/>
      <c r="L1553" s="104"/>
      <c r="M1553" s="104"/>
      <c r="N1553" s="104"/>
      <c r="O1553" s="104"/>
      <c r="P1553" s="104"/>
      <c r="Q1553" s="104"/>
      <c r="R1553" s="104"/>
      <c r="S1553" s="104"/>
    </row>
    <row r="1554" spans="4:19">
      <c r="D1554" s="104"/>
      <c r="E1554" s="104"/>
      <c r="F1554" s="104"/>
      <c r="G1554" s="104"/>
      <c r="H1554" s="104"/>
      <c r="I1554" s="104"/>
      <c r="J1554" s="104"/>
      <c r="K1554" s="104"/>
      <c r="L1554" s="104"/>
      <c r="M1554" s="104"/>
      <c r="N1554" s="104"/>
      <c r="O1554" s="104"/>
      <c r="P1554" s="104"/>
      <c r="Q1554" s="104"/>
      <c r="R1554" s="104"/>
      <c r="S1554" s="104"/>
    </row>
    <row r="1555" spans="4:19">
      <c r="D1555" s="104"/>
      <c r="E1555" s="104"/>
      <c r="F1555" s="104"/>
      <c r="G1555" s="104"/>
      <c r="H1555" s="104"/>
      <c r="I1555" s="104"/>
      <c r="J1555" s="104"/>
      <c r="K1555" s="104"/>
      <c r="L1555" s="104"/>
      <c r="M1555" s="104"/>
      <c r="N1555" s="104"/>
      <c r="O1555" s="104"/>
      <c r="P1555" s="104"/>
      <c r="Q1555" s="104"/>
      <c r="R1555" s="104"/>
      <c r="S1555" s="104"/>
    </row>
    <row r="1556" spans="4:19">
      <c r="D1556" s="104"/>
      <c r="E1556" s="104"/>
      <c r="F1556" s="104"/>
      <c r="G1556" s="104"/>
      <c r="H1556" s="104"/>
      <c r="I1556" s="104"/>
      <c r="J1556" s="104"/>
      <c r="K1556" s="104"/>
      <c r="L1556" s="104"/>
      <c r="M1556" s="104"/>
      <c r="N1556" s="104"/>
      <c r="O1556" s="104"/>
      <c r="P1556" s="104"/>
      <c r="Q1556" s="104"/>
      <c r="R1556" s="104"/>
      <c r="S1556" s="104"/>
    </row>
    <row r="1557" spans="4:19">
      <c r="D1557" s="104"/>
      <c r="E1557" s="104"/>
      <c r="F1557" s="104"/>
      <c r="G1557" s="104"/>
      <c r="H1557" s="104"/>
      <c r="I1557" s="104"/>
      <c r="J1557" s="104"/>
      <c r="K1557" s="104"/>
      <c r="L1557" s="104"/>
      <c r="M1557" s="104"/>
      <c r="N1557" s="104"/>
      <c r="O1557" s="104"/>
      <c r="P1557" s="104"/>
      <c r="Q1557" s="104"/>
      <c r="R1557" s="104"/>
      <c r="S1557" s="104"/>
    </row>
    <row r="1558" spans="4:19">
      <c r="D1558" s="104"/>
      <c r="E1558" s="104"/>
      <c r="F1558" s="104"/>
      <c r="G1558" s="104"/>
      <c r="H1558" s="104"/>
      <c r="I1558" s="104"/>
      <c r="J1558" s="104"/>
      <c r="K1558" s="104"/>
      <c r="L1558" s="104"/>
      <c r="M1558" s="104"/>
      <c r="N1558" s="104"/>
      <c r="O1558" s="104"/>
      <c r="P1558" s="104"/>
      <c r="Q1558" s="104"/>
      <c r="R1558" s="104"/>
      <c r="S1558" s="104"/>
    </row>
    <row r="1559" spans="4:19">
      <c r="D1559" s="104"/>
      <c r="E1559" s="104"/>
      <c r="F1559" s="104"/>
      <c r="G1559" s="104"/>
      <c r="H1559" s="104"/>
      <c r="I1559" s="104"/>
      <c r="J1559" s="104"/>
      <c r="K1559" s="104"/>
      <c r="L1559" s="104"/>
      <c r="M1559" s="104"/>
      <c r="N1559" s="104"/>
      <c r="O1559" s="104"/>
      <c r="P1559" s="104"/>
      <c r="Q1559" s="104"/>
      <c r="R1559" s="104"/>
      <c r="S1559" s="104"/>
    </row>
    <row r="1560" spans="4:19">
      <c r="D1560" s="104"/>
      <c r="E1560" s="104"/>
      <c r="F1560" s="104"/>
      <c r="G1560" s="104"/>
      <c r="H1560" s="104"/>
      <c r="I1560" s="104"/>
      <c r="J1560" s="104"/>
      <c r="K1560" s="104"/>
      <c r="L1560" s="104"/>
      <c r="M1560" s="104"/>
      <c r="N1560" s="104"/>
      <c r="O1560" s="104"/>
      <c r="P1560" s="104"/>
      <c r="Q1560" s="104"/>
      <c r="R1560" s="104"/>
      <c r="S1560" s="104"/>
    </row>
    <row r="1561" spans="4:19">
      <c r="D1561" s="104"/>
      <c r="E1561" s="104"/>
      <c r="F1561" s="104"/>
      <c r="G1561" s="104"/>
      <c r="H1561" s="104"/>
      <c r="I1561" s="104"/>
      <c r="J1561" s="104"/>
      <c r="K1561" s="104"/>
      <c r="L1561" s="104"/>
      <c r="M1561" s="104"/>
      <c r="N1561" s="104"/>
      <c r="O1561" s="104"/>
      <c r="P1561" s="104"/>
      <c r="Q1561" s="104"/>
      <c r="R1561" s="104"/>
      <c r="S1561" s="104"/>
    </row>
    <row r="1562" spans="4:19">
      <c r="D1562" s="104"/>
      <c r="E1562" s="104"/>
      <c r="F1562" s="104"/>
      <c r="G1562" s="104"/>
      <c r="H1562" s="104"/>
      <c r="I1562" s="104"/>
      <c r="J1562" s="104"/>
      <c r="K1562" s="104"/>
      <c r="L1562" s="104"/>
      <c r="M1562" s="104"/>
      <c r="N1562" s="104"/>
      <c r="O1562" s="104"/>
      <c r="P1562" s="104"/>
      <c r="Q1562" s="104"/>
      <c r="R1562" s="104"/>
      <c r="S1562" s="104"/>
    </row>
    <row r="1563" spans="4:19">
      <c r="D1563" s="104"/>
      <c r="E1563" s="104"/>
      <c r="F1563" s="104"/>
      <c r="G1563" s="104"/>
      <c r="H1563" s="104"/>
      <c r="I1563" s="104"/>
      <c r="J1563" s="104"/>
      <c r="K1563" s="104"/>
      <c r="L1563" s="104"/>
      <c r="M1563" s="104"/>
      <c r="N1563" s="104"/>
      <c r="O1563" s="104"/>
      <c r="P1563" s="104"/>
      <c r="Q1563" s="104"/>
      <c r="R1563" s="104"/>
      <c r="S1563" s="104"/>
    </row>
    <row r="1564" spans="4:19">
      <c r="D1564" s="104"/>
      <c r="E1564" s="104"/>
      <c r="F1564" s="104"/>
      <c r="G1564" s="104"/>
      <c r="H1564" s="104"/>
      <c r="I1564" s="104"/>
      <c r="J1564" s="104"/>
      <c r="K1564" s="104"/>
      <c r="L1564" s="104"/>
      <c r="M1564" s="104"/>
      <c r="N1564" s="104"/>
      <c r="O1564" s="104"/>
      <c r="P1564" s="104"/>
      <c r="Q1564" s="104"/>
      <c r="R1564" s="104"/>
      <c r="S1564" s="104"/>
    </row>
    <row r="1565" spans="4:19">
      <c r="D1565" s="104"/>
      <c r="E1565" s="104"/>
      <c r="F1565" s="104"/>
      <c r="G1565" s="104"/>
      <c r="H1565" s="104"/>
      <c r="I1565" s="104"/>
      <c r="J1565" s="104"/>
      <c r="K1565" s="104"/>
      <c r="L1565" s="104"/>
      <c r="M1565" s="104"/>
      <c r="N1565" s="104"/>
      <c r="O1565" s="104"/>
      <c r="P1565" s="104"/>
      <c r="Q1565" s="104"/>
      <c r="R1565" s="104"/>
      <c r="S1565" s="104"/>
    </row>
    <row r="1566" spans="4:19">
      <c r="D1566" s="104"/>
      <c r="E1566" s="104"/>
      <c r="F1566" s="104"/>
      <c r="G1566" s="104"/>
      <c r="H1566" s="104"/>
      <c r="I1566" s="104"/>
      <c r="J1566" s="104"/>
      <c r="K1566" s="104"/>
      <c r="L1566" s="104"/>
      <c r="M1566" s="104"/>
      <c r="N1566" s="104"/>
      <c r="O1566" s="104"/>
      <c r="P1566" s="104"/>
      <c r="Q1566" s="104"/>
      <c r="R1566" s="104"/>
      <c r="S1566" s="104"/>
    </row>
    <row r="1567" spans="4:19">
      <c r="D1567" s="104"/>
      <c r="E1567" s="104"/>
      <c r="F1567" s="104"/>
      <c r="G1567" s="104"/>
      <c r="H1567" s="104"/>
      <c r="I1567" s="104"/>
      <c r="J1567" s="104"/>
      <c r="K1567" s="104"/>
      <c r="L1567" s="104"/>
      <c r="M1567" s="104"/>
      <c r="N1567" s="104"/>
      <c r="O1567" s="104"/>
      <c r="P1567" s="104"/>
      <c r="Q1567" s="104"/>
      <c r="R1567" s="104"/>
      <c r="S1567" s="104"/>
    </row>
    <row r="1568" spans="4:19">
      <c r="D1568" s="104"/>
      <c r="E1568" s="104"/>
      <c r="F1568" s="104"/>
      <c r="G1568" s="104"/>
      <c r="H1568" s="104"/>
      <c r="I1568" s="104"/>
      <c r="J1568" s="104"/>
      <c r="K1568" s="104"/>
      <c r="L1568" s="104"/>
      <c r="M1568" s="104"/>
      <c r="N1568" s="104"/>
      <c r="O1568" s="104"/>
      <c r="P1568" s="104"/>
      <c r="Q1568" s="104"/>
      <c r="R1568" s="104"/>
      <c r="S1568" s="104"/>
    </row>
    <row r="1569" spans="4:19">
      <c r="D1569" s="104"/>
      <c r="E1569" s="104"/>
      <c r="F1569" s="104"/>
      <c r="G1569" s="104"/>
      <c r="H1569" s="104"/>
      <c r="I1569" s="104"/>
      <c r="J1569" s="104"/>
      <c r="K1569" s="104"/>
      <c r="L1569" s="104"/>
      <c r="M1569" s="104"/>
      <c r="N1569" s="104"/>
      <c r="O1569" s="104"/>
      <c r="P1569" s="104"/>
      <c r="Q1569" s="104"/>
      <c r="R1569" s="104"/>
      <c r="S1569" s="104"/>
    </row>
    <row r="1570" spans="4:19">
      <c r="D1570" s="104"/>
      <c r="E1570" s="104"/>
      <c r="F1570" s="104"/>
      <c r="G1570" s="104"/>
      <c r="H1570" s="104"/>
      <c r="I1570" s="104"/>
      <c r="J1570" s="104"/>
      <c r="K1570" s="104"/>
      <c r="L1570" s="104"/>
      <c r="M1570" s="104"/>
      <c r="N1570" s="104"/>
      <c r="O1570" s="104"/>
      <c r="P1570" s="104"/>
      <c r="Q1570" s="104"/>
      <c r="R1570" s="104"/>
      <c r="S1570" s="104"/>
    </row>
    <row r="1571" spans="4:19">
      <c r="D1571" s="104"/>
      <c r="E1571" s="104"/>
      <c r="F1571" s="104"/>
      <c r="G1571" s="104"/>
      <c r="H1571" s="104"/>
      <c r="I1571" s="104"/>
      <c r="J1571" s="104"/>
      <c r="K1571" s="104"/>
      <c r="L1571" s="104"/>
      <c r="M1571" s="104"/>
      <c r="N1571" s="104"/>
      <c r="O1571" s="104"/>
      <c r="P1571" s="104"/>
      <c r="Q1571" s="104"/>
      <c r="R1571" s="104"/>
      <c r="S1571" s="104"/>
    </row>
    <row r="1572" spans="4:19">
      <c r="D1572" s="104"/>
      <c r="E1572" s="104"/>
      <c r="F1572" s="104"/>
      <c r="G1572" s="104"/>
      <c r="H1572" s="104"/>
      <c r="I1572" s="104"/>
      <c r="J1572" s="104"/>
      <c r="K1572" s="104"/>
      <c r="L1572" s="104"/>
      <c r="M1572" s="104"/>
      <c r="N1572" s="104"/>
      <c r="O1572" s="104"/>
      <c r="P1572" s="104"/>
      <c r="Q1572" s="104"/>
      <c r="R1572" s="104"/>
      <c r="S1572" s="104"/>
    </row>
    <row r="1573" spans="4:19">
      <c r="D1573" s="104"/>
      <c r="E1573" s="104"/>
      <c r="F1573" s="104"/>
      <c r="G1573" s="104"/>
      <c r="H1573" s="104"/>
      <c r="I1573" s="104"/>
      <c r="J1573" s="104"/>
      <c r="K1573" s="104"/>
      <c r="L1573" s="104"/>
      <c r="M1573" s="104"/>
      <c r="N1573" s="104"/>
      <c r="O1573" s="104"/>
      <c r="P1573" s="104"/>
      <c r="Q1573" s="104"/>
      <c r="R1573" s="104"/>
      <c r="S1573" s="104"/>
    </row>
    <row r="1574" spans="4:19">
      <c r="D1574" s="104"/>
      <c r="E1574" s="104"/>
      <c r="F1574" s="104"/>
      <c r="G1574" s="104"/>
      <c r="H1574" s="104"/>
      <c r="I1574" s="104"/>
      <c r="J1574" s="104"/>
      <c r="K1574" s="104"/>
      <c r="L1574" s="104"/>
      <c r="M1574" s="104"/>
      <c r="N1574" s="104"/>
      <c r="O1574" s="104"/>
      <c r="P1574" s="104"/>
      <c r="Q1574" s="104"/>
      <c r="R1574" s="104"/>
      <c r="S1574" s="104"/>
    </row>
    <row r="1575" spans="4:19">
      <c r="D1575" s="104"/>
      <c r="E1575" s="104"/>
      <c r="F1575" s="104"/>
      <c r="G1575" s="104"/>
      <c r="H1575" s="104"/>
      <c r="I1575" s="104"/>
      <c r="J1575" s="104"/>
      <c r="K1575" s="104"/>
      <c r="L1575" s="104"/>
      <c r="M1575" s="104"/>
      <c r="N1575" s="104"/>
      <c r="O1575" s="104"/>
      <c r="P1575" s="104"/>
      <c r="Q1575" s="104"/>
      <c r="R1575" s="104"/>
      <c r="S1575" s="104"/>
    </row>
    <row r="1576" spans="4:19">
      <c r="D1576" s="104"/>
      <c r="E1576" s="104"/>
      <c r="F1576" s="104"/>
      <c r="G1576" s="104"/>
      <c r="H1576" s="104"/>
      <c r="I1576" s="104"/>
      <c r="J1576" s="104"/>
      <c r="K1576" s="104"/>
      <c r="L1576" s="104"/>
      <c r="M1576" s="104"/>
      <c r="N1576" s="104"/>
      <c r="O1576" s="104"/>
      <c r="P1576" s="104"/>
      <c r="Q1576" s="104"/>
      <c r="R1576" s="104"/>
      <c r="S1576" s="104"/>
    </row>
    <row r="1577" spans="4:19">
      <c r="D1577" s="104"/>
      <c r="E1577" s="104"/>
      <c r="F1577" s="104"/>
      <c r="G1577" s="104"/>
      <c r="H1577" s="104"/>
      <c r="I1577" s="104"/>
      <c r="J1577" s="104"/>
      <c r="K1577" s="104"/>
      <c r="L1577" s="104"/>
      <c r="M1577" s="104"/>
      <c r="N1577" s="104"/>
      <c r="O1577" s="104"/>
      <c r="P1577" s="104"/>
      <c r="Q1577" s="104"/>
      <c r="R1577" s="104"/>
      <c r="S1577" s="104"/>
    </row>
    <row r="1578" spans="4:19">
      <c r="D1578" s="104"/>
      <c r="E1578" s="104"/>
      <c r="F1578" s="104"/>
      <c r="G1578" s="104"/>
      <c r="H1578" s="104"/>
      <c r="I1578" s="104"/>
      <c r="J1578" s="104"/>
      <c r="K1578" s="104"/>
      <c r="L1578" s="104"/>
      <c r="M1578" s="104"/>
      <c r="N1578" s="104"/>
      <c r="O1578" s="104"/>
      <c r="P1578" s="104"/>
      <c r="Q1578" s="104"/>
      <c r="R1578" s="104"/>
      <c r="S1578" s="104"/>
    </row>
    <row r="1579" spans="4:19">
      <c r="D1579" s="104"/>
      <c r="E1579" s="104"/>
      <c r="F1579" s="104"/>
      <c r="G1579" s="104"/>
      <c r="H1579" s="104"/>
      <c r="I1579" s="104"/>
      <c r="J1579" s="104"/>
      <c r="K1579" s="104"/>
      <c r="L1579" s="104"/>
      <c r="M1579" s="104"/>
      <c r="N1579" s="104"/>
      <c r="O1579" s="104"/>
      <c r="P1579" s="104"/>
      <c r="Q1579" s="104"/>
      <c r="R1579" s="104"/>
      <c r="S1579" s="104"/>
    </row>
    <row r="1580" spans="4:19">
      <c r="D1580" s="104"/>
      <c r="E1580" s="104"/>
      <c r="F1580" s="104"/>
      <c r="G1580" s="104"/>
      <c r="H1580" s="104"/>
      <c r="I1580" s="104"/>
      <c r="J1580" s="104"/>
      <c r="K1580" s="104"/>
      <c r="L1580" s="104"/>
      <c r="M1580" s="104"/>
      <c r="N1580" s="104"/>
      <c r="O1580" s="104"/>
      <c r="P1580" s="104"/>
      <c r="Q1580" s="104"/>
      <c r="R1580" s="104"/>
      <c r="S1580" s="104"/>
    </row>
    <row r="1581" spans="4:19">
      <c r="D1581" s="104"/>
      <c r="E1581" s="104"/>
      <c r="F1581" s="104"/>
      <c r="G1581" s="104"/>
      <c r="H1581" s="104"/>
      <c r="I1581" s="104"/>
      <c r="J1581" s="104"/>
      <c r="K1581" s="104"/>
      <c r="L1581" s="104"/>
      <c r="M1581" s="104"/>
      <c r="N1581" s="104"/>
      <c r="O1581" s="104"/>
      <c r="P1581" s="104"/>
      <c r="Q1581" s="104"/>
      <c r="R1581" s="104"/>
      <c r="S1581" s="104"/>
    </row>
    <row r="1582" spans="4:19">
      <c r="D1582" s="104"/>
      <c r="E1582" s="104"/>
      <c r="F1582" s="104"/>
      <c r="G1582" s="104"/>
      <c r="H1582" s="104"/>
      <c r="I1582" s="104"/>
      <c r="J1582" s="104"/>
      <c r="K1582" s="104"/>
      <c r="L1582" s="104"/>
      <c r="M1582" s="104"/>
      <c r="N1582" s="104"/>
      <c r="O1582" s="104"/>
      <c r="P1582" s="104"/>
      <c r="Q1582" s="104"/>
      <c r="R1582" s="104"/>
      <c r="S1582" s="104"/>
    </row>
    <row r="1583" spans="4:19">
      <c r="D1583" s="104"/>
      <c r="E1583" s="104"/>
      <c r="F1583" s="104"/>
      <c r="G1583" s="104"/>
      <c r="H1583" s="104"/>
      <c r="I1583" s="104"/>
      <c r="J1583" s="104"/>
      <c r="K1583" s="104"/>
      <c r="L1583" s="104"/>
      <c r="M1583" s="104"/>
      <c r="N1583" s="104"/>
      <c r="O1583" s="104"/>
      <c r="P1583" s="104"/>
      <c r="Q1583" s="104"/>
      <c r="R1583" s="104"/>
      <c r="S1583" s="104"/>
    </row>
    <row r="1584" spans="4:19">
      <c r="D1584" s="104"/>
      <c r="E1584" s="104"/>
      <c r="F1584" s="104"/>
      <c r="G1584" s="104"/>
      <c r="H1584" s="104"/>
      <c r="I1584" s="104"/>
      <c r="J1584" s="104"/>
      <c r="K1584" s="104"/>
      <c r="L1584" s="104"/>
      <c r="M1584" s="104"/>
      <c r="N1584" s="104"/>
      <c r="O1584" s="104"/>
      <c r="P1584" s="104"/>
      <c r="Q1584" s="104"/>
      <c r="R1584" s="104"/>
      <c r="S1584" s="104"/>
    </row>
    <row r="1585" spans="4:19">
      <c r="D1585" s="104"/>
      <c r="E1585" s="104"/>
      <c r="F1585" s="104"/>
      <c r="G1585" s="104"/>
      <c r="H1585" s="104"/>
      <c r="I1585" s="104"/>
      <c r="J1585" s="104"/>
      <c r="K1585" s="104"/>
      <c r="L1585" s="104"/>
      <c r="M1585" s="104"/>
      <c r="N1585" s="104"/>
      <c r="O1585" s="104"/>
      <c r="P1585" s="104"/>
      <c r="Q1585" s="104"/>
      <c r="R1585" s="104"/>
      <c r="S1585" s="104"/>
    </row>
    <row r="1586" spans="4:19">
      <c r="D1586" s="104"/>
      <c r="E1586" s="104"/>
      <c r="F1586" s="104"/>
      <c r="G1586" s="104"/>
      <c r="H1586" s="104"/>
      <c r="I1586" s="104"/>
      <c r="J1586" s="104"/>
      <c r="K1586" s="104"/>
      <c r="L1586" s="104"/>
      <c r="M1586" s="104"/>
      <c r="N1586" s="104"/>
      <c r="O1586" s="104"/>
      <c r="P1586" s="104"/>
      <c r="Q1586" s="104"/>
      <c r="R1586" s="104"/>
      <c r="S1586" s="104"/>
    </row>
    <row r="1587" spans="4:19">
      <c r="D1587" s="104"/>
      <c r="E1587" s="104"/>
      <c r="F1587" s="104"/>
      <c r="G1587" s="104"/>
      <c r="H1587" s="104"/>
      <c r="I1587" s="104"/>
      <c r="J1587" s="104"/>
      <c r="K1587" s="104"/>
      <c r="L1587" s="104"/>
      <c r="M1587" s="104"/>
      <c r="N1587" s="104"/>
      <c r="O1587" s="104"/>
      <c r="P1587" s="104"/>
      <c r="Q1587" s="104"/>
      <c r="R1587" s="104"/>
      <c r="S1587" s="104"/>
    </row>
    <row r="1588" spans="4:19">
      <c r="D1588" s="104"/>
      <c r="E1588" s="104"/>
      <c r="F1588" s="104"/>
      <c r="G1588" s="104"/>
      <c r="H1588" s="104"/>
      <c r="I1588" s="104"/>
      <c r="J1588" s="104"/>
      <c r="K1588" s="104"/>
      <c r="L1588" s="104"/>
      <c r="M1588" s="104"/>
      <c r="N1588" s="104"/>
      <c r="O1588" s="104"/>
      <c r="P1588" s="104"/>
      <c r="Q1588" s="104"/>
      <c r="R1588" s="104"/>
      <c r="S1588" s="104"/>
    </row>
    <row r="1589" spans="4:19">
      <c r="D1589" s="104"/>
      <c r="E1589" s="104"/>
      <c r="F1589" s="104"/>
      <c r="G1589" s="104"/>
      <c r="H1589" s="104"/>
      <c r="I1589" s="104"/>
      <c r="J1589" s="104"/>
      <c r="K1589" s="104"/>
      <c r="L1589" s="104"/>
      <c r="M1589" s="104"/>
      <c r="N1589" s="104"/>
      <c r="O1589" s="104"/>
      <c r="P1589" s="104"/>
      <c r="Q1589" s="104"/>
      <c r="R1589" s="104"/>
      <c r="S1589" s="104"/>
    </row>
    <row r="1590" spans="4:19">
      <c r="D1590" s="104"/>
      <c r="E1590" s="104"/>
      <c r="F1590" s="104"/>
      <c r="G1590" s="104"/>
      <c r="H1590" s="104"/>
      <c r="I1590" s="104"/>
      <c r="J1590" s="104"/>
      <c r="K1590" s="104"/>
      <c r="L1590" s="104"/>
      <c r="M1590" s="104"/>
      <c r="N1590" s="104"/>
      <c r="O1590" s="104"/>
      <c r="P1590" s="104"/>
      <c r="Q1590" s="104"/>
      <c r="R1590" s="104"/>
      <c r="S1590" s="104"/>
    </row>
    <row r="1591" spans="4:19">
      <c r="D1591" s="104"/>
      <c r="E1591" s="104"/>
      <c r="F1591" s="104"/>
      <c r="G1591" s="104"/>
      <c r="H1591" s="104"/>
      <c r="I1591" s="104"/>
      <c r="J1591" s="104"/>
      <c r="K1591" s="104"/>
      <c r="L1591" s="104"/>
      <c r="M1591" s="104"/>
      <c r="N1591" s="104"/>
      <c r="O1591" s="104"/>
      <c r="P1591" s="104"/>
      <c r="Q1591" s="104"/>
      <c r="R1591" s="104"/>
      <c r="S1591" s="104"/>
    </row>
    <row r="1592" spans="4:19">
      <c r="D1592" s="104"/>
      <c r="E1592" s="104"/>
      <c r="F1592" s="104"/>
      <c r="G1592" s="104"/>
      <c r="H1592" s="104"/>
      <c r="I1592" s="104"/>
      <c r="J1592" s="104"/>
      <c r="K1592" s="104"/>
      <c r="L1592" s="104"/>
      <c r="M1592" s="104"/>
      <c r="N1592" s="104"/>
      <c r="O1592" s="104"/>
      <c r="P1592" s="104"/>
      <c r="Q1592" s="104"/>
      <c r="R1592" s="104"/>
      <c r="S1592" s="104"/>
    </row>
    <row r="1593" spans="4:19">
      <c r="D1593" s="104"/>
      <c r="E1593" s="104"/>
      <c r="F1593" s="104"/>
      <c r="G1593" s="104"/>
      <c r="H1593" s="104"/>
      <c r="I1593" s="104"/>
      <c r="J1593" s="104"/>
      <c r="K1593" s="104"/>
      <c r="L1593" s="104"/>
      <c r="M1593" s="104"/>
      <c r="N1593" s="104"/>
      <c r="O1593" s="104"/>
      <c r="P1593" s="104"/>
      <c r="Q1593" s="104"/>
      <c r="R1593" s="104"/>
      <c r="S1593" s="104"/>
    </row>
    <row r="1594" spans="4:19">
      <c r="D1594" s="104"/>
      <c r="E1594" s="104"/>
      <c r="F1594" s="104"/>
      <c r="G1594" s="104"/>
      <c r="H1594" s="104"/>
      <c r="I1594" s="104"/>
      <c r="J1594" s="104"/>
      <c r="K1594" s="104"/>
      <c r="L1594" s="104"/>
      <c r="M1594" s="104"/>
      <c r="N1594" s="104"/>
      <c r="O1594" s="104"/>
      <c r="P1594" s="104"/>
      <c r="Q1594" s="104"/>
      <c r="R1594" s="104"/>
      <c r="S1594" s="104"/>
    </row>
    <row r="1595" spans="4:19">
      <c r="D1595" s="104"/>
      <c r="E1595" s="104"/>
      <c r="F1595" s="104"/>
      <c r="G1595" s="104"/>
      <c r="H1595" s="104"/>
      <c r="I1595" s="104"/>
      <c r="J1595" s="104"/>
      <c r="K1595" s="104"/>
      <c r="L1595" s="104"/>
      <c r="M1595" s="104"/>
      <c r="N1595" s="104"/>
      <c r="O1595" s="104"/>
      <c r="P1595" s="104"/>
      <c r="Q1595" s="104"/>
      <c r="R1595" s="104"/>
      <c r="S1595" s="104"/>
    </row>
    <row r="1596" spans="4:19">
      <c r="D1596" s="104"/>
      <c r="E1596" s="104"/>
      <c r="F1596" s="104"/>
      <c r="G1596" s="104"/>
      <c r="H1596" s="104"/>
      <c r="I1596" s="104"/>
      <c r="J1596" s="104"/>
      <c r="K1596" s="104"/>
      <c r="L1596" s="104"/>
      <c r="M1596" s="104"/>
      <c r="N1596" s="104"/>
      <c r="O1596" s="104"/>
      <c r="P1596" s="104"/>
      <c r="Q1596" s="104"/>
      <c r="R1596" s="104"/>
      <c r="S1596" s="104"/>
    </row>
    <row r="1597" spans="4:19">
      <c r="D1597" s="104"/>
      <c r="E1597" s="104"/>
      <c r="F1597" s="104"/>
      <c r="G1597" s="104"/>
      <c r="H1597" s="104"/>
      <c r="I1597" s="104"/>
      <c r="J1597" s="104"/>
      <c r="K1597" s="104"/>
      <c r="L1597" s="104"/>
      <c r="M1597" s="104"/>
      <c r="N1597" s="104"/>
      <c r="O1597" s="104"/>
      <c r="P1597" s="104"/>
      <c r="Q1597" s="104"/>
      <c r="R1597" s="104"/>
      <c r="S1597" s="104"/>
    </row>
    <row r="1598" spans="4:19">
      <c r="D1598" s="104"/>
      <c r="E1598" s="104"/>
      <c r="F1598" s="104"/>
      <c r="G1598" s="104"/>
      <c r="H1598" s="104"/>
      <c r="I1598" s="104"/>
      <c r="J1598" s="104"/>
      <c r="K1598" s="104"/>
      <c r="L1598" s="104"/>
      <c r="M1598" s="104"/>
      <c r="N1598" s="104"/>
      <c r="O1598" s="104"/>
      <c r="P1598" s="104"/>
      <c r="Q1598" s="104"/>
      <c r="R1598" s="104"/>
      <c r="S1598" s="104"/>
    </row>
    <row r="1599" spans="4:19">
      <c r="D1599" s="104"/>
      <c r="E1599" s="104"/>
      <c r="F1599" s="104"/>
      <c r="G1599" s="104"/>
      <c r="H1599" s="104"/>
      <c r="I1599" s="104"/>
      <c r="J1599" s="104"/>
      <c r="K1599" s="104"/>
      <c r="L1599" s="104"/>
      <c r="M1599" s="104"/>
      <c r="N1599" s="104"/>
      <c r="O1599" s="104"/>
      <c r="P1599" s="104"/>
      <c r="Q1599" s="104"/>
      <c r="R1599" s="104"/>
      <c r="S1599" s="104"/>
    </row>
    <row r="1600" spans="4:19">
      <c r="D1600" s="104"/>
      <c r="E1600" s="104"/>
      <c r="F1600" s="104"/>
      <c r="G1600" s="104"/>
      <c r="H1600" s="104"/>
      <c r="I1600" s="104"/>
      <c r="J1600" s="104"/>
      <c r="K1600" s="104"/>
      <c r="L1600" s="104"/>
      <c r="M1600" s="104"/>
      <c r="N1600" s="104"/>
      <c r="O1600" s="104"/>
      <c r="P1600" s="104"/>
      <c r="Q1600" s="104"/>
      <c r="R1600" s="104"/>
      <c r="S1600" s="104"/>
    </row>
    <row r="1601" spans="4:19">
      <c r="D1601" s="104"/>
      <c r="E1601" s="104"/>
      <c r="F1601" s="104"/>
      <c r="G1601" s="104"/>
      <c r="H1601" s="104"/>
      <c r="I1601" s="104"/>
      <c r="J1601" s="104"/>
      <c r="K1601" s="104"/>
      <c r="L1601" s="104"/>
      <c r="M1601" s="104"/>
      <c r="N1601" s="104"/>
      <c r="O1601" s="104"/>
      <c r="P1601" s="104"/>
      <c r="Q1601" s="104"/>
      <c r="R1601" s="104"/>
      <c r="S1601" s="104"/>
    </row>
    <row r="1602" spans="4:19">
      <c r="D1602" s="104"/>
      <c r="E1602" s="104"/>
      <c r="F1602" s="104"/>
      <c r="G1602" s="104"/>
      <c r="H1602" s="104"/>
      <c r="I1602" s="104"/>
      <c r="J1602" s="104"/>
      <c r="K1602" s="104"/>
      <c r="L1602" s="104"/>
      <c r="M1602" s="104"/>
      <c r="N1602" s="104"/>
      <c r="O1602" s="104"/>
      <c r="P1602" s="104"/>
      <c r="Q1602" s="104"/>
      <c r="R1602" s="104"/>
      <c r="S1602" s="104"/>
    </row>
    <row r="1603" spans="4:19">
      <c r="D1603" s="104"/>
      <c r="E1603" s="104"/>
      <c r="F1603" s="104"/>
      <c r="G1603" s="104"/>
      <c r="H1603" s="104"/>
      <c r="I1603" s="104"/>
      <c r="J1603" s="104"/>
      <c r="K1603" s="104"/>
      <c r="L1603" s="104"/>
      <c r="M1603" s="104"/>
      <c r="N1603" s="104"/>
      <c r="O1603" s="104"/>
      <c r="P1603" s="104"/>
      <c r="Q1603" s="104"/>
      <c r="R1603" s="104"/>
      <c r="S1603" s="104"/>
    </row>
    <row r="1604" spans="4:19">
      <c r="D1604" s="104"/>
      <c r="E1604" s="104"/>
      <c r="F1604" s="104"/>
      <c r="G1604" s="104"/>
      <c r="H1604" s="104"/>
      <c r="I1604" s="104"/>
      <c r="J1604" s="104"/>
      <c r="K1604" s="104"/>
      <c r="L1604" s="104"/>
      <c r="M1604" s="104"/>
      <c r="N1604" s="104"/>
      <c r="O1604" s="104"/>
      <c r="P1604" s="104"/>
      <c r="Q1604" s="104"/>
      <c r="R1604" s="104"/>
      <c r="S1604" s="104"/>
    </row>
    <row r="1605" spans="4:19">
      <c r="D1605" s="104"/>
      <c r="E1605" s="104"/>
      <c r="F1605" s="104"/>
      <c r="G1605" s="104"/>
      <c r="H1605" s="104"/>
      <c r="I1605" s="104"/>
      <c r="J1605" s="104"/>
      <c r="K1605" s="104"/>
      <c r="L1605" s="104"/>
      <c r="M1605" s="104"/>
      <c r="N1605" s="104"/>
      <c r="O1605" s="104"/>
      <c r="P1605" s="104"/>
      <c r="Q1605" s="104"/>
      <c r="R1605" s="104"/>
      <c r="S1605" s="104"/>
    </row>
    <row r="1606" spans="4:19">
      <c r="D1606" s="104"/>
      <c r="E1606" s="104"/>
      <c r="F1606" s="104"/>
      <c r="G1606" s="104"/>
      <c r="H1606" s="104"/>
      <c r="I1606" s="104"/>
      <c r="J1606" s="104"/>
      <c r="K1606" s="104"/>
      <c r="L1606" s="104"/>
      <c r="M1606" s="104"/>
      <c r="N1606" s="104"/>
      <c r="O1606" s="104"/>
      <c r="P1606" s="104"/>
      <c r="Q1606" s="104"/>
      <c r="R1606" s="104"/>
      <c r="S1606" s="104"/>
    </row>
    <row r="1607" spans="4:19">
      <c r="D1607" s="104"/>
      <c r="E1607" s="104"/>
      <c r="F1607" s="104"/>
      <c r="G1607" s="104"/>
      <c r="H1607" s="104"/>
      <c r="I1607" s="104"/>
      <c r="J1607" s="104"/>
      <c r="K1607" s="104"/>
      <c r="L1607" s="104"/>
      <c r="M1607" s="104"/>
      <c r="N1607" s="104"/>
      <c r="O1607" s="104"/>
      <c r="P1607" s="104"/>
      <c r="Q1607" s="104"/>
      <c r="R1607" s="104"/>
      <c r="S1607" s="104"/>
    </row>
    <row r="1608" spans="4:19">
      <c r="D1608" s="104"/>
      <c r="E1608" s="104"/>
      <c r="F1608" s="104"/>
      <c r="G1608" s="104"/>
      <c r="H1608" s="104"/>
      <c r="I1608" s="104"/>
      <c r="J1608" s="104"/>
      <c r="K1608" s="104"/>
      <c r="L1608" s="104"/>
      <c r="M1608" s="104"/>
      <c r="N1608" s="104"/>
      <c r="O1608" s="104"/>
      <c r="P1608" s="104"/>
      <c r="Q1608" s="104"/>
      <c r="R1608" s="104"/>
      <c r="S1608" s="104"/>
    </row>
    <row r="1609" spans="4:19">
      <c r="D1609" s="104"/>
      <c r="E1609" s="104"/>
      <c r="F1609" s="104"/>
      <c r="G1609" s="104"/>
      <c r="H1609" s="104"/>
      <c r="I1609" s="104"/>
      <c r="J1609" s="104"/>
      <c r="K1609" s="104"/>
      <c r="L1609" s="104"/>
      <c r="M1609" s="104"/>
      <c r="N1609" s="104"/>
      <c r="O1609" s="104"/>
      <c r="P1609" s="104"/>
      <c r="Q1609" s="104"/>
      <c r="R1609" s="104"/>
      <c r="S1609" s="104"/>
    </row>
    <row r="1610" spans="4:19">
      <c r="D1610" s="104"/>
      <c r="E1610" s="104"/>
      <c r="F1610" s="104"/>
      <c r="G1610" s="104"/>
      <c r="H1610" s="104"/>
      <c r="I1610" s="104"/>
      <c r="J1610" s="104"/>
      <c r="K1610" s="104"/>
      <c r="L1610" s="104"/>
      <c r="M1610" s="104"/>
      <c r="N1610" s="104"/>
      <c r="O1610" s="104"/>
      <c r="P1610" s="104"/>
      <c r="Q1610" s="104"/>
      <c r="R1610" s="104"/>
      <c r="S1610" s="104"/>
    </row>
    <row r="1611" spans="4:19">
      <c r="D1611" s="104"/>
      <c r="E1611" s="104"/>
      <c r="F1611" s="104"/>
      <c r="G1611" s="104"/>
      <c r="H1611" s="104"/>
      <c r="I1611" s="104"/>
      <c r="J1611" s="104"/>
      <c r="K1611" s="104"/>
      <c r="L1611" s="104"/>
      <c r="M1611" s="104"/>
      <c r="N1611" s="104"/>
      <c r="O1611" s="104"/>
      <c r="P1611" s="104"/>
      <c r="Q1611" s="104"/>
      <c r="R1611" s="104"/>
      <c r="S1611" s="104"/>
    </row>
    <row r="1612" spans="4:19">
      <c r="D1612" s="104"/>
      <c r="E1612" s="104"/>
      <c r="F1612" s="104"/>
      <c r="G1612" s="104"/>
      <c r="H1612" s="104"/>
      <c r="I1612" s="104"/>
      <c r="J1612" s="104"/>
      <c r="K1612" s="104"/>
      <c r="L1612" s="104"/>
      <c r="M1612" s="104"/>
      <c r="N1612" s="104"/>
      <c r="O1612" s="104"/>
      <c r="P1612" s="104"/>
      <c r="Q1612" s="104"/>
      <c r="R1612" s="104"/>
      <c r="S1612" s="104"/>
    </row>
    <row r="1613" spans="4:19">
      <c r="D1613" s="104"/>
      <c r="E1613" s="104"/>
      <c r="F1613" s="104"/>
      <c r="G1613" s="104"/>
      <c r="H1613" s="104"/>
      <c r="I1613" s="104"/>
      <c r="J1613" s="104"/>
      <c r="K1613" s="104"/>
      <c r="L1613" s="104"/>
      <c r="M1613" s="104"/>
      <c r="N1613" s="104"/>
      <c r="O1613" s="104"/>
      <c r="P1613" s="104"/>
      <c r="Q1613" s="104"/>
      <c r="R1613" s="104"/>
      <c r="S1613" s="104"/>
    </row>
    <row r="1614" spans="4:19">
      <c r="D1614" s="104"/>
      <c r="E1614" s="104"/>
      <c r="F1614" s="104"/>
      <c r="G1614" s="104"/>
      <c r="H1614" s="104"/>
      <c r="I1614" s="104"/>
      <c r="J1614" s="104"/>
      <c r="K1614" s="104"/>
      <c r="L1614" s="104"/>
      <c r="M1614" s="104"/>
      <c r="N1614" s="104"/>
      <c r="O1614" s="104"/>
      <c r="P1614" s="104"/>
      <c r="Q1614" s="104"/>
      <c r="R1614" s="104"/>
      <c r="S1614" s="104"/>
    </row>
    <row r="1615" spans="4:19">
      <c r="D1615" s="104"/>
      <c r="E1615" s="104"/>
      <c r="F1615" s="104"/>
      <c r="G1615" s="104"/>
      <c r="H1615" s="104"/>
      <c r="I1615" s="104"/>
      <c r="J1615" s="104"/>
      <c r="K1615" s="104"/>
      <c r="L1615" s="104"/>
      <c r="M1615" s="104"/>
      <c r="N1615" s="104"/>
      <c r="O1615" s="104"/>
      <c r="P1615" s="104"/>
      <c r="Q1615" s="104"/>
      <c r="R1615" s="104"/>
      <c r="S1615" s="104"/>
    </row>
    <row r="1616" spans="4:19">
      <c r="D1616" s="104"/>
      <c r="E1616" s="104"/>
      <c r="F1616" s="104"/>
      <c r="G1616" s="104"/>
      <c r="H1616" s="104"/>
      <c r="I1616" s="104"/>
      <c r="J1616" s="104"/>
      <c r="K1616" s="104"/>
      <c r="L1616" s="104"/>
      <c r="M1616" s="104"/>
      <c r="N1616" s="104"/>
      <c r="O1616" s="104"/>
      <c r="P1616" s="104"/>
      <c r="Q1616" s="104"/>
      <c r="R1616" s="104"/>
      <c r="S1616" s="104"/>
    </row>
    <row r="1617" spans="4:19">
      <c r="D1617" s="104"/>
      <c r="E1617" s="104"/>
      <c r="F1617" s="104"/>
      <c r="G1617" s="104"/>
      <c r="H1617" s="104"/>
      <c r="I1617" s="104"/>
      <c r="J1617" s="104"/>
      <c r="K1617" s="104"/>
      <c r="L1617" s="104"/>
      <c r="M1617" s="104"/>
      <c r="N1617" s="104"/>
      <c r="O1617" s="104"/>
      <c r="P1617" s="104"/>
      <c r="Q1617" s="104"/>
      <c r="R1617" s="104"/>
      <c r="S1617" s="104"/>
    </row>
    <row r="1618" spans="4:19">
      <c r="D1618" s="104"/>
      <c r="E1618" s="104"/>
      <c r="F1618" s="104"/>
      <c r="G1618" s="104"/>
      <c r="H1618" s="104"/>
      <c r="I1618" s="104"/>
      <c r="J1618" s="104"/>
      <c r="K1618" s="104"/>
      <c r="L1618" s="104"/>
      <c r="M1618" s="104"/>
      <c r="N1618" s="104"/>
      <c r="O1618" s="104"/>
      <c r="P1618" s="104"/>
      <c r="Q1618" s="104"/>
      <c r="R1618" s="104"/>
      <c r="S1618" s="104"/>
    </row>
    <row r="1619" spans="4:19">
      <c r="D1619" s="104"/>
      <c r="E1619" s="104"/>
      <c r="F1619" s="104"/>
      <c r="G1619" s="104"/>
      <c r="H1619" s="104"/>
      <c r="I1619" s="104"/>
      <c r="J1619" s="104"/>
      <c r="K1619" s="104"/>
      <c r="L1619" s="104"/>
      <c r="M1619" s="104"/>
      <c r="N1619" s="104"/>
      <c r="O1619" s="104"/>
      <c r="P1619" s="104"/>
      <c r="Q1619" s="104"/>
      <c r="R1619" s="104"/>
      <c r="S1619" s="104"/>
    </row>
    <row r="1620" spans="4:19">
      <c r="D1620" s="104"/>
      <c r="E1620" s="104"/>
      <c r="F1620" s="104"/>
      <c r="G1620" s="104"/>
      <c r="H1620" s="104"/>
      <c r="I1620" s="104"/>
      <c r="J1620" s="104"/>
      <c r="K1620" s="104"/>
      <c r="L1620" s="104"/>
      <c r="M1620" s="104"/>
      <c r="N1620" s="104"/>
      <c r="O1620" s="104"/>
      <c r="P1620" s="104"/>
      <c r="Q1620" s="104"/>
      <c r="R1620" s="104"/>
      <c r="S1620" s="104"/>
    </row>
    <row r="1621" spans="4:19">
      <c r="D1621" s="104"/>
      <c r="E1621" s="104"/>
      <c r="F1621" s="104"/>
      <c r="G1621" s="104"/>
      <c r="H1621" s="104"/>
      <c r="I1621" s="104"/>
      <c r="J1621" s="104"/>
      <c r="K1621" s="104"/>
      <c r="L1621" s="104"/>
      <c r="M1621" s="104"/>
      <c r="N1621" s="104"/>
      <c r="O1621" s="104"/>
      <c r="P1621" s="104"/>
      <c r="Q1621" s="104"/>
      <c r="R1621" s="104"/>
      <c r="S1621" s="104"/>
    </row>
    <row r="1622" spans="4:19">
      <c r="D1622" s="104"/>
      <c r="E1622" s="104"/>
      <c r="F1622" s="104"/>
      <c r="G1622" s="104"/>
      <c r="H1622" s="104"/>
      <c r="I1622" s="104"/>
      <c r="J1622" s="104"/>
      <c r="K1622" s="104"/>
      <c r="L1622" s="104"/>
      <c r="M1622" s="104"/>
      <c r="N1622" s="104"/>
      <c r="O1622" s="104"/>
      <c r="P1622" s="104"/>
      <c r="Q1622" s="104"/>
      <c r="R1622" s="104"/>
      <c r="S1622" s="104"/>
    </row>
    <row r="1623" spans="4:19">
      <c r="D1623" s="104"/>
      <c r="E1623" s="104"/>
      <c r="F1623" s="104"/>
      <c r="G1623" s="104"/>
      <c r="H1623" s="104"/>
      <c r="I1623" s="104"/>
      <c r="J1623" s="104"/>
      <c r="K1623" s="104"/>
      <c r="L1623" s="104"/>
      <c r="M1623" s="104"/>
      <c r="N1623" s="104"/>
      <c r="O1623" s="104"/>
      <c r="P1623" s="104"/>
      <c r="Q1623" s="104"/>
      <c r="R1623" s="104"/>
      <c r="S1623" s="104"/>
    </row>
    <row r="1624" spans="4:19">
      <c r="D1624" s="104"/>
      <c r="E1624" s="104"/>
      <c r="F1624" s="104"/>
      <c r="G1624" s="104"/>
      <c r="H1624" s="104"/>
      <c r="I1624" s="104"/>
      <c r="J1624" s="104"/>
      <c r="K1624" s="104"/>
      <c r="L1624" s="104"/>
      <c r="M1624" s="104"/>
      <c r="N1624" s="104"/>
      <c r="O1624" s="104"/>
      <c r="P1624" s="104"/>
      <c r="Q1624" s="104"/>
      <c r="R1624" s="104"/>
      <c r="S1624" s="104"/>
    </row>
    <row r="1625" spans="4:19">
      <c r="D1625" s="104"/>
      <c r="E1625" s="104"/>
      <c r="F1625" s="104"/>
      <c r="G1625" s="104"/>
      <c r="H1625" s="104"/>
      <c r="I1625" s="104"/>
      <c r="J1625" s="104"/>
      <c r="K1625" s="104"/>
      <c r="L1625" s="104"/>
      <c r="M1625" s="104"/>
      <c r="N1625" s="104"/>
      <c r="O1625" s="104"/>
      <c r="P1625" s="104"/>
      <c r="Q1625" s="104"/>
      <c r="R1625" s="104"/>
      <c r="S1625" s="104"/>
    </row>
    <row r="1626" spans="4:19">
      <c r="D1626" s="104"/>
      <c r="E1626" s="104"/>
      <c r="F1626" s="104"/>
      <c r="G1626" s="104"/>
      <c r="H1626" s="104"/>
      <c r="I1626" s="104"/>
      <c r="J1626" s="104"/>
      <c r="K1626" s="104"/>
      <c r="L1626" s="104"/>
      <c r="M1626" s="104"/>
      <c r="N1626" s="104"/>
      <c r="O1626" s="104"/>
      <c r="P1626" s="104"/>
      <c r="Q1626" s="104"/>
      <c r="R1626" s="104"/>
      <c r="S1626" s="104"/>
    </row>
    <row r="1627" spans="4:19">
      <c r="D1627" s="104"/>
      <c r="E1627" s="104"/>
      <c r="F1627" s="104"/>
      <c r="G1627" s="104"/>
      <c r="H1627" s="104"/>
      <c r="I1627" s="104"/>
      <c r="J1627" s="104"/>
      <c r="K1627" s="104"/>
      <c r="L1627" s="104"/>
      <c r="M1627" s="104"/>
      <c r="N1627" s="104"/>
      <c r="O1627" s="104"/>
      <c r="P1627" s="104"/>
      <c r="Q1627" s="104"/>
      <c r="R1627" s="104"/>
      <c r="S1627" s="104"/>
    </row>
    <row r="1628" spans="4:19">
      <c r="D1628" s="104"/>
      <c r="E1628" s="104"/>
      <c r="F1628" s="104"/>
      <c r="G1628" s="104"/>
      <c r="H1628" s="104"/>
      <c r="I1628" s="104"/>
      <c r="J1628" s="104"/>
      <c r="K1628" s="104"/>
      <c r="L1628" s="104"/>
      <c r="M1628" s="104"/>
      <c r="N1628" s="104"/>
      <c r="O1628" s="104"/>
      <c r="P1628" s="104"/>
      <c r="Q1628" s="104"/>
      <c r="R1628" s="104"/>
      <c r="S1628" s="104"/>
    </row>
    <row r="1629" spans="4:19">
      <c r="D1629" s="104"/>
      <c r="E1629" s="104"/>
      <c r="F1629" s="104"/>
      <c r="G1629" s="104"/>
      <c r="H1629" s="104"/>
      <c r="I1629" s="104"/>
      <c r="J1629" s="104"/>
      <c r="K1629" s="104"/>
      <c r="L1629" s="104"/>
      <c r="M1629" s="104"/>
      <c r="N1629" s="104"/>
      <c r="O1629" s="104"/>
      <c r="P1629" s="104"/>
      <c r="Q1629" s="104"/>
      <c r="R1629" s="104"/>
      <c r="S1629" s="104"/>
    </row>
    <row r="1630" spans="4:19">
      <c r="D1630" s="104"/>
      <c r="E1630" s="104"/>
      <c r="F1630" s="104"/>
      <c r="G1630" s="104"/>
      <c r="H1630" s="104"/>
      <c r="I1630" s="104"/>
      <c r="J1630" s="104"/>
      <c r="K1630" s="104"/>
      <c r="L1630" s="104"/>
      <c r="M1630" s="104"/>
      <c r="N1630" s="104"/>
      <c r="O1630" s="104"/>
      <c r="P1630" s="104"/>
      <c r="Q1630" s="104"/>
      <c r="R1630" s="104"/>
      <c r="S1630" s="104"/>
    </row>
    <row r="1631" spans="4:19">
      <c r="D1631" s="104"/>
      <c r="E1631" s="104"/>
      <c r="F1631" s="104"/>
      <c r="G1631" s="104"/>
      <c r="H1631" s="104"/>
      <c r="I1631" s="104"/>
      <c r="J1631" s="104"/>
      <c r="K1631" s="104"/>
      <c r="L1631" s="104"/>
      <c r="M1631" s="104"/>
      <c r="N1631" s="104"/>
      <c r="O1631" s="104"/>
      <c r="P1631" s="104"/>
      <c r="Q1631" s="104"/>
      <c r="R1631" s="104"/>
      <c r="S1631" s="104"/>
    </row>
    <row r="1632" spans="4:19">
      <c r="D1632" s="104"/>
      <c r="E1632" s="104"/>
      <c r="F1632" s="104"/>
      <c r="G1632" s="104"/>
      <c r="H1632" s="104"/>
      <c r="I1632" s="104"/>
      <c r="J1632" s="104"/>
      <c r="K1632" s="104"/>
      <c r="L1632" s="104"/>
      <c r="M1632" s="104"/>
      <c r="N1632" s="104"/>
      <c r="O1632" s="104"/>
      <c r="P1632" s="104"/>
      <c r="Q1632" s="104"/>
      <c r="R1632" s="104"/>
      <c r="S1632" s="104"/>
    </row>
    <row r="1633" spans="4:19">
      <c r="D1633" s="104"/>
      <c r="E1633" s="104"/>
      <c r="F1633" s="104"/>
      <c r="G1633" s="104"/>
      <c r="H1633" s="104"/>
      <c r="I1633" s="104"/>
      <c r="J1633" s="104"/>
      <c r="K1633" s="104"/>
      <c r="L1633" s="104"/>
      <c r="M1633" s="104"/>
      <c r="N1633" s="104"/>
      <c r="O1633" s="104"/>
      <c r="P1633" s="104"/>
      <c r="Q1633" s="104"/>
      <c r="R1633" s="104"/>
      <c r="S1633" s="104"/>
    </row>
    <row r="1634" spans="4:19">
      <c r="D1634" s="104"/>
      <c r="E1634" s="104"/>
      <c r="F1634" s="104"/>
      <c r="G1634" s="104"/>
      <c r="H1634" s="104"/>
      <c r="I1634" s="104"/>
      <c r="J1634" s="104"/>
      <c r="K1634" s="104"/>
      <c r="L1634" s="104"/>
      <c r="M1634" s="104"/>
      <c r="N1634" s="104"/>
      <c r="O1634" s="104"/>
      <c r="P1634" s="104"/>
      <c r="Q1634" s="104"/>
      <c r="R1634" s="104"/>
      <c r="S1634" s="104"/>
    </row>
    <row r="1635" spans="4:19">
      <c r="D1635" s="104"/>
      <c r="E1635" s="104"/>
      <c r="F1635" s="104"/>
      <c r="G1635" s="104"/>
      <c r="H1635" s="104"/>
      <c r="I1635" s="104"/>
      <c r="J1635" s="104"/>
      <c r="K1635" s="104"/>
      <c r="L1635" s="104"/>
      <c r="M1635" s="104"/>
      <c r="N1635" s="104"/>
      <c r="O1635" s="104"/>
      <c r="P1635" s="104"/>
      <c r="Q1635" s="104"/>
      <c r="R1635" s="104"/>
      <c r="S1635" s="104"/>
    </row>
    <row r="1636" spans="4:19">
      <c r="D1636" s="104"/>
      <c r="E1636" s="104"/>
      <c r="F1636" s="104"/>
      <c r="G1636" s="104"/>
      <c r="H1636" s="104"/>
      <c r="I1636" s="104"/>
      <c r="J1636" s="104"/>
      <c r="K1636" s="104"/>
      <c r="L1636" s="104"/>
      <c r="M1636" s="104"/>
      <c r="N1636" s="104"/>
      <c r="O1636" s="104"/>
      <c r="P1636" s="104"/>
      <c r="Q1636" s="104"/>
      <c r="R1636" s="104"/>
      <c r="S1636" s="104"/>
    </row>
    <row r="1637" spans="4:19">
      <c r="D1637" s="104"/>
      <c r="E1637" s="104"/>
      <c r="F1637" s="104"/>
      <c r="G1637" s="104"/>
      <c r="H1637" s="104"/>
      <c r="I1637" s="104"/>
      <c r="J1637" s="104"/>
      <c r="K1637" s="104"/>
      <c r="L1637" s="104"/>
      <c r="M1637" s="104"/>
      <c r="N1637" s="104"/>
      <c r="O1637" s="104"/>
      <c r="P1637" s="104"/>
      <c r="Q1637" s="104"/>
      <c r="R1637" s="104"/>
      <c r="S1637" s="104"/>
    </row>
    <row r="1638" spans="4:19">
      <c r="D1638" s="104"/>
      <c r="E1638" s="104"/>
      <c r="F1638" s="104"/>
      <c r="G1638" s="104"/>
      <c r="H1638" s="104"/>
      <c r="I1638" s="104"/>
      <c r="J1638" s="104"/>
      <c r="K1638" s="104"/>
      <c r="L1638" s="104"/>
      <c r="M1638" s="104"/>
      <c r="N1638" s="104"/>
      <c r="O1638" s="104"/>
      <c r="P1638" s="104"/>
      <c r="Q1638" s="104"/>
      <c r="R1638" s="104"/>
      <c r="S1638" s="104"/>
    </row>
    <row r="1639" spans="4:19">
      <c r="D1639" s="104"/>
      <c r="E1639" s="104"/>
      <c r="F1639" s="104"/>
      <c r="G1639" s="104"/>
      <c r="H1639" s="104"/>
      <c r="I1639" s="104"/>
      <c r="J1639" s="104"/>
      <c r="K1639" s="104"/>
      <c r="L1639" s="104"/>
      <c r="M1639" s="104"/>
      <c r="N1639" s="104"/>
      <c r="O1639" s="104"/>
      <c r="P1639" s="104"/>
      <c r="Q1639" s="104"/>
      <c r="R1639" s="104"/>
      <c r="S1639" s="104"/>
    </row>
    <row r="1640" spans="4:19">
      <c r="D1640" s="104"/>
      <c r="E1640" s="104"/>
      <c r="F1640" s="104"/>
      <c r="G1640" s="104"/>
      <c r="H1640" s="104"/>
      <c r="I1640" s="104"/>
      <c r="J1640" s="104"/>
      <c r="K1640" s="104"/>
      <c r="L1640" s="104"/>
      <c r="M1640" s="104"/>
      <c r="N1640" s="104"/>
      <c r="O1640" s="104"/>
      <c r="P1640" s="104"/>
      <c r="Q1640" s="104"/>
      <c r="R1640" s="104"/>
      <c r="S1640" s="104"/>
    </row>
    <row r="1641" spans="4:19">
      <c r="D1641" s="104"/>
      <c r="E1641" s="104"/>
      <c r="F1641" s="104"/>
      <c r="G1641" s="104"/>
      <c r="H1641" s="104"/>
      <c r="I1641" s="104"/>
      <c r="J1641" s="104"/>
      <c r="K1641" s="104"/>
      <c r="L1641" s="104"/>
      <c r="M1641" s="104"/>
      <c r="N1641" s="104"/>
      <c r="O1641" s="104"/>
      <c r="P1641" s="104"/>
      <c r="Q1641" s="104"/>
      <c r="R1641" s="104"/>
      <c r="S1641" s="104"/>
    </row>
    <row r="1642" spans="4:19">
      <c r="D1642" s="104"/>
      <c r="E1642" s="104"/>
      <c r="F1642" s="104"/>
      <c r="G1642" s="104"/>
      <c r="H1642" s="104"/>
      <c r="I1642" s="104"/>
      <c r="J1642" s="104"/>
      <c r="K1642" s="104"/>
      <c r="L1642" s="104"/>
      <c r="M1642" s="104"/>
      <c r="N1642" s="104"/>
      <c r="O1642" s="104"/>
      <c r="P1642" s="104"/>
      <c r="Q1642" s="104"/>
      <c r="R1642" s="104"/>
      <c r="S1642" s="104"/>
    </row>
    <row r="1643" spans="4:19">
      <c r="D1643" s="104"/>
      <c r="E1643" s="104"/>
      <c r="F1643" s="104"/>
      <c r="G1643" s="104"/>
      <c r="H1643" s="104"/>
      <c r="I1643" s="104"/>
      <c r="J1643" s="104"/>
      <c r="K1643" s="104"/>
      <c r="L1643" s="104"/>
      <c r="M1643" s="104"/>
      <c r="N1643" s="104"/>
      <c r="O1643" s="104"/>
      <c r="P1643" s="104"/>
      <c r="Q1643" s="104"/>
      <c r="R1643" s="104"/>
      <c r="S1643" s="104"/>
    </row>
    <row r="1644" spans="4:19">
      <c r="D1644" s="104"/>
      <c r="E1644" s="104"/>
      <c r="F1644" s="104"/>
      <c r="G1644" s="104"/>
      <c r="H1644" s="104"/>
      <c r="I1644" s="104"/>
      <c r="J1644" s="104"/>
      <c r="K1644" s="104"/>
      <c r="L1644" s="104"/>
      <c r="M1644" s="104"/>
      <c r="N1644" s="104"/>
      <c r="O1644" s="104"/>
      <c r="P1644" s="104"/>
      <c r="Q1644" s="104"/>
      <c r="R1644" s="104"/>
      <c r="S1644" s="104"/>
    </row>
    <row r="1645" spans="4:19">
      <c r="D1645" s="104"/>
      <c r="E1645" s="104"/>
      <c r="F1645" s="104"/>
      <c r="G1645" s="104"/>
      <c r="H1645" s="104"/>
      <c r="I1645" s="104"/>
      <c r="J1645" s="104"/>
      <c r="K1645" s="104"/>
      <c r="L1645" s="104"/>
      <c r="M1645" s="104"/>
      <c r="N1645" s="104"/>
      <c r="O1645" s="104"/>
      <c r="P1645" s="104"/>
      <c r="Q1645" s="104"/>
      <c r="R1645" s="104"/>
      <c r="S1645" s="104"/>
    </row>
    <row r="1646" spans="4:19">
      <c r="D1646" s="104"/>
      <c r="E1646" s="104"/>
      <c r="F1646" s="104"/>
      <c r="G1646" s="104"/>
      <c r="H1646" s="104"/>
      <c r="I1646" s="104"/>
      <c r="J1646" s="104"/>
      <c r="K1646" s="104"/>
      <c r="L1646" s="104"/>
      <c r="M1646" s="104"/>
      <c r="N1646" s="104"/>
      <c r="O1646" s="104"/>
      <c r="P1646" s="104"/>
      <c r="Q1646" s="104"/>
      <c r="R1646" s="104"/>
      <c r="S1646" s="104"/>
    </row>
    <row r="1647" spans="4:19">
      <c r="D1647" s="104"/>
      <c r="E1647" s="104"/>
      <c r="F1647" s="104"/>
      <c r="G1647" s="104"/>
      <c r="H1647" s="104"/>
      <c r="I1647" s="104"/>
      <c r="J1647" s="104"/>
      <c r="K1647" s="104"/>
      <c r="L1647" s="104"/>
      <c r="M1647" s="104"/>
      <c r="N1647" s="104"/>
      <c r="O1647" s="104"/>
      <c r="P1647" s="104"/>
      <c r="Q1647" s="104"/>
      <c r="R1647" s="104"/>
      <c r="S1647" s="104"/>
    </row>
    <row r="1648" spans="4:19">
      <c r="D1648" s="104"/>
      <c r="E1648" s="104"/>
      <c r="F1648" s="104"/>
      <c r="G1648" s="104"/>
      <c r="H1648" s="104"/>
      <c r="I1648" s="104"/>
      <c r="J1648" s="104"/>
      <c r="K1648" s="104"/>
      <c r="L1648" s="104"/>
      <c r="M1648" s="104"/>
      <c r="N1648" s="104"/>
      <c r="O1648" s="104"/>
      <c r="P1648" s="104"/>
      <c r="Q1648" s="104"/>
      <c r="R1648" s="104"/>
      <c r="S1648" s="104"/>
    </row>
    <row r="1649" spans="4:19">
      <c r="D1649" s="104"/>
      <c r="E1649" s="104"/>
      <c r="F1649" s="104"/>
      <c r="G1649" s="104"/>
      <c r="H1649" s="104"/>
      <c r="I1649" s="104"/>
      <c r="J1649" s="104"/>
      <c r="K1649" s="104"/>
      <c r="L1649" s="104"/>
      <c r="M1649" s="104"/>
      <c r="N1649" s="104"/>
      <c r="O1649" s="104"/>
      <c r="P1649" s="104"/>
      <c r="Q1649" s="104"/>
      <c r="R1649" s="104"/>
      <c r="S1649" s="104"/>
    </row>
    <row r="1650" spans="4:19">
      <c r="D1650" s="104"/>
      <c r="E1650" s="104"/>
      <c r="F1650" s="104"/>
      <c r="G1650" s="104"/>
      <c r="H1650" s="104"/>
      <c r="I1650" s="104"/>
      <c r="J1650" s="104"/>
      <c r="K1650" s="104"/>
      <c r="L1650" s="104"/>
      <c r="M1650" s="104"/>
      <c r="N1650" s="104"/>
      <c r="O1650" s="104"/>
      <c r="P1650" s="104"/>
      <c r="Q1650" s="104"/>
      <c r="R1650" s="104"/>
      <c r="S1650" s="104"/>
    </row>
    <row r="1651" spans="4:19">
      <c r="D1651" s="104"/>
      <c r="E1651" s="104"/>
      <c r="F1651" s="104"/>
      <c r="G1651" s="104"/>
      <c r="H1651" s="104"/>
      <c r="I1651" s="104"/>
      <c r="J1651" s="104"/>
      <c r="K1651" s="104"/>
      <c r="L1651" s="104"/>
      <c r="M1651" s="104"/>
      <c r="N1651" s="104"/>
      <c r="O1651" s="104"/>
      <c r="P1651" s="104"/>
      <c r="Q1651" s="104"/>
      <c r="R1651" s="104"/>
      <c r="S1651" s="104"/>
    </row>
    <row r="1652" spans="4:19">
      <c r="D1652" s="104"/>
      <c r="E1652" s="104"/>
      <c r="F1652" s="104"/>
      <c r="G1652" s="104"/>
      <c r="H1652" s="104"/>
      <c r="I1652" s="104"/>
      <c r="J1652" s="104"/>
      <c r="K1652" s="104"/>
      <c r="L1652" s="104"/>
      <c r="M1652" s="104"/>
      <c r="N1652" s="104"/>
      <c r="O1652" s="104"/>
      <c r="P1652" s="104"/>
      <c r="Q1652" s="104"/>
      <c r="R1652" s="104"/>
      <c r="S1652" s="104"/>
    </row>
    <row r="1653" spans="4:19">
      <c r="D1653" s="104"/>
      <c r="E1653" s="104"/>
      <c r="F1653" s="104"/>
      <c r="G1653" s="104"/>
      <c r="H1653" s="104"/>
      <c r="I1653" s="104"/>
      <c r="J1653" s="104"/>
      <c r="K1653" s="104"/>
      <c r="L1653" s="104"/>
      <c r="M1653" s="104"/>
      <c r="N1653" s="104"/>
      <c r="O1653" s="104"/>
      <c r="P1653" s="104"/>
      <c r="Q1653" s="104"/>
      <c r="R1653" s="104"/>
      <c r="S1653" s="104"/>
    </row>
    <row r="1654" spans="4:19">
      <c r="D1654" s="104"/>
      <c r="E1654" s="104"/>
      <c r="F1654" s="104"/>
      <c r="G1654" s="104"/>
      <c r="H1654" s="104"/>
      <c r="I1654" s="104"/>
      <c r="J1654" s="104"/>
      <c r="K1654" s="104"/>
      <c r="L1654" s="104"/>
      <c r="M1654" s="104"/>
      <c r="N1654" s="104"/>
      <c r="O1654" s="104"/>
      <c r="P1654" s="104"/>
      <c r="Q1654" s="104"/>
      <c r="R1654" s="104"/>
      <c r="S1654" s="104"/>
    </row>
    <row r="1655" spans="4:19">
      <c r="D1655" s="104"/>
      <c r="E1655" s="104"/>
      <c r="F1655" s="104"/>
      <c r="G1655" s="104"/>
      <c r="H1655" s="104"/>
      <c r="I1655" s="104"/>
      <c r="J1655" s="104"/>
      <c r="K1655" s="104"/>
      <c r="L1655" s="104"/>
      <c r="M1655" s="104"/>
      <c r="N1655" s="104"/>
      <c r="O1655" s="104"/>
      <c r="P1655" s="104"/>
      <c r="Q1655" s="104"/>
      <c r="R1655" s="104"/>
      <c r="S1655" s="104"/>
    </row>
    <row r="1656" spans="4:19">
      <c r="D1656" s="104"/>
      <c r="E1656" s="104"/>
      <c r="F1656" s="104"/>
      <c r="G1656" s="104"/>
      <c r="H1656" s="104"/>
      <c r="I1656" s="104"/>
      <c r="J1656" s="104"/>
      <c r="K1656" s="104"/>
      <c r="L1656" s="104"/>
      <c r="M1656" s="104"/>
      <c r="N1656" s="104"/>
      <c r="O1656" s="104"/>
      <c r="P1656" s="104"/>
      <c r="Q1656" s="104"/>
      <c r="R1656" s="104"/>
      <c r="S1656" s="104"/>
    </row>
    <row r="1657" spans="4:19">
      <c r="D1657" s="104"/>
      <c r="E1657" s="104"/>
      <c r="F1657" s="104"/>
      <c r="G1657" s="104"/>
      <c r="H1657" s="104"/>
      <c r="I1657" s="104"/>
      <c r="J1657" s="104"/>
      <c r="K1657" s="104"/>
      <c r="L1657" s="104"/>
      <c r="M1657" s="104"/>
      <c r="N1657" s="104"/>
      <c r="O1657" s="104"/>
      <c r="P1657" s="104"/>
      <c r="Q1657" s="104"/>
      <c r="R1657" s="104"/>
      <c r="S1657" s="104"/>
    </row>
    <row r="1658" spans="4:19">
      <c r="D1658" s="104"/>
      <c r="E1658" s="104"/>
      <c r="F1658" s="104"/>
      <c r="G1658" s="104"/>
      <c r="H1658" s="104"/>
      <c r="I1658" s="104"/>
      <c r="J1658" s="104"/>
      <c r="K1658" s="104"/>
      <c r="L1658" s="104"/>
      <c r="M1658" s="104"/>
      <c r="N1658" s="104"/>
      <c r="O1658" s="104"/>
      <c r="P1658" s="104"/>
      <c r="Q1658" s="104"/>
      <c r="R1658" s="104"/>
      <c r="S1658" s="104"/>
    </row>
    <row r="1659" spans="4:19">
      <c r="D1659" s="104"/>
      <c r="E1659" s="104"/>
      <c r="F1659" s="104"/>
      <c r="G1659" s="104"/>
      <c r="H1659" s="104"/>
      <c r="I1659" s="104"/>
      <c r="J1659" s="104"/>
      <c r="K1659" s="104"/>
      <c r="L1659" s="104"/>
      <c r="M1659" s="104"/>
      <c r="N1659" s="104"/>
      <c r="O1659" s="104"/>
      <c r="P1659" s="104"/>
      <c r="Q1659" s="104"/>
      <c r="R1659" s="104"/>
      <c r="S1659" s="104"/>
    </row>
    <row r="1660" spans="4:19">
      <c r="D1660" s="104"/>
      <c r="E1660" s="104"/>
      <c r="F1660" s="104"/>
      <c r="G1660" s="104"/>
      <c r="H1660" s="104"/>
      <c r="I1660" s="104"/>
      <c r="J1660" s="104"/>
      <c r="K1660" s="104"/>
      <c r="L1660" s="104"/>
      <c r="M1660" s="104"/>
      <c r="N1660" s="104"/>
      <c r="O1660" s="104"/>
      <c r="P1660" s="104"/>
      <c r="Q1660" s="104"/>
      <c r="R1660" s="104"/>
      <c r="S1660" s="104"/>
    </row>
    <row r="1661" spans="4:19">
      <c r="D1661" s="104"/>
      <c r="E1661" s="104"/>
      <c r="F1661" s="104"/>
      <c r="G1661" s="104"/>
      <c r="H1661" s="104"/>
      <c r="I1661" s="104"/>
      <c r="J1661" s="104"/>
      <c r="K1661" s="104"/>
      <c r="L1661" s="104"/>
      <c r="M1661" s="104"/>
      <c r="N1661" s="104"/>
      <c r="O1661" s="104"/>
      <c r="P1661" s="104"/>
      <c r="Q1661" s="104"/>
      <c r="R1661" s="104"/>
      <c r="S1661" s="104"/>
    </row>
    <row r="1662" spans="4:19">
      <c r="D1662" s="104"/>
      <c r="E1662" s="104"/>
      <c r="F1662" s="104"/>
      <c r="G1662" s="104"/>
      <c r="H1662" s="104"/>
      <c r="I1662" s="104"/>
      <c r="J1662" s="104"/>
      <c r="K1662" s="104"/>
      <c r="L1662" s="104"/>
      <c r="M1662" s="104"/>
      <c r="N1662" s="104"/>
      <c r="O1662" s="104"/>
      <c r="P1662" s="104"/>
      <c r="Q1662" s="104"/>
      <c r="R1662" s="104"/>
      <c r="S1662" s="104"/>
    </row>
    <row r="1663" spans="4:19">
      <c r="D1663" s="104"/>
      <c r="E1663" s="104"/>
      <c r="F1663" s="104"/>
      <c r="G1663" s="104"/>
      <c r="H1663" s="104"/>
      <c r="I1663" s="104"/>
      <c r="J1663" s="104"/>
      <c r="K1663" s="104"/>
      <c r="L1663" s="104"/>
      <c r="M1663" s="104"/>
      <c r="N1663" s="104"/>
      <c r="O1663" s="104"/>
      <c r="P1663" s="104"/>
      <c r="Q1663" s="104"/>
      <c r="R1663" s="104"/>
      <c r="S1663" s="104"/>
    </row>
    <row r="1664" spans="4:19">
      <c r="D1664" s="104"/>
      <c r="E1664" s="104"/>
      <c r="F1664" s="104"/>
      <c r="G1664" s="104"/>
      <c r="H1664" s="104"/>
      <c r="I1664" s="104"/>
      <c r="J1664" s="104"/>
      <c r="K1664" s="104"/>
      <c r="L1664" s="104"/>
      <c r="M1664" s="104"/>
      <c r="N1664" s="104"/>
      <c r="O1664" s="104"/>
      <c r="P1664" s="104"/>
      <c r="Q1664" s="104"/>
      <c r="R1664" s="104"/>
      <c r="S1664" s="104"/>
    </row>
    <row r="1665" spans="4:19">
      <c r="D1665" s="104"/>
      <c r="E1665" s="104"/>
      <c r="F1665" s="104"/>
      <c r="G1665" s="104"/>
      <c r="H1665" s="104"/>
      <c r="I1665" s="104"/>
      <c r="J1665" s="104"/>
      <c r="K1665" s="104"/>
      <c r="L1665" s="104"/>
      <c r="M1665" s="104"/>
      <c r="N1665" s="104"/>
      <c r="O1665" s="104"/>
      <c r="P1665" s="104"/>
      <c r="Q1665" s="104"/>
      <c r="R1665" s="104"/>
      <c r="S1665" s="104"/>
    </row>
    <row r="1666" spans="4:19">
      <c r="D1666" s="104"/>
      <c r="E1666" s="104"/>
      <c r="F1666" s="104"/>
      <c r="G1666" s="104"/>
      <c r="H1666" s="104"/>
      <c r="I1666" s="104"/>
      <c r="J1666" s="104"/>
      <c r="K1666" s="104"/>
      <c r="L1666" s="104"/>
      <c r="M1666" s="104"/>
      <c r="N1666" s="104"/>
      <c r="O1666" s="104"/>
      <c r="P1666" s="104"/>
      <c r="Q1666" s="104"/>
      <c r="R1666" s="104"/>
      <c r="S1666" s="104"/>
    </row>
    <row r="1667" spans="4:19">
      <c r="D1667" s="104"/>
      <c r="E1667" s="104"/>
      <c r="F1667" s="104"/>
      <c r="G1667" s="104"/>
      <c r="H1667" s="104"/>
      <c r="I1667" s="104"/>
      <c r="J1667" s="104"/>
      <c r="K1667" s="104"/>
      <c r="L1667" s="104"/>
      <c r="M1667" s="104"/>
      <c r="N1667" s="104"/>
      <c r="O1667" s="104"/>
      <c r="P1667" s="104"/>
      <c r="Q1667" s="104"/>
      <c r="R1667" s="104"/>
      <c r="S1667" s="104"/>
    </row>
    <row r="1668" spans="4:19">
      <c r="D1668" s="104"/>
      <c r="E1668" s="104"/>
      <c r="F1668" s="104"/>
      <c r="G1668" s="104"/>
      <c r="H1668" s="104"/>
      <c r="I1668" s="104"/>
      <c r="J1668" s="104"/>
      <c r="K1668" s="104"/>
      <c r="L1668" s="104"/>
      <c r="M1668" s="104"/>
      <c r="N1668" s="104"/>
      <c r="O1668" s="104"/>
      <c r="P1668" s="104"/>
      <c r="Q1668" s="104"/>
      <c r="R1668" s="104"/>
      <c r="S1668" s="104"/>
    </row>
    <row r="1669" spans="4:19">
      <c r="D1669" s="104"/>
      <c r="E1669" s="104"/>
      <c r="F1669" s="104"/>
      <c r="G1669" s="104"/>
      <c r="H1669" s="104"/>
      <c r="I1669" s="104"/>
      <c r="J1669" s="104"/>
      <c r="K1669" s="104"/>
      <c r="L1669" s="104"/>
      <c r="M1669" s="104"/>
      <c r="N1669" s="104"/>
      <c r="O1669" s="104"/>
      <c r="P1669" s="104"/>
      <c r="Q1669" s="104"/>
      <c r="R1669" s="104"/>
      <c r="S1669" s="104"/>
    </row>
    <row r="1670" spans="4:19">
      <c r="D1670" s="104"/>
      <c r="E1670" s="104"/>
      <c r="F1670" s="104"/>
      <c r="G1670" s="104"/>
      <c r="H1670" s="104"/>
      <c r="I1670" s="104"/>
      <c r="J1670" s="104"/>
      <c r="K1670" s="104"/>
      <c r="L1670" s="104"/>
      <c r="M1670" s="104"/>
      <c r="N1670" s="104"/>
      <c r="O1670" s="104"/>
      <c r="P1670" s="104"/>
      <c r="Q1670" s="104"/>
      <c r="R1670" s="104"/>
      <c r="S1670" s="104"/>
    </row>
    <row r="1671" spans="4:19">
      <c r="D1671" s="104"/>
      <c r="E1671" s="104"/>
      <c r="F1671" s="104"/>
      <c r="G1671" s="104"/>
      <c r="H1671" s="104"/>
      <c r="I1671" s="104"/>
      <c r="J1671" s="104"/>
      <c r="K1671" s="104"/>
      <c r="L1671" s="104"/>
      <c r="M1671" s="104"/>
      <c r="N1671" s="104"/>
      <c r="O1671" s="104"/>
      <c r="P1671" s="104"/>
      <c r="Q1671" s="104"/>
      <c r="R1671" s="104"/>
      <c r="S1671" s="104"/>
    </row>
    <row r="1672" spans="4:19">
      <c r="D1672" s="104"/>
      <c r="E1672" s="104"/>
      <c r="F1672" s="104"/>
      <c r="G1672" s="104"/>
      <c r="H1672" s="104"/>
      <c r="I1672" s="104"/>
      <c r="J1672" s="104"/>
      <c r="K1672" s="104"/>
      <c r="L1672" s="104"/>
      <c r="M1672" s="104"/>
      <c r="N1672" s="104"/>
      <c r="O1672" s="104"/>
      <c r="P1672" s="104"/>
      <c r="Q1672" s="104"/>
      <c r="R1672" s="104"/>
      <c r="S1672" s="104"/>
    </row>
    <row r="1673" spans="4:19">
      <c r="D1673" s="104"/>
      <c r="E1673" s="104"/>
      <c r="F1673" s="104"/>
      <c r="G1673" s="104"/>
      <c r="H1673" s="104"/>
      <c r="I1673" s="104"/>
      <c r="J1673" s="104"/>
      <c r="K1673" s="104"/>
      <c r="L1673" s="104"/>
      <c r="M1673" s="104"/>
      <c r="N1673" s="104"/>
      <c r="O1673" s="104"/>
      <c r="P1673" s="104"/>
      <c r="Q1673" s="104"/>
      <c r="R1673" s="104"/>
      <c r="S1673" s="104"/>
    </row>
    <row r="1674" spans="4:19">
      <c r="D1674" s="104"/>
      <c r="E1674" s="104"/>
      <c r="F1674" s="104"/>
      <c r="G1674" s="104"/>
      <c r="H1674" s="104"/>
      <c r="I1674" s="104"/>
      <c r="J1674" s="104"/>
      <c r="K1674" s="104"/>
      <c r="L1674" s="104"/>
      <c r="M1674" s="104"/>
      <c r="N1674" s="104"/>
      <c r="O1674" s="104"/>
      <c r="P1674" s="104"/>
      <c r="Q1674" s="104"/>
      <c r="R1674" s="104"/>
      <c r="S1674" s="104"/>
    </row>
    <row r="1675" spans="4:19">
      <c r="D1675" s="104"/>
      <c r="E1675" s="104"/>
      <c r="F1675" s="104"/>
      <c r="G1675" s="104"/>
      <c r="H1675" s="104"/>
      <c r="I1675" s="104"/>
      <c r="J1675" s="104"/>
      <c r="K1675" s="104"/>
      <c r="L1675" s="104"/>
      <c r="M1675" s="104"/>
      <c r="N1675" s="104"/>
      <c r="O1675" s="104"/>
      <c r="P1675" s="104"/>
      <c r="Q1675" s="104"/>
      <c r="R1675" s="104"/>
      <c r="S1675" s="104"/>
    </row>
    <row r="1676" spans="4:19">
      <c r="D1676" s="104"/>
      <c r="E1676" s="104"/>
      <c r="F1676" s="104"/>
      <c r="G1676" s="104"/>
      <c r="H1676" s="104"/>
      <c r="I1676" s="104"/>
      <c r="J1676" s="104"/>
      <c r="K1676" s="104"/>
      <c r="L1676" s="104"/>
      <c r="M1676" s="104"/>
      <c r="N1676" s="104"/>
      <c r="O1676" s="104"/>
      <c r="P1676" s="104"/>
      <c r="Q1676" s="104"/>
      <c r="R1676" s="104"/>
      <c r="S1676" s="104"/>
    </row>
    <row r="1677" spans="4:19">
      <c r="D1677" s="104"/>
      <c r="E1677" s="104"/>
      <c r="F1677" s="104"/>
      <c r="G1677" s="104"/>
      <c r="H1677" s="104"/>
      <c r="I1677" s="104"/>
      <c r="J1677" s="104"/>
      <c r="K1677" s="104"/>
      <c r="L1677" s="104"/>
      <c r="M1677" s="104"/>
      <c r="N1677" s="104"/>
      <c r="O1677" s="104"/>
      <c r="P1677" s="104"/>
      <c r="Q1677" s="104"/>
      <c r="R1677" s="104"/>
      <c r="S1677" s="104"/>
    </row>
    <row r="1678" spans="4:19">
      <c r="D1678" s="104"/>
      <c r="E1678" s="104"/>
      <c r="F1678" s="104"/>
      <c r="G1678" s="104"/>
      <c r="H1678" s="104"/>
      <c r="I1678" s="104"/>
      <c r="J1678" s="104"/>
      <c r="K1678" s="104"/>
      <c r="L1678" s="104"/>
      <c r="M1678" s="104"/>
      <c r="N1678" s="104"/>
      <c r="O1678" s="104"/>
      <c r="P1678" s="104"/>
      <c r="Q1678" s="104"/>
      <c r="R1678" s="104"/>
      <c r="S1678" s="104"/>
    </row>
    <row r="1679" spans="4:19">
      <c r="D1679" s="104"/>
      <c r="E1679" s="104"/>
      <c r="F1679" s="104"/>
      <c r="G1679" s="104"/>
      <c r="H1679" s="104"/>
      <c r="I1679" s="104"/>
      <c r="J1679" s="104"/>
      <c r="K1679" s="104"/>
      <c r="L1679" s="104"/>
      <c r="M1679" s="104"/>
      <c r="N1679" s="104"/>
      <c r="O1679" s="104"/>
      <c r="P1679" s="104"/>
      <c r="Q1679" s="104"/>
      <c r="R1679" s="104"/>
      <c r="S1679" s="104"/>
    </row>
    <row r="1680" spans="4:19">
      <c r="D1680" s="104"/>
      <c r="E1680" s="104"/>
      <c r="F1680" s="104"/>
      <c r="G1680" s="104"/>
      <c r="H1680" s="104"/>
      <c r="I1680" s="104"/>
      <c r="J1680" s="104"/>
      <c r="K1680" s="104"/>
      <c r="L1680" s="104"/>
      <c r="M1680" s="104"/>
      <c r="N1680" s="104"/>
      <c r="O1680" s="104"/>
      <c r="P1680" s="104"/>
      <c r="Q1680" s="104"/>
      <c r="R1680" s="104"/>
      <c r="S1680" s="104"/>
    </row>
    <row r="1681" spans="4:19">
      <c r="D1681" s="104"/>
      <c r="E1681" s="104"/>
      <c r="F1681" s="104"/>
      <c r="G1681" s="104"/>
      <c r="H1681" s="104"/>
      <c r="I1681" s="104"/>
      <c r="J1681" s="104"/>
      <c r="K1681" s="104"/>
      <c r="L1681" s="104"/>
      <c r="M1681" s="104"/>
      <c r="N1681" s="104"/>
      <c r="O1681" s="104"/>
      <c r="P1681" s="104"/>
      <c r="Q1681" s="104"/>
      <c r="R1681" s="104"/>
      <c r="S1681" s="104"/>
    </row>
    <row r="1682" spans="4:19">
      <c r="D1682" s="104"/>
      <c r="E1682" s="104"/>
      <c r="F1682" s="104"/>
      <c r="G1682" s="104"/>
      <c r="H1682" s="104"/>
      <c r="I1682" s="104"/>
      <c r="J1682" s="104"/>
      <c r="K1682" s="104"/>
      <c r="L1682" s="104"/>
      <c r="M1682" s="104"/>
      <c r="N1682" s="104"/>
      <c r="O1682" s="104"/>
      <c r="P1682" s="104"/>
      <c r="Q1682" s="104"/>
      <c r="R1682" s="104"/>
      <c r="S1682" s="104"/>
    </row>
    <row r="1683" spans="4:19">
      <c r="D1683" s="104"/>
      <c r="E1683" s="104"/>
      <c r="F1683" s="104"/>
      <c r="G1683" s="104"/>
      <c r="H1683" s="104"/>
      <c r="I1683" s="104"/>
      <c r="J1683" s="104"/>
      <c r="K1683" s="104"/>
      <c r="L1683" s="104"/>
      <c r="M1683" s="104"/>
      <c r="N1683" s="104"/>
      <c r="O1683" s="104"/>
      <c r="P1683" s="104"/>
      <c r="Q1683" s="104"/>
      <c r="R1683" s="104"/>
      <c r="S1683" s="104"/>
    </row>
    <row r="1684" spans="4:19">
      <c r="D1684" s="104"/>
      <c r="E1684" s="104"/>
      <c r="F1684" s="104"/>
      <c r="G1684" s="104"/>
      <c r="H1684" s="104"/>
      <c r="I1684" s="104"/>
      <c r="J1684" s="104"/>
      <c r="K1684" s="104"/>
      <c r="L1684" s="104"/>
      <c r="M1684" s="104"/>
      <c r="N1684" s="104"/>
      <c r="O1684" s="104"/>
      <c r="P1684" s="104"/>
      <c r="Q1684" s="104"/>
      <c r="R1684" s="104"/>
      <c r="S1684" s="104"/>
    </row>
    <row r="1685" spans="4:19">
      <c r="D1685" s="104"/>
      <c r="E1685" s="104"/>
      <c r="F1685" s="104"/>
      <c r="G1685" s="104"/>
      <c r="H1685" s="104"/>
      <c r="I1685" s="104"/>
      <c r="J1685" s="104"/>
      <c r="K1685" s="104"/>
      <c r="L1685" s="104"/>
      <c r="M1685" s="104"/>
      <c r="N1685" s="104"/>
      <c r="O1685" s="104"/>
      <c r="P1685" s="104"/>
      <c r="Q1685" s="104"/>
      <c r="R1685" s="104"/>
      <c r="S1685" s="104"/>
    </row>
    <row r="1686" spans="4:19">
      <c r="D1686" s="104"/>
      <c r="E1686" s="104"/>
      <c r="F1686" s="104"/>
      <c r="G1686" s="104"/>
      <c r="H1686" s="104"/>
      <c r="I1686" s="104"/>
      <c r="J1686" s="104"/>
      <c r="K1686" s="104"/>
      <c r="L1686" s="104"/>
      <c r="M1686" s="104"/>
      <c r="N1686" s="104"/>
      <c r="O1686" s="104"/>
      <c r="P1686" s="104"/>
      <c r="Q1686" s="104"/>
      <c r="R1686" s="104"/>
      <c r="S1686" s="104"/>
    </row>
    <row r="1687" spans="4:19">
      <c r="D1687" s="104"/>
      <c r="E1687" s="104"/>
      <c r="F1687" s="104"/>
      <c r="G1687" s="104"/>
      <c r="H1687" s="104"/>
      <c r="I1687" s="104"/>
      <c r="J1687" s="104"/>
      <c r="K1687" s="104"/>
      <c r="L1687" s="104"/>
      <c r="M1687" s="104"/>
      <c r="N1687" s="104"/>
      <c r="O1687" s="104"/>
      <c r="P1687" s="104"/>
      <c r="Q1687" s="104"/>
      <c r="R1687" s="104"/>
      <c r="S1687" s="104"/>
    </row>
    <row r="1688" spans="4:19">
      <c r="D1688" s="104"/>
      <c r="E1688" s="104"/>
      <c r="F1688" s="104"/>
      <c r="G1688" s="104"/>
      <c r="H1688" s="104"/>
      <c r="I1688" s="104"/>
      <c r="J1688" s="104"/>
      <c r="K1688" s="104"/>
      <c r="L1688" s="104"/>
      <c r="M1688" s="104"/>
      <c r="N1688" s="104"/>
      <c r="O1688" s="104"/>
      <c r="P1688" s="104"/>
      <c r="Q1688" s="104"/>
      <c r="R1688" s="104"/>
      <c r="S1688" s="104"/>
    </row>
    <row r="1689" spans="4:19">
      <c r="D1689" s="104"/>
      <c r="E1689" s="104"/>
      <c r="F1689" s="104"/>
      <c r="G1689" s="104"/>
      <c r="H1689" s="104"/>
      <c r="I1689" s="104"/>
      <c r="J1689" s="104"/>
      <c r="K1689" s="104"/>
      <c r="L1689" s="104"/>
      <c r="M1689" s="104"/>
      <c r="N1689" s="104"/>
      <c r="O1689" s="104"/>
      <c r="P1689" s="104"/>
      <c r="Q1689" s="104"/>
      <c r="R1689" s="104"/>
      <c r="S1689" s="104"/>
    </row>
    <row r="1690" spans="4:19">
      <c r="D1690" s="104"/>
      <c r="E1690" s="104"/>
      <c r="F1690" s="104"/>
      <c r="G1690" s="104"/>
      <c r="H1690" s="104"/>
      <c r="I1690" s="104"/>
      <c r="J1690" s="104"/>
      <c r="K1690" s="104"/>
      <c r="L1690" s="104"/>
      <c r="M1690" s="104"/>
      <c r="N1690" s="104"/>
      <c r="O1690" s="104"/>
      <c r="P1690" s="104"/>
      <c r="Q1690" s="104"/>
      <c r="R1690" s="104"/>
      <c r="S1690" s="104"/>
    </row>
    <row r="1691" spans="4:19">
      <c r="D1691" s="104"/>
      <c r="E1691" s="104"/>
      <c r="F1691" s="104"/>
      <c r="G1691" s="104"/>
      <c r="H1691" s="104"/>
      <c r="I1691" s="104"/>
      <c r="J1691" s="104"/>
      <c r="K1691" s="104"/>
      <c r="L1691" s="104"/>
      <c r="M1691" s="104"/>
      <c r="N1691" s="104"/>
      <c r="O1691" s="104"/>
      <c r="P1691" s="104"/>
      <c r="Q1691" s="104"/>
      <c r="R1691" s="104"/>
      <c r="S1691" s="104"/>
    </row>
    <row r="1692" spans="4:19">
      <c r="D1692" s="104"/>
      <c r="E1692" s="104"/>
      <c r="F1692" s="104"/>
      <c r="G1692" s="104"/>
      <c r="H1692" s="104"/>
      <c r="I1692" s="104"/>
      <c r="J1692" s="104"/>
      <c r="K1692" s="104"/>
      <c r="L1692" s="104"/>
      <c r="M1692" s="104"/>
      <c r="N1692" s="104"/>
      <c r="O1692" s="104"/>
      <c r="P1692" s="104"/>
      <c r="Q1692" s="104"/>
      <c r="R1692" s="104"/>
      <c r="S1692" s="104"/>
    </row>
    <row r="1693" spans="4:19">
      <c r="D1693" s="104"/>
      <c r="E1693" s="104"/>
      <c r="F1693" s="104"/>
      <c r="G1693" s="104"/>
      <c r="H1693" s="104"/>
      <c r="I1693" s="104"/>
      <c r="J1693" s="104"/>
      <c r="K1693" s="104"/>
      <c r="L1693" s="104"/>
      <c r="M1693" s="104"/>
      <c r="N1693" s="104"/>
      <c r="O1693" s="104"/>
      <c r="P1693" s="104"/>
      <c r="Q1693" s="104"/>
      <c r="R1693" s="104"/>
      <c r="S1693" s="104"/>
    </row>
    <row r="1694" spans="4:19">
      <c r="D1694" s="104"/>
      <c r="E1694" s="104"/>
      <c r="F1694" s="104"/>
      <c r="G1694" s="104"/>
      <c r="H1694" s="104"/>
      <c r="I1694" s="104"/>
      <c r="J1694" s="104"/>
      <c r="K1694" s="104"/>
      <c r="L1694" s="104"/>
      <c r="M1694" s="104"/>
      <c r="N1694" s="104"/>
      <c r="O1694" s="104"/>
      <c r="P1694" s="104"/>
      <c r="Q1694" s="104"/>
      <c r="R1694" s="104"/>
      <c r="S1694" s="104"/>
    </row>
    <row r="1695" spans="4:19">
      <c r="D1695" s="104"/>
      <c r="E1695" s="104"/>
      <c r="F1695" s="104"/>
      <c r="G1695" s="104"/>
      <c r="H1695" s="104"/>
      <c r="I1695" s="104"/>
      <c r="J1695" s="104"/>
      <c r="K1695" s="104"/>
      <c r="L1695" s="104"/>
      <c r="M1695" s="104"/>
      <c r="N1695" s="104"/>
      <c r="O1695" s="104"/>
      <c r="P1695" s="104"/>
      <c r="Q1695" s="104"/>
      <c r="R1695" s="104"/>
      <c r="S1695" s="104"/>
    </row>
    <row r="1696" spans="4:19">
      <c r="D1696" s="104"/>
      <c r="E1696" s="104"/>
      <c r="F1696" s="104"/>
      <c r="G1696" s="104"/>
      <c r="H1696" s="104"/>
      <c r="I1696" s="104"/>
      <c r="J1696" s="104"/>
      <c r="K1696" s="104"/>
      <c r="L1696" s="104"/>
      <c r="M1696" s="104"/>
      <c r="N1696" s="104"/>
      <c r="O1696" s="104"/>
      <c r="P1696" s="104"/>
      <c r="Q1696" s="104"/>
      <c r="R1696" s="104"/>
      <c r="S1696" s="104"/>
    </row>
    <row r="1697" spans="4:19">
      <c r="D1697" s="104"/>
      <c r="E1697" s="104"/>
      <c r="F1697" s="104"/>
      <c r="G1697" s="104"/>
      <c r="H1697" s="104"/>
      <c r="I1697" s="104"/>
      <c r="J1697" s="104"/>
      <c r="K1697" s="104"/>
      <c r="L1697" s="104"/>
      <c r="M1697" s="104"/>
      <c r="N1697" s="104"/>
      <c r="O1697" s="104"/>
      <c r="P1697" s="104"/>
      <c r="Q1697" s="104"/>
      <c r="R1697" s="104"/>
      <c r="S1697" s="104"/>
    </row>
    <row r="1698" spans="4:19">
      <c r="D1698" s="104"/>
      <c r="E1698" s="104"/>
      <c r="F1698" s="104"/>
      <c r="G1698" s="104"/>
      <c r="H1698" s="104"/>
      <c r="I1698" s="104"/>
      <c r="J1698" s="104"/>
      <c r="K1698" s="104"/>
      <c r="L1698" s="104"/>
      <c r="M1698" s="104"/>
      <c r="N1698" s="104"/>
      <c r="O1698" s="104"/>
      <c r="P1698" s="104"/>
      <c r="Q1698" s="104"/>
      <c r="R1698" s="104"/>
      <c r="S1698" s="104"/>
    </row>
    <row r="1699" spans="4:19">
      <c r="D1699" s="104"/>
      <c r="E1699" s="104"/>
      <c r="F1699" s="104"/>
      <c r="G1699" s="104"/>
      <c r="H1699" s="104"/>
      <c r="I1699" s="104"/>
      <c r="J1699" s="104"/>
      <c r="K1699" s="104"/>
      <c r="L1699" s="104"/>
      <c r="M1699" s="104"/>
      <c r="N1699" s="104"/>
      <c r="O1699" s="104"/>
      <c r="P1699" s="104"/>
      <c r="Q1699" s="104"/>
      <c r="R1699" s="104"/>
      <c r="S1699" s="104"/>
    </row>
    <row r="1700" spans="4:19">
      <c r="D1700" s="104"/>
      <c r="E1700" s="104"/>
      <c r="F1700" s="104"/>
      <c r="G1700" s="104"/>
      <c r="H1700" s="104"/>
      <c r="I1700" s="104"/>
      <c r="J1700" s="104"/>
      <c r="K1700" s="104"/>
      <c r="L1700" s="104"/>
      <c r="M1700" s="104"/>
      <c r="N1700" s="104"/>
      <c r="O1700" s="104"/>
      <c r="P1700" s="104"/>
      <c r="Q1700" s="104"/>
      <c r="R1700" s="104"/>
      <c r="S1700" s="104"/>
    </row>
    <row r="1701" spans="4:19">
      <c r="D1701" s="104"/>
      <c r="E1701" s="104"/>
      <c r="F1701" s="104"/>
      <c r="G1701" s="104"/>
      <c r="H1701" s="104"/>
      <c r="I1701" s="104"/>
      <c r="J1701" s="104"/>
      <c r="K1701" s="104"/>
      <c r="L1701" s="104"/>
      <c r="M1701" s="104"/>
      <c r="N1701" s="104"/>
      <c r="O1701" s="104"/>
      <c r="P1701" s="104"/>
      <c r="Q1701" s="104"/>
      <c r="R1701" s="104"/>
      <c r="S1701" s="104"/>
    </row>
    <row r="1702" spans="4:19">
      <c r="D1702" s="104"/>
      <c r="E1702" s="104"/>
      <c r="F1702" s="104"/>
      <c r="G1702" s="104"/>
      <c r="H1702" s="104"/>
      <c r="I1702" s="104"/>
      <c r="J1702" s="104"/>
      <c r="K1702" s="104"/>
      <c r="L1702" s="104"/>
      <c r="M1702" s="104"/>
      <c r="N1702" s="104"/>
      <c r="O1702" s="104"/>
      <c r="P1702" s="104"/>
      <c r="Q1702" s="104"/>
      <c r="R1702" s="104"/>
      <c r="S1702" s="104"/>
    </row>
    <row r="1703" spans="4:19">
      <c r="D1703" s="104"/>
      <c r="E1703" s="104"/>
      <c r="F1703" s="104"/>
      <c r="G1703" s="104"/>
      <c r="H1703" s="104"/>
      <c r="I1703" s="104"/>
      <c r="J1703" s="104"/>
      <c r="K1703" s="104"/>
      <c r="L1703" s="104"/>
      <c r="M1703" s="104"/>
      <c r="N1703" s="104"/>
      <c r="O1703" s="104"/>
      <c r="P1703" s="104"/>
      <c r="Q1703" s="104"/>
      <c r="R1703" s="104"/>
      <c r="S1703" s="104"/>
    </row>
    <row r="1704" spans="4:19">
      <c r="D1704" s="104"/>
      <c r="E1704" s="104"/>
      <c r="F1704" s="104"/>
      <c r="G1704" s="104"/>
      <c r="H1704" s="104"/>
      <c r="I1704" s="104"/>
      <c r="J1704" s="104"/>
      <c r="K1704" s="104"/>
      <c r="L1704" s="104"/>
      <c r="M1704" s="104"/>
      <c r="N1704" s="104"/>
      <c r="O1704" s="104"/>
      <c r="P1704" s="104"/>
      <c r="Q1704" s="104"/>
      <c r="R1704" s="104"/>
      <c r="S1704" s="104"/>
    </row>
    <row r="1705" spans="4:19">
      <c r="D1705" s="104"/>
      <c r="E1705" s="104"/>
      <c r="F1705" s="104"/>
      <c r="G1705" s="104"/>
      <c r="H1705" s="104"/>
      <c r="I1705" s="104"/>
      <c r="J1705" s="104"/>
      <c r="K1705" s="104"/>
      <c r="L1705" s="104"/>
      <c r="M1705" s="104"/>
      <c r="N1705" s="104"/>
      <c r="O1705" s="104"/>
      <c r="P1705" s="104"/>
      <c r="Q1705" s="104"/>
      <c r="R1705" s="104"/>
      <c r="S1705" s="104"/>
    </row>
    <row r="1706" spans="4:19">
      <c r="D1706" s="104"/>
      <c r="E1706" s="104"/>
      <c r="F1706" s="104"/>
      <c r="G1706" s="104"/>
      <c r="H1706" s="104"/>
      <c r="I1706" s="104"/>
      <c r="J1706" s="104"/>
      <c r="K1706" s="104"/>
      <c r="L1706" s="104"/>
      <c r="M1706" s="104"/>
      <c r="N1706" s="104"/>
      <c r="O1706" s="104"/>
      <c r="P1706" s="104"/>
      <c r="Q1706" s="104"/>
      <c r="R1706" s="104"/>
      <c r="S1706" s="104"/>
    </row>
    <row r="1707" spans="4:19">
      <c r="D1707" s="104"/>
      <c r="E1707" s="104"/>
      <c r="F1707" s="104"/>
      <c r="G1707" s="104"/>
      <c r="H1707" s="104"/>
      <c r="I1707" s="104"/>
      <c r="J1707" s="104"/>
      <c r="K1707" s="104"/>
      <c r="L1707" s="104"/>
      <c r="M1707" s="104"/>
      <c r="N1707" s="104"/>
      <c r="O1707" s="104"/>
      <c r="P1707" s="104"/>
      <c r="Q1707" s="104"/>
      <c r="R1707" s="104"/>
      <c r="S1707" s="104"/>
    </row>
    <row r="1708" spans="4:19">
      <c r="D1708" s="104"/>
      <c r="E1708" s="104"/>
      <c r="F1708" s="104"/>
      <c r="G1708" s="104"/>
      <c r="H1708" s="104"/>
      <c r="I1708" s="104"/>
      <c r="J1708" s="104"/>
      <c r="K1708" s="104"/>
      <c r="L1708" s="104"/>
      <c r="M1708" s="104"/>
      <c r="N1708" s="104"/>
      <c r="O1708" s="104"/>
      <c r="P1708" s="104"/>
      <c r="Q1708" s="104"/>
      <c r="R1708" s="104"/>
      <c r="S1708" s="104"/>
    </row>
    <row r="1709" spans="4:19">
      <c r="D1709" s="104"/>
      <c r="E1709" s="104"/>
      <c r="F1709" s="104"/>
      <c r="G1709" s="104"/>
      <c r="H1709" s="104"/>
      <c r="I1709" s="104"/>
      <c r="J1709" s="104"/>
      <c r="K1709" s="104"/>
      <c r="L1709" s="104"/>
      <c r="M1709" s="104"/>
      <c r="N1709" s="104"/>
      <c r="O1709" s="104"/>
      <c r="P1709" s="104"/>
      <c r="Q1709" s="104"/>
      <c r="R1709" s="104"/>
      <c r="S1709" s="104"/>
    </row>
    <row r="1710" spans="4:19">
      <c r="D1710" s="104"/>
      <c r="E1710" s="104"/>
      <c r="F1710" s="104"/>
      <c r="G1710" s="104"/>
      <c r="H1710" s="104"/>
      <c r="I1710" s="104"/>
      <c r="J1710" s="104"/>
      <c r="K1710" s="104"/>
      <c r="L1710" s="104"/>
      <c r="M1710" s="104"/>
      <c r="N1710" s="104"/>
      <c r="O1710" s="104"/>
      <c r="P1710" s="104"/>
      <c r="Q1710" s="104"/>
      <c r="R1710" s="104"/>
      <c r="S1710" s="104"/>
    </row>
    <row r="1711" spans="4:19">
      <c r="D1711" s="104"/>
      <c r="E1711" s="104"/>
      <c r="F1711" s="104"/>
      <c r="G1711" s="104"/>
      <c r="H1711" s="104"/>
      <c r="I1711" s="104"/>
      <c r="J1711" s="104"/>
      <c r="K1711" s="104"/>
      <c r="L1711" s="104"/>
      <c r="M1711" s="104"/>
      <c r="N1711" s="104"/>
      <c r="O1711" s="104"/>
      <c r="P1711" s="104"/>
      <c r="Q1711" s="104"/>
      <c r="R1711" s="104"/>
      <c r="S1711" s="104"/>
    </row>
    <row r="1712" spans="4:19">
      <c r="D1712" s="104"/>
      <c r="E1712" s="104"/>
      <c r="F1712" s="104"/>
      <c r="G1712" s="104"/>
      <c r="H1712" s="104"/>
      <c r="I1712" s="104"/>
      <c r="J1712" s="104"/>
      <c r="K1712" s="104"/>
      <c r="L1712" s="104"/>
      <c r="M1712" s="104"/>
      <c r="N1712" s="104"/>
      <c r="O1712" s="104"/>
      <c r="P1712" s="104"/>
      <c r="Q1712" s="104"/>
      <c r="R1712" s="104"/>
      <c r="S1712" s="104"/>
    </row>
    <row r="1713" spans="4:19">
      <c r="D1713" s="104"/>
      <c r="E1713" s="104"/>
      <c r="F1713" s="104"/>
      <c r="G1713" s="104"/>
      <c r="H1713" s="104"/>
      <c r="I1713" s="104"/>
      <c r="J1713" s="104"/>
      <c r="K1713" s="104"/>
      <c r="L1713" s="104"/>
      <c r="M1713" s="104"/>
      <c r="N1713" s="104"/>
      <c r="O1713" s="104"/>
      <c r="P1713" s="104"/>
      <c r="Q1713" s="104"/>
      <c r="R1713" s="104"/>
      <c r="S1713" s="104"/>
    </row>
    <row r="1714" spans="4:19">
      <c r="D1714" s="104"/>
      <c r="E1714" s="104"/>
      <c r="F1714" s="104"/>
      <c r="G1714" s="104"/>
      <c r="H1714" s="104"/>
      <c r="I1714" s="104"/>
      <c r="J1714" s="104"/>
      <c r="K1714" s="104"/>
      <c r="L1714" s="104"/>
      <c r="M1714" s="104"/>
      <c r="N1714" s="104"/>
      <c r="O1714" s="104"/>
      <c r="P1714" s="104"/>
      <c r="Q1714" s="104"/>
      <c r="R1714" s="104"/>
      <c r="S1714" s="104"/>
    </row>
    <row r="1715" spans="4:19">
      <c r="D1715" s="104"/>
      <c r="E1715" s="104"/>
      <c r="F1715" s="104"/>
      <c r="G1715" s="104"/>
      <c r="H1715" s="104"/>
      <c r="I1715" s="104"/>
      <c r="J1715" s="104"/>
      <c r="K1715" s="104"/>
      <c r="L1715" s="104"/>
      <c r="M1715" s="104"/>
      <c r="N1715" s="104"/>
      <c r="O1715" s="104"/>
      <c r="P1715" s="104"/>
      <c r="Q1715" s="104"/>
      <c r="R1715" s="104"/>
      <c r="S1715" s="104"/>
    </row>
    <row r="1716" spans="4:19">
      <c r="D1716" s="104"/>
      <c r="E1716" s="104"/>
      <c r="F1716" s="104"/>
      <c r="G1716" s="104"/>
      <c r="H1716" s="104"/>
      <c r="I1716" s="104"/>
      <c r="J1716" s="104"/>
      <c r="K1716" s="104"/>
      <c r="L1716" s="104"/>
      <c r="M1716" s="104"/>
      <c r="N1716" s="104"/>
      <c r="O1716" s="104"/>
      <c r="P1716" s="104"/>
      <c r="Q1716" s="104"/>
      <c r="R1716" s="104"/>
      <c r="S1716" s="104"/>
    </row>
    <row r="1717" spans="4:19">
      <c r="D1717" s="104"/>
      <c r="E1717" s="104"/>
      <c r="F1717" s="104"/>
      <c r="G1717" s="104"/>
      <c r="H1717" s="104"/>
      <c r="I1717" s="104"/>
      <c r="J1717" s="104"/>
      <c r="K1717" s="104"/>
      <c r="L1717" s="104"/>
      <c r="M1717" s="104"/>
      <c r="N1717" s="104"/>
      <c r="O1717" s="104"/>
      <c r="P1717" s="104"/>
      <c r="Q1717" s="104"/>
      <c r="R1717" s="104"/>
      <c r="S1717" s="104"/>
    </row>
    <row r="1718" spans="4:19">
      <c r="D1718" s="104"/>
      <c r="E1718" s="104"/>
      <c r="F1718" s="104"/>
      <c r="G1718" s="104"/>
      <c r="H1718" s="104"/>
      <c r="I1718" s="104"/>
      <c r="J1718" s="104"/>
      <c r="K1718" s="104"/>
      <c r="L1718" s="104"/>
      <c r="M1718" s="104"/>
      <c r="N1718" s="104"/>
      <c r="O1718" s="104"/>
      <c r="P1718" s="104"/>
      <c r="Q1718" s="104"/>
      <c r="R1718" s="104"/>
      <c r="S1718" s="104"/>
    </row>
    <row r="1719" spans="4:19">
      <c r="D1719" s="104"/>
      <c r="E1719" s="104"/>
      <c r="F1719" s="104"/>
      <c r="G1719" s="104"/>
      <c r="H1719" s="104"/>
      <c r="I1719" s="104"/>
      <c r="J1719" s="104"/>
      <c r="K1719" s="104"/>
      <c r="L1719" s="104"/>
      <c r="M1719" s="104"/>
      <c r="N1719" s="104"/>
      <c r="O1719" s="104"/>
      <c r="P1719" s="104"/>
      <c r="Q1719" s="104"/>
      <c r="R1719" s="104"/>
      <c r="S1719" s="104"/>
    </row>
    <row r="1720" spans="4:19">
      <c r="D1720" s="104"/>
      <c r="E1720" s="104"/>
      <c r="F1720" s="104"/>
      <c r="G1720" s="104"/>
      <c r="H1720" s="104"/>
      <c r="I1720" s="104"/>
      <c r="J1720" s="104"/>
      <c r="K1720" s="104"/>
      <c r="L1720" s="104"/>
      <c r="M1720" s="104"/>
      <c r="N1720" s="104"/>
      <c r="O1720" s="104"/>
      <c r="P1720" s="104"/>
      <c r="Q1720" s="104"/>
      <c r="R1720" s="104"/>
      <c r="S1720" s="104"/>
    </row>
    <row r="1721" spans="4:19">
      <c r="D1721" s="104"/>
      <c r="E1721" s="104"/>
      <c r="F1721" s="104"/>
      <c r="G1721" s="104"/>
      <c r="H1721" s="104"/>
      <c r="I1721" s="104"/>
      <c r="J1721" s="104"/>
      <c r="K1721" s="104"/>
      <c r="L1721" s="104"/>
      <c r="M1721" s="104"/>
      <c r="N1721" s="104"/>
      <c r="O1721" s="104"/>
      <c r="P1721" s="104"/>
      <c r="Q1721" s="104"/>
      <c r="R1721" s="104"/>
      <c r="S1721" s="104"/>
    </row>
    <row r="1722" spans="4:19">
      <c r="D1722" s="104"/>
      <c r="E1722" s="104"/>
      <c r="F1722" s="104"/>
      <c r="G1722" s="104"/>
      <c r="H1722" s="104"/>
      <c r="I1722" s="104"/>
      <c r="J1722" s="104"/>
      <c r="K1722" s="104"/>
      <c r="L1722" s="104"/>
      <c r="M1722" s="104"/>
      <c r="N1722" s="104"/>
      <c r="O1722" s="104"/>
      <c r="P1722" s="104"/>
      <c r="Q1722" s="104"/>
      <c r="R1722" s="104"/>
      <c r="S1722" s="104"/>
    </row>
    <row r="1723" spans="4:19">
      <c r="D1723" s="104"/>
      <c r="E1723" s="104"/>
      <c r="F1723" s="104"/>
      <c r="G1723" s="104"/>
      <c r="H1723" s="104"/>
      <c r="I1723" s="104"/>
      <c r="J1723" s="104"/>
      <c r="K1723" s="104"/>
      <c r="L1723" s="104"/>
      <c r="M1723" s="104"/>
      <c r="N1723" s="104"/>
      <c r="O1723" s="104"/>
      <c r="P1723" s="104"/>
      <c r="Q1723" s="104"/>
      <c r="R1723" s="104"/>
      <c r="S1723" s="104"/>
    </row>
    <row r="1724" spans="4:19">
      <c r="D1724" s="104"/>
      <c r="E1724" s="104"/>
      <c r="F1724" s="104"/>
      <c r="G1724" s="104"/>
      <c r="H1724" s="104"/>
      <c r="I1724" s="104"/>
      <c r="J1724" s="104"/>
      <c r="K1724" s="104"/>
      <c r="L1724" s="104"/>
      <c r="M1724" s="104"/>
      <c r="N1724" s="104"/>
      <c r="O1724" s="104"/>
      <c r="P1724" s="104"/>
      <c r="Q1724" s="104"/>
      <c r="R1724" s="104"/>
      <c r="S1724" s="104"/>
    </row>
    <row r="1725" spans="4:19">
      <c r="D1725" s="104"/>
      <c r="E1725" s="104"/>
      <c r="F1725" s="104"/>
      <c r="G1725" s="104"/>
      <c r="H1725" s="104"/>
      <c r="I1725" s="104"/>
      <c r="J1725" s="104"/>
      <c r="K1725" s="104"/>
      <c r="L1725" s="104"/>
      <c r="M1725" s="104"/>
      <c r="N1725" s="104"/>
      <c r="O1725" s="104"/>
      <c r="P1725" s="104"/>
      <c r="Q1725" s="104"/>
      <c r="R1725" s="104"/>
      <c r="S1725" s="104"/>
    </row>
    <row r="1726" spans="4:19">
      <c r="D1726" s="104"/>
      <c r="E1726" s="104"/>
      <c r="F1726" s="104"/>
      <c r="G1726" s="104"/>
      <c r="H1726" s="104"/>
      <c r="I1726" s="104"/>
      <c r="J1726" s="104"/>
      <c r="K1726" s="104"/>
      <c r="L1726" s="104"/>
      <c r="M1726" s="104"/>
      <c r="N1726" s="104"/>
      <c r="O1726" s="104"/>
      <c r="P1726" s="104"/>
      <c r="Q1726" s="104"/>
      <c r="R1726" s="104"/>
      <c r="S1726" s="104"/>
    </row>
    <row r="1727" spans="4:19">
      <c r="D1727" s="104"/>
      <c r="E1727" s="104"/>
      <c r="F1727" s="104"/>
      <c r="G1727" s="104"/>
      <c r="H1727" s="104"/>
      <c r="I1727" s="104"/>
      <c r="J1727" s="104"/>
      <c r="K1727" s="104"/>
      <c r="L1727" s="104"/>
      <c r="M1727" s="104"/>
      <c r="N1727" s="104"/>
      <c r="O1727" s="104"/>
      <c r="P1727" s="104"/>
      <c r="Q1727" s="104"/>
      <c r="R1727" s="104"/>
      <c r="S1727" s="104"/>
    </row>
    <row r="1728" spans="4:19">
      <c r="D1728" s="104"/>
      <c r="E1728" s="104"/>
      <c r="F1728" s="104"/>
      <c r="G1728" s="104"/>
      <c r="H1728" s="104"/>
      <c r="I1728" s="104"/>
      <c r="J1728" s="104"/>
      <c r="K1728" s="104"/>
      <c r="L1728" s="104"/>
      <c r="M1728" s="104"/>
      <c r="N1728" s="104"/>
      <c r="O1728" s="104"/>
      <c r="P1728" s="104"/>
      <c r="Q1728" s="104"/>
      <c r="R1728" s="104"/>
      <c r="S1728" s="104"/>
    </row>
    <row r="1729" spans="4:19">
      <c r="D1729" s="104"/>
      <c r="E1729" s="104"/>
      <c r="F1729" s="104"/>
      <c r="G1729" s="104"/>
      <c r="H1729" s="104"/>
      <c r="I1729" s="104"/>
      <c r="J1729" s="104"/>
      <c r="K1729" s="104"/>
      <c r="L1729" s="104"/>
      <c r="M1729" s="104"/>
      <c r="N1729" s="104"/>
      <c r="O1729" s="104"/>
      <c r="P1729" s="104"/>
      <c r="Q1729" s="104"/>
      <c r="R1729" s="104"/>
      <c r="S1729" s="104"/>
    </row>
    <row r="1730" spans="4:19">
      <c r="D1730" s="104"/>
      <c r="E1730" s="104"/>
      <c r="F1730" s="104"/>
      <c r="G1730" s="104"/>
      <c r="H1730" s="104"/>
      <c r="I1730" s="104"/>
      <c r="J1730" s="104"/>
      <c r="K1730" s="104"/>
      <c r="L1730" s="104"/>
      <c r="M1730" s="104"/>
      <c r="N1730" s="104"/>
      <c r="O1730" s="104"/>
      <c r="P1730" s="104"/>
      <c r="Q1730" s="104"/>
      <c r="R1730" s="104"/>
      <c r="S1730" s="104"/>
    </row>
    <row r="1731" spans="4:19">
      <c r="D1731" s="104"/>
      <c r="E1731" s="104"/>
      <c r="F1731" s="104"/>
      <c r="G1731" s="104"/>
      <c r="H1731" s="104"/>
      <c r="I1731" s="104"/>
      <c r="J1731" s="104"/>
      <c r="K1731" s="104"/>
      <c r="L1731" s="104"/>
      <c r="M1731" s="104"/>
      <c r="N1731" s="104"/>
      <c r="O1731" s="104"/>
      <c r="P1731" s="104"/>
      <c r="Q1731" s="104"/>
      <c r="R1731" s="104"/>
      <c r="S1731" s="104"/>
    </row>
    <row r="1732" spans="4:19">
      <c r="D1732" s="104"/>
      <c r="E1732" s="104"/>
      <c r="F1732" s="104"/>
      <c r="G1732" s="104"/>
      <c r="H1732" s="104"/>
      <c r="I1732" s="104"/>
      <c r="J1732" s="104"/>
      <c r="K1732" s="104"/>
      <c r="L1732" s="104"/>
      <c r="M1732" s="104"/>
      <c r="N1732" s="104"/>
      <c r="O1732" s="104"/>
      <c r="P1732" s="104"/>
      <c r="Q1732" s="104"/>
      <c r="R1732" s="104"/>
      <c r="S1732" s="104"/>
    </row>
    <row r="1733" spans="4:19">
      <c r="D1733" s="104"/>
      <c r="E1733" s="104"/>
      <c r="F1733" s="104"/>
      <c r="G1733" s="104"/>
      <c r="H1733" s="104"/>
      <c r="I1733" s="104"/>
      <c r="J1733" s="104"/>
      <c r="K1733" s="104"/>
      <c r="L1733" s="104"/>
      <c r="M1733" s="104"/>
      <c r="N1733" s="104"/>
      <c r="O1733" s="104"/>
      <c r="P1733" s="104"/>
      <c r="Q1733" s="104"/>
      <c r="R1733" s="104"/>
      <c r="S1733" s="104"/>
    </row>
    <row r="1734" spans="4:19">
      <c r="D1734" s="104"/>
      <c r="E1734" s="104"/>
      <c r="F1734" s="104"/>
      <c r="G1734" s="104"/>
      <c r="H1734" s="104"/>
      <c r="I1734" s="104"/>
      <c r="J1734" s="104"/>
      <c r="K1734" s="104"/>
      <c r="L1734" s="104"/>
      <c r="M1734" s="104"/>
      <c r="N1734" s="104"/>
      <c r="O1734" s="104"/>
      <c r="P1734" s="104"/>
      <c r="Q1734" s="104"/>
      <c r="R1734" s="104"/>
      <c r="S1734" s="104"/>
    </row>
    <row r="1735" spans="4:19">
      <c r="D1735" s="104"/>
      <c r="E1735" s="104"/>
      <c r="F1735" s="104"/>
      <c r="G1735" s="104"/>
      <c r="H1735" s="104"/>
      <c r="I1735" s="104"/>
      <c r="J1735" s="104"/>
      <c r="K1735" s="104"/>
      <c r="L1735" s="104"/>
      <c r="M1735" s="104"/>
      <c r="N1735" s="104"/>
      <c r="O1735" s="104"/>
      <c r="P1735" s="104"/>
      <c r="Q1735" s="104"/>
      <c r="R1735" s="104"/>
      <c r="S1735" s="104"/>
    </row>
    <row r="1736" spans="4:19">
      <c r="D1736" s="104"/>
      <c r="E1736" s="104"/>
      <c r="F1736" s="104"/>
      <c r="G1736" s="104"/>
      <c r="H1736" s="104"/>
      <c r="I1736" s="104"/>
      <c r="J1736" s="104"/>
      <c r="K1736" s="104"/>
      <c r="L1736" s="104"/>
      <c r="M1736" s="104"/>
      <c r="N1736" s="104"/>
      <c r="O1736" s="104"/>
      <c r="P1736" s="104"/>
      <c r="Q1736" s="104"/>
      <c r="R1736" s="104"/>
      <c r="S1736" s="104"/>
    </row>
    <row r="1737" spans="4:19">
      <c r="D1737" s="104"/>
      <c r="E1737" s="104"/>
      <c r="F1737" s="104"/>
      <c r="G1737" s="104"/>
      <c r="H1737" s="104"/>
      <c r="I1737" s="104"/>
      <c r="J1737" s="104"/>
      <c r="K1737" s="104"/>
      <c r="L1737" s="104"/>
      <c r="M1737" s="104"/>
      <c r="N1737" s="104"/>
      <c r="O1737" s="104"/>
      <c r="P1737" s="104"/>
      <c r="Q1737" s="104"/>
      <c r="R1737" s="104"/>
      <c r="S1737" s="104"/>
    </row>
    <row r="1738" spans="4:19">
      <c r="D1738" s="104"/>
      <c r="E1738" s="104"/>
      <c r="F1738" s="104"/>
      <c r="G1738" s="104"/>
      <c r="H1738" s="104"/>
      <c r="I1738" s="104"/>
      <c r="J1738" s="104"/>
      <c r="K1738" s="104"/>
      <c r="L1738" s="104"/>
      <c r="M1738" s="104"/>
      <c r="N1738" s="104"/>
      <c r="O1738" s="104"/>
      <c r="P1738" s="104"/>
      <c r="Q1738" s="104"/>
      <c r="R1738" s="104"/>
      <c r="S1738" s="104"/>
    </row>
    <row r="1739" spans="4:19">
      <c r="D1739" s="104"/>
      <c r="E1739" s="104"/>
      <c r="F1739" s="104"/>
      <c r="G1739" s="104"/>
      <c r="H1739" s="104"/>
      <c r="I1739" s="104"/>
      <c r="J1739" s="104"/>
      <c r="K1739" s="104"/>
      <c r="L1739" s="104"/>
      <c r="M1739" s="104"/>
      <c r="N1739" s="104"/>
      <c r="O1739" s="104"/>
      <c r="P1739" s="104"/>
      <c r="Q1739" s="104"/>
      <c r="R1739" s="104"/>
      <c r="S1739" s="104"/>
    </row>
    <row r="1740" spans="4:19">
      <c r="D1740" s="104"/>
      <c r="E1740" s="104"/>
      <c r="F1740" s="104"/>
      <c r="G1740" s="104"/>
      <c r="H1740" s="104"/>
      <c r="I1740" s="104"/>
      <c r="J1740" s="104"/>
      <c r="K1740" s="104"/>
      <c r="L1740" s="104"/>
      <c r="M1740" s="104"/>
      <c r="N1740" s="104"/>
      <c r="O1740" s="104"/>
      <c r="P1740" s="104"/>
      <c r="Q1740" s="104"/>
      <c r="R1740" s="104"/>
      <c r="S1740" s="104"/>
    </row>
    <row r="1741" spans="4:19">
      <c r="D1741" s="104"/>
      <c r="E1741" s="104"/>
      <c r="F1741" s="104"/>
      <c r="G1741" s="104"/>
      <c r="H1741" s="104"/>
      <c r="I1741" s="104"/>
      <c r="J1741" s="104"/>
      <c r="K1741" s="104"/>
      <c r="L1741" s="104"/>
      <c r="M1741" s="104"/>
      <c r="N1741" s="104"/>
      <c r="O1741" s="104"/>
      <c r="P1741" s="104"/>
      <c r="Q1741" s="104"/>
      <c r="R1741" s="104"/>
      <c r="S1741" s="104"/>
    </row>
    <row r="1742" spans="4:19">
      <c r="D1742" s="104"/>
      <c r="E1742" s="104"/>
      <c r="F1742" s="104"/>
      <c r="G1742" s="104"/>
      <c r="H1742" s="104"/>
      <c r="I1742" s="104"/>
      <c r="J1742" s="104"/>
      <c r="K1742" s="104"/>
      <c r="L1742" s="104"/>
      <c r="M1742" s="104"/>
      <c r="N1742" s="104"/>
      <c r="O1742" s="104"/>
      <c r="P1742" s="104"/>
      <c r="Q1742" s="104"/>
      <c r="R1742" s="104"/>
      <c r="S1742" s="104"/>
    </row>
    <row r="1743" spans="4:19">
      <c r="D1743" s="104"/>
      <c r="E1743" s="104"/>
      <c r="F1743" s="104"/>
      <c r="G1743" s="104"/>
      <c r="H1743" s="104"/>
      <c r="I1743" s="104"/>
      <c r="J1743" s="104"/>
      <c r="K1743" s="104"/>
      <c r="L1743" s="104"/>
      <c r="M1743" s="104"/>
      <c r="N1743" s="104"/>
      <c r="O1743" s="104"/>
      <c r="P1743" s="104"/>
      <c r="Q1743" s="104"/>
      <c r="R1743" s="104"/>
      <c r="S1743" s="104"/>
    </row>
    <row r="1744" spans="4:19">
      <c r="D1744" s="104"/>
      <c r="E1744" s="104"/>
      <c r="F1744" s="104"/>
      <c r="G1744" s="104"/>
      <c r="H1744" s="104"/>
      <c r="I1744" s="104"/>
      <c r="J1744" s="104"/>
      <c r="K1744" s="104"/>
      <c r="L1744" s="104"/>
      <c r="M1744" s="104"/>
      <c r="N1744" s="104"/>
      <c r="O1744" s="104"/>
      <c r="P1744" s="104"/>
      <c r="Q1744" s="104"/>
      <c r="R1744" s="104"/>
      <c r="S1744" s="104"/>
    </row>
    <row r="1745" spans="4:19">
      <c r="D1745" s="104"/>
      <c r="E1745" s="104"/>
      <c r="F1745" s="104"/>
      <c r="G1745" s="104"/>
      <c r="H1745" s="104"/>
      <c r="I1745" s="104"/>
      <c r="J1745" s="104"/>
      <c r="K1745" s="104"/>
      <c r="L1745" s="104"/>
      <c r="M1745" s="104"/>
      <c r="N1745" s="104"/>
      <c r="O1745" s="104"/>
      <c r="P1745" s="104"/>
      <c r="Q1745" s="104"/>
      <c r="R1745" s="104"/>
      <c r="S1745" s="104"/>
    </row>
    <row r="1746" spans="4:19">
      <c r="D1746" s="104"/>
      <c r="E1746" s="104"/>
      <c r="F1746" s="104"/>
      <c r="G1746" s="104"/>
      <c r="H1746" s="104"/>
      <c r="I1746" s="104"/>
      <c r="J1746" s="104"/>
      <c r="K1746" s="104"/>
      <c r="L1746" s="104"/>
      <c r="M1746" s="104"/>
      <c r="N1746" s="104"/>
      <c r="O1746" s="104"/>
      <c r="P1746" s="104"/>
      <c r="Q1746" s="104"/>
      <c r="R1746" s="104"/>
      <c r="S1746" s="104"/>
    </row>
    <row r="1747" spans="4:19">
      <c r="D1747" s="104"/>
      <c r="E1747" s="104"/>
      <c r="F1747" s="104"/>
      <c r="G1747" s="104"/>
      <c r="H1747" s="104"/>
      <c r="I1747" s="104"/>
      <c r="J1747" s="104"/>
      <c r="K1747" s="104"/>
      <c r="L1747" s="104"/>
      <c r="M1747" s="104"/>
      <c r="N1747" s="104"/>
      <c r="O1747" s="104"/>
      <c r="P1747" s="104"/>
      <c r="Q1747" s="104"/>
      <c r="R1747" s="104"/>
      <c r="S1747" s="104"/>
    </row>
    <row r="1748" spans="4:19">
      <c r="D1748" s="104"/>
      <c r="E1748" s="104"/>
      <c r="F1748" s="104"/>
      <c r="G1748" s="104"/>
      <c r="H1748" s="104"/>
      <c r="I1748" s="104"/>
      <c r="J1748" s="104"/>
      <c r="K1748" s="104"/>
      <c r="L1748" s="104"/>
      <c r="M1748" s="104"/>
      <c r="N1748" s="104"/>
      <c r="O1748" s="104"/>
      <c r="P1748" s="104"/>
      <c r="Q1748" s="104"/>
      <c r="R1748" s="104"/>
      <c r="S1748" s="104"/>
    </row>
    <row r="1749" spans="4:19">
      <c r="D1749" s="104"/>
      <c r="E1749" s="104"/>
      <c r="F1749" s="104"/>
      <c r="G1749" s="104"/>
      <c r="H1749" s="104"/>
      <c r="I1749" s="104"/>
      <c r="J1749" s="104"/>
      <c r="K1749" s="104"/>
      <c r="L1749" s="104"/>
      <c r="M1749" s="104"/>
      <c r="N1749" s="104"/>
      <c r="O1749" s="104"/>
      <c r="P1749" s="104"/>
      <c r="Q1749" s="104"/>
      <c r="R1749" s="104"/>
      <c r="S1749" s="104"/>
    </row>
    <row r="1750" spans="4:19">
      <c r="D1750" s="104"/>
      <c r="E1750" s="104"/>
      <c r="F1750" s="104"/>
      <c r="G1750" s="104"/>
      <c r="H1750" s="104"/>
      <c r="I1750" s="104"/>
      <c r="J1750" s="104"/>
      <c r="K1750" s="104"/>
      <c r="L1750" s="104"/>
      <c r="M1750" s="104"/>
      <c r="N1750" s="104"/>
      <c r="O1750" s="104"/>
      <c r="P1750" s="104"/>
      <c r="Q1750" s="104"/>
      <c r="R1750" s="104"/>
      <c r="S1750" s="104"/>
    </row>
    <row r="1751" spans="4:19">
      <c r="D1751" s="104"/>
      <c r="E1751" s="104"/>
      <c r="F1751" s="104"/>
      <c r="G1751" s="104"/>
      <c r="H1751" s="104"/>
      <c r="I1751" s="104"/>
      <c r="J1751" s="104"/>
      <c r="K1751" s="104"/>
      <c r="L1751" s="104"/>
      <c r="M1751" s="104"/>
      <c r="N1751" s="104"/>
      <c r="O1751" s="104"/>
      <c r="P1751" s="104"/>
      <c r="Q1751" s="104"/>
      <c r="R1751" s="104"/>
      <c r="S1751" s="104"/>
    </row>
    <row r="1752" spans="4:19">
      <c r="D1752" s="104"/>
      <c r="E1752" s="104"/>
      <c r="F1752" s="104"/>
      <c r="G1752" s="104"/>
      <c r="H1752" s="104"/>
      <c r="I1752" s="104"/>
      <c r="J1752" s="104"/>
      <c r="K1752" s="104"/>
      <c r="L1752" s="104"/>
      <c r="M1752" s="104"/>
      <c r="N1752" s="104"/>
      <c r="O1752" s="104"/>
      <c r="P1752" s="104"/>
      <c r="Q1752" s="104"/>
      <c r="R1752" s="104"/>
      <c r="S1752" s="104"/>
    </row>
    <row r="1753" spans="4:19">
      <c r="D1753" s="104"/>
      <c r="E1753" s="104"/>
      <c r="F1753" s="104"/>
      <c r="G1753" s="104"/>
      <c r="H1753" s="104"/>
      <c r="I1753" s="104"/>
      <c r="J1753" s="104"/>
      <c r="K1753" s="104"/>
      <c r="L1753" s="104"/>
      <c r="M1753" s="104"/>
      <c r="N1753" s="104"/>
      <c r="O1753" s="104"/>
      <c r="P1753" s="104"/>
      <c r="Q1753" s="104"/>
      <c r="R1753" s="104"/>
      <c r="S1753" s="104"/>
    </row>
    <row r="1754" spans="4:19">
      <c r="D1754" s="104"/>
      <c r="E1754" s="104"/>
      <c r="F1754" s="104"/>
      <c r="G1754" s="104"/>
      <c r="H1754" s="104"/>
      <c r="I1754" s="104"/>
      <c r="J1754" s="104"/>
      <c r="K1754" s="104"/>
      <c r="L1754" s="104"/>
      <c r="M1754" s="104"/>
      <c r="N1754" s="104"/>
      <c r="O1754" s="104"/>
      <c r="P1754" s="104"/>
      <c r="Q1754" s="104"/>
      <c r="R1754" s="104"/>
      <c r="S1754" s="104"/>
    </row>
    <row r="1755" spans="4:19">
      <c r="D1755" s="104"/>
      <c r="E1755" s="104"/>
      <c r="F1755" s="104"/>
      <c r="G1755" s="104"/>
      <c r="H1755" s="104"/>
      <c r="I1755" s="104"/>
      <c r="J1755" s="104"/>
      <c r="K1755" s="104"/>
      <c r="L1755" s="104"/>
      <c r="M1755" s="104"/>
      <c r="N1755" s="104"/>
      <c r="O1755" s="104"/>
      <c r="P1755" s="104"/>
      <c r="Q1755" s="104"/>
      <c r="R1755" s="104"/>
      <c r="S1755" s="104"/>
    </row>
    <row r="1756" spans="4:19">
      <c r="D1756" s="104"/>
      <c r="E1756" s="104"/>
      <c r="F1756" s="104"/>
      <c r="G1756" s="104"/>
      <c r="H1756" s="104"/>
      <c r="I1756" s="104"/>
      <c r="J1756" s="104"/>
      <c r="K1756" s="104"/>
      <c r="L1756" s="104"/>
      <c r="M1756" s="104"/>
      <c r="N1756" s="104"/>
      <c r="O1756" s="104"/>
      <c r="P1756" s="104"/>
      <c r="Q1756" s="104"/>
      <c r="R1756" s="104"/>
      <c r="S1756" s="104"/>
    </row>
    <row r="1757" spans="4:19">
      <c r="D1757" s="104"/>
      <c r="E1757" s="104"/>
      <c r="F1757" s="104"/>
      <c r="G1757" s="104"/>
      <c r="H1757" s="104"/>
      <c r="I1757" s="104"/>
      <c r="J1757" s="104"/>
      <c r="K1757" s="104"/>
      <c r="L1757" s="104"/>
      <c r="M1757" s="104"/>
      <c r="N1757" s="104"/>
      <c r="O1757" s="104"/>
      <c r="P1757" s="104"/>
      <c r="Q1757" s="104"/>
      <c r="R1757" s="104"/>
      <c r="S1757" s="104"/>
    </row>
    <row r="1758" spans="4:19">
      <c r="D1758" s="104"/>
      <c r="E1758" s="104"/>
      <c r="F1758" s="104"/>
      <c r="G1758" s="104"/>
      <c r="H1758" s="104"/>
      <c r="I1758" s="104"/>
      <c r="J1758" s="104"/>
      <c r="K1758" s="104"/>
      <c r="L1758" s="104"/>
      <c r="M1758" s="104"/>
      <c r="N1758" s="104"/>
      <c r="O1758" s="104"/>
      <c r="P1758" s="104"/>
      <c r="Q1758" s="104"/>
      <c r="R1758" s="104"/>
      <c r="S1758" s="104"/>
    </row>
    <row r="1759" spans="4:19">
      <c r="D1759" s="104"/>
      <c r="E1759" s="104"/>
      <c r="F1759" s="104"/>
      <c r="G1759" s="104"/>
      <c r="H1759" s="104"/>
      <c r="I1759" s="104"/>
      <c r="J1759" s="104"/>
      <c r="K1759" s="104"/>
      <c r="L1759" s="104"/>
      <c r="M1759" s="104"/>
      <c r="N1759" s="104"/>
      <c r="O1759" s="104"/>
      <c r="P1759" s="104"/>
      <c r="Q1759" s="104"/>
      <c r="R1759" s="104"/>
      <c r="S1759" s="104"/>
    </row>
    <row r="1760" spans="4:19">
      <c r="D1760" s="104"/>
      <c r="E1760" s="104"/>
      <c r="F1760" s="104"/>
      <c r="G1760" s="104"/>
      <c r="H1760" s="104"/>
      <c r="I1760" s="104"/>
      <c r="J1760" s="104"/>
      <c r="K1760" s="104"/>
      <c r="L1760" s="104"/>
      <c r="M1760" s="104"/>
      <c r="N1760" s="104"/>
      <c r="O1760" s="104"/>
      <c r="P1760" s="104"/>
      <c r="Q1760" s="104"/>
      <c r="R1760" s="104"/>
      <c r="S1760" s="104"/>
    </row>
    <row r="1761" spans="4:19">
      <c r="D1761" s="104"/>
      <c r="E1761" s="104"/>
      <c r="F1761" s="104"/>
      <c r="G1761" s="104"/>
      <c r="H1761" s="104"/>
      <c r="I1761" s="104"/>
      <c r="J1761" s="104"/>
      <c r="K1761" s="104"/>
      <c r="L1761" s="104"/>
      <c r="M1761" s="104"/>
      <c r="N1761" s="104"/>
      <c r="O1761" s="104"/>
      <c r="P1761" s="104"/>
      <c r="Q1761" s="104"/>
      <c r="R1761" s="104"/>
      <c r="S1761" s="104"/>
    </row>
    <row r="1762" spans="4:19">
      <c r="D1762" s="104"/>
      <c r="E1762" s="104"/>
      <c r="F1762" s="104"/>
      <c r="G1762" s="104"/>
      <c r="H1762" s="104"/>
      <c r="I1762" s="104"/>
      <c r="J1762" s="104"/>
      <c r="K1762" s="104"/>
      <c r="L1762" s="104"/>
      <c r="M1762" s="104"/>
      <c r="N1762" s="104"/>
      <c r="O1762" s="104"/>
      <c r="P1762" s="104"/>
      <c r="Q1762" s="104"/>
      <c r="R1762" s="104"/>
      <c r="S1762" s="104"/>
    </row>
    <row r="1763" spans="4:19">
      <c r="D1763" s="104"/>
      <c r="E1763" s="104"/>
      <c r="F1763" s="104"/>
      <c r="G1763" s="104"/>
      <c r="H1763" s="104"/>
      <c r="I1763" s="104"/>
      <c r="J1763" s="104"/>
      <c r="K1763" s="104"/>
      <c r="L1763" s="104"/>
      <c r="M1763" s="104"/>
      <c r="N1763" s="104"/>
      <c r="O1763" s="104"/>
      <c r="P1763" s="104"/>
      <c r="Q1763" s="104"/>
      <c r="R1763" s="104"/>
      <c r="S1763" s="104"/>
    </row>
    <row r="1764" spans="4:19">
      <c r="D1764" s="104"/>
      <c r="E1764" s="104"/>
      <c r="F1764" s="104"/>
      <c r="G1764" s="104"/>
      <c r="H1764" s="104"/>
      <c r="I1764" s="104"/>
      <c r="J1764" s="104"/>
      <c r="K1764" s="104"/>
      <c r="L1764" s="104"/>
      <c r="M1764" s="104"/>
      <c r="N1764" s="104"/>
      <c r="O1764" s="104"/>
      <c r="P1764" s="104"/>
      <c r="Q1764" s="104"/>
      <c r="R1764" s="104"/>
      <c r="S1764" s="104"/>
    </row>
    <row r="1765" spans="4:19">
      <c r="D1765" s="104"/>
      <c r="E1765" s="104"/>
      <c r="F1765" s="104"/>
      <c r="G1765" s="104"/>
      <c r="H1765" s="104"/>
      <c r="I1765" s="104"/>
      <c r="J1765" s="104"/>
      <c r="K1765" s="104"/>
      <c r="L1765" s="104"/>
      <c r="M1765" s="104"/>
      <c r="N1765" s="104"/>
      <c r="O1765" s="104"/>
      <c r="P1765" s="104"/>
      <c r="Q1765" s="104"/>
      <c r="R1765" s="104"/>
      <c r="S1765" s="104"/>
    </row>
    <row r="1766" spans="4:19">
      <c r="D1766" s="104"/>
      <c r="E1766" s="104"/>
      <c r="F1766" s="104"/>
      <c r="G1766" s="104"/>
      <c r="H1766" s="104"/>
      <c r="I1766" s="104"/>
      <c r="J1766" s="104"/>
      <c r="K1766" s="104"/>
      <c r="L1766" s="104"/>
      <c r="M1766" s="104"/>
      <c r="N1766" s="104"/>
      <c r="O1766" s="104"/>
      <c r="P1766" s="104"/>
      <c r="Q1766" s="104"/>
      <c r="R1766" s="104"/>
      <c r="S1766" s="104"/>
    </row>
    <row r="1767" spans="4:19">
      <c r="D1767" s="104"/>
      <c r="E1767" s="104"/>
      <c r="F1767" s="104"/>
      <c r="G1767" s="104"/>
      <c r="H1767" s="104"/>
      <c r="I1767" s="104"/>
      <c r="J1767" s="104"/>
      <c r="K1767" s="104"/>
      <c r="L1767" s="104"/>
      <c r="M1767" s="104"/>
      <c r="N1767" s="104"/>
      <c r="O1767" s="104"/>
      <c r="P1767" s="104"/>
      <c r="Q1767" s="104"/>
      <c r="R1767" s="104"/>
      <c r="S1767" s="104"/>
    </row>
    <row r="1768" spans="4:19">
      <c r="D1768" s="104"/>
      <c r="E1768" s="104"/>
      <c r="F1768" s="104"/>
      <c r="G1768" s="104"/>
      <c r="H1768" s="104"/>
      <c r="I1768" s="104"/>
      <c r="J1768" s="104"/>
      <c r="K1768" s="104"/>
      <c r="L1768" s="104"/>
      <c r="M1768" s="104"/>
      <c r="N1768" s="104"/>
      <c r="O1768" s="104"/>
      <c r="P1768" s="104"/>
      <c r="Q1768" s="104"/>
      <c r="R1768" s="104"/>
      <c r="S1768" s="104"/>
    </row>
    <row r="1769" spans="4:19">
      <c r="D1769" s="104"/>
      <c r="E1769" s="104"/>
      <c r="F1769" s="104"/>
      <c r="G1769" s="104"/>
      <c r="H1769" s="104"/>
      <c r="I1769" s="104"/>
      <c r="J1769" s="104"/>
      <c r="K1769" s="104"/>
      <c r="L1769" s="104"/>
      <c r="M1769" s="104"/>
      <c r="N1769" s="104"/>
      <c r="O1769" s="104"/>
      <c r="P1769" s="104"/>
      <c r="Q1769" s="104"/>
      <c r="R1769" s="104"/>
      <c r="S1769" s="104"/>
    </row>
    <row r="1770" spans="4:19">
      <c r="D1770" s="104"/>
      <c r="E1770" s="104"/>
      <c r="F1770" s="104"/>
      <c r="G1770" s="104"/>
      <c r="H1770" s="104"/>
      <c r="I1770" s="104"/>
      <c r="J1770" s="104"/>
      <c r="K1770" s="104"/>
      <c r="L1770" s="104"/>
      <c r="M1770" s="104"/>
      <c r="N1770" s="104"/>
      <c r="O1770" s="104"/>
      <c r="P1770" s="104"/>
      <c r="Q1770" s="104"/>
      <c r="R1770" s="104"/>
      <c r="S1770" s="104"/>
    </row>
    <row r="1771" spans="4:19">
      <c r="D1771" s="104"/>
      <c r="E1771" s="104"/>
      <c r="F1771" s="104"/>
      <c r="G1771" s="104"/>
      <c r="H1771" s="104"/>
      <c r="I1771" s="104"/>
      <c r="J1771" s="104"/>
      <c r="K1771" s="104"/>
      <c r="L1771" s="104"/>
      <c r="M1771" s="104"/>
      <c r="N1771" s="104"/>
      <c r="O1771" s="104"/>
      <c r="P1771" s="104"/>
      <c r="Q1771" s="104"/>
      <c r="R1771" s="104"/>
      <c r="S1771" s="104"/>
    </row>
    <row r="1772" spans="4:19">
      <c r="D1772" s="104"/>
      <c r="E1772" s="104"/>
      <c r="F1772" s="104"/>
      <c r="G1772" s="104"/>
      <c r="H1772" s="104"/>
      <c r="I1772" s="104"/>
      <c r="J1772" s="104"/>
      <c r="K1772" s="104"/>
      <c r="L1772" s="104"/>
      <c r="M1772" s="104"/>
      <c r="N1772" s="104"/>
      <c r="O1772" s="104"/>
      <c r="P1772" s="104"/>
      <c r="Q1772" s="104"/>
      <c r="R1772" s="104"/>
      <c r="S1772" s="104"/>
    </row>
    <row r="1773" spans="4:19">
      <c r="D1773" s="104"/>
      <c r="E1773" s="104"/>
      <c r="F1773" s="104"/>
      <c r="G1773" s="104"/>
      <c r="H1773" s="104"/>
      <c r="I1773" s="104"/>
      <c r="J1773" s="104"/>
      <c r="K1773" s="104"/>
      <c r="L1773" s="104"/>
      <c r="M1773" s="104"/>
      <c r="N1773" s="104"/>
      <c r="O1773" s="104"/>
      <c r="P1773" s="104"/>
      <c r="Q1773" s="104"/>
      <c r="R1773" s="104"/>
      <c r="S1773" s="104"/>
    </row>
    <row r="1774" spans="4:19">
      <c r="D1774" s="104"/>
      <c r="E1774" s="104"/>
      <c r="F1774" s="104"/>
      <c r="G1774" s="104"/>
      <c r="H1774" s="104"/>
      <c r="I1774" s="104"/>
      <c r="J1774" s="104"/>
      <c r="K1774" s="104"/>
      <c r="L1774" s="104"/>
      <c r="M1774" s="104"/>
      <c r="N1774" s="104"/>
      <c r="O1774" s="104"/>
      <c r="P1774" s="104"/>
      <c r="Q1774" s="104"/>
      <c r="R1774" s="104"/>
      <c r="S1774" s="104"/>
    </row>
    <row r="1775" spans="4:19">
      <c r="D1775" s="104"/>
      <c r="E1775" s="104"/>
      <c r="F1775" s="104"/>
      <c r="G1775" s="104"/>
      <c r="H1775" s="104"/>
      <c r="I1775" s="104"/>
      <c r="J1775" s="104"/>
      <c r="K1775" s="104"/>
      <c r="L1775" s="104"/>
      <c r="M1775" s="104"/>
      <c r="N1775" s="104"/>
      <c r="O1775" s="104"/>
      <c r="P1775" s="104"/>
      <c r="Q1775" s="104"/>
      <c r="R1775" s="104"/>
      <c r="S1775" s="104"/>
    </row>
    <row r="1776" spans="4:19">
      <c r="D1776" s="104"/>
      <c r="E1776" s="104"/>
      <c r="F1776" s="104"/>
      <c r="G1776" s="104"/>
      <c r="H1776" s="104"/>
      <c r="I1776" s="104"/>
      <c r="J1776" s="104"/>
      <c r="K1776" s="104"/>
      <c r="L1776" s="104"/>
      <c r="M1776" s="104"/>
      <c r="N1776" s="104"/>
      <c r="O1776" s="104"/>
      <c r="P1776" s="104"/>
      <c r="Q1776" s="104"/>
      <c r="R1776" s="104"/>
      <c r="S1776" s="104"/>
    </row>
    <row r="1777" spans="4:19">
      <c r="D1777" s="104"/>
      <c r="E1777" s="104"/>
      <c r="F1777" s="104"/>
      <c r="G1777" s="104"/>
      <c r="H1777" s="104"/>
      <c r="I1777" s="104"/>
      <c r="J1777" s="104"/>
      <c r="K1777" s="104"/>
      <c r="L1777" s="104"/>
      <c r="M1777" s="104"/>
      <c r="N1777" s="104"/>
      <c r="O1777" s="104"/>
      <c r="P1777" s="104"/>
      <c r="Q1777" s="104"/>
      <c r="R1777" s="104"/>
      <c r="S1777" s="104"/>
    </row>
    <row r="1778" spans="4:19">
      <c r="D1778" s="104"/>
      <c r="E1778" s="104"/>
      <c r="F1778" s="104"/>
      <c r="G1778" s="104"/>
      <c r="H1778" s="104"/>
      <c r="I1778" s="104"/>
      <c r="J1778" s="104"/>
      <c r="K1778" s="104"/>
      <c r="L1778" s="104"/>
      <c r="M1778" s="104"/>
      <c r="N1778" s="104"/>
      <c r="O1778" s="104"/>
      <c r="P1778" s="104"/>
      <c r="Q1778" s="104"/>
      <c r="R1778" s="104"/>
      <c r="S1778" s="104"/>
    </row>
    <row r="1779" spans="4:19">
      <c r="D1779" s="104"/>
      <c r="E1779" s="104"/>
      <c r="F1779" s="104"/>
      <c r="G1779" s="104"/>
      <c r="H1779" s="104"/>
      <c r="I1779" s="104"/>
      <c r="J1779" s="104"/>
      <c r="K1779" s="104"/>
      <c r="L1779" s="104"/>
      <c r="M1779" s="104"/>
      <c r="N1779" s="104"/>
      <c r="O1779" s="104"/>
      <c r="P1779" s="104"/>
      <c r="Q1779" s="104"/>
      <c r="R1779" s="104"/>
      <c r="S1779" s="104"/>
    </row>
    <row r="1780" spans="4:19">
      <c r="D1780" s="104"/>
      <c r="E1780" s="104"/>
      <c r="F1780" s="104"/>
      <c r="G1780" s="104"/>
      <c r="H1780" s="104"/>
      <c r="I1780" s="104"/>
      <c r="J1780" s="104"/>
      <c r="K1780" s="104"/>
      <c r="L1780" s="104"/>
      <c r="M1780" s="104"/>
      <c r="N1780" s="104"/>
      <c r="O1780" s="104"/>
      <c r="P1780" s="104"/>
      <c r="Q1780" s="104"/>
      <c r="R1780" s="104"/>
      <c r="S1780" s="104"/>
    </row>
    <row r="1781" spans="4:19">
      <c r="D1781" s="104"/>
      <c r="E1781" s="104"/>
      <c r="F1781" s="104"/>
      <c r="G1781" s="104"/>
      <c r="H1781" s="104"/>
      <c r="I1781" s="104"/>
      <c r="J1781" s="104"/>
      <c r="K1781" s="104"/>
      <c r="L1781" s="104"/>
      <c r="M1781" s="104"/>
      <c r="N1781" s="104"/>
      <c r="O1781" s="104"/>
      <c r="P1781" s="104"/>
      <c r="Q1781" s="104"/>
      <c r="R1781" s="104"/>
      <c r="S1781" s="104"/>
    </row>
    <row r="1782" spans="4:19">
      <c r="D1782" s="104"/>
      <c r="E1782" s="104"/>
      <c r="F1782" s="104"/>
      <c r="G1782" s="104"/>
      <c r="H1782" s="104"/>
      <c r="I1782" s="104"/>
      <c r="J1782" s="104"/>
      <c r="K1782" s="104"/>
      <c r="L1782" s="104"/>
      <c r="M1782" s="104"/>
      <c r="N1782" s="104"/>
      <c r="O1782" s="104"/>
      <c r="P1782" s="104"/>
      <c r="Q1782" s="104"/>
      <c r="R1782" s="104"/>
      <c r="S1782" s="104"/>
    </row>
    <row r="1783" spans="4:19">
      <c r="D1783" s="104"/>
      <c r="E1783" s="104"/>
      <c r="F1783" s="104"/>
      <c r="G1783" s="104"/>
      <c r="H1783" s="104"/>
      <c r="I1783" s="104"/>
      <c r="J1783" s="104"/>
      <c r="K1783" s="104"/>
      <c r="L1783" s="104"/>
      <c r="M1783" s="104"/>
      <c r="N1783" s="104"/>
      <c r="O1783" s="104"/>
      <c r="P1783" s="104"/>
      <c r="Q1783" s="104"/>
      <c r="R1783" s="104"/>
      <c r="S1783" s="104"/>
    </row>
    <row r="1784" spans="4:19">
      <c r="D1784" s="104"/>
      <c r="E1784" s="104"/>
      <c r="F1784" s="104"/>
      <c r="G1784" s="104"/>
      <c r="H1784" s="104"/>
      <c r="I1784" s="104"/>
      <c r="J1784" s="104"/>
      <c r="K1784" s="104"/>
      <c r="L1784" s="104"/>
      <c r="M1784" s="104"/>
      <c r="N1784" s="104"/>
      <c r="O1784" s="104"/>
      <c r="P1784" s="104"/>
      <c r="Q1784" s="104"/>
      <c r="R1784" s="104"/>
      <c r="S1784" s="104"/>
    </row>
    <row r="1785" spans="4:19">
      <c r="D1785" s="104"/>
      <c r="E1785" s="104"/>
      <c r="F1785" s="104"/>
      <c r="G1785" s="104"/>
      <c r="H1785" s="104"/>
      <c r="I1785" s="104"/>
      <c r="J1785" s="104"/>
      <c r="K1785" s="104"/>
      <c r="L1785" s="104"/>
      <c r="M1785" s="104"/>
      <c r="N1785" s="104"/>
      <c r="O1785" s="104"/>
      <c r="P1785" s="104"/>
      <c r="Q1785" s="104"/>
      <c r="R1785" s="104"/>
      <c r="S1785" s="104"/>
    </row>
    <row r="1786" spans="4:19">
      <c r="D1786" s="104"/>
      <c r="E1786" s="104"/>
      <c r="F1786" s="104"/>
      <c r="G1786" s="104"/>
      <c r="H1786" s="104"/>
      <c r="I1786" s="104"/>
      <c r="J1786" s="104"/>
      <c r="K1786" s="104"/>
      <c r="L1786" s="104"/>
      <c r="M1786" s="104"/>
      <c r="N1786" s="104"/>
      <c r="O1786" s="104"/>
      <c r="P1786" s="104"/>
      <c r="Q1786" s="104"/>
      <c r="R1786" s="104"/>
      <c r="S1786" s="104"/>
    </row>
    <row r="1787" spans="4:19">
      <c r="D1787" s="104"/>
      <c r="E1787" s="104"/>
      <c r="F1787" s="104"/>
      <c r="G1787" s="104"/>
      <c r="H1787" s="104"/>
      <c r="I1787" s="104"/>
      <c r="J1787" s="104"/>
      <c r="K1787" s="104"/>
      <c r="L1787" s="104"/>
      <c r="M1787" s="104"/>
      <c r="N1787" s="104"/>
      <c r="O1787" s="104"/>
      <c r="P1787" s="104"/>
      <c r="Q1787" s="104"/>
      <c r="R1787" s="104"/>
      <c r="S1787" s="104"/>
    </row>
    <row r="1788" spans="4:19">
      <c r="D1788" s="104"/>
      <c r="E1788" s="104"/>
      <c r="F1788" s="104"/>
      <c r="G1788" s="104"/>
      <c r="H1788" s="104"/>
      <c r="I1788" s="104"/>
      <c r="J1788" s="104"/>
      <c r="K1788" s="104"/>
      <c r="L1788" s="104"/>
      <c r="M1788" s="104"/>
      <c r="N1788" s="104"/>
      <c r="O1788" s="104"/>
      <c r="P1788" s="104"/>
      <c r="Q1788" s="104"/>
      <c r="R1788" s="104"/>
      <c r="S1788" s="104"/>
    </row>
    <row r="1789" spans="4:19">
      <c r="D1789" s="104"/>
      <c r="E1789" s="104"/>
      <c r="F1789" s="104"/>
      <c r="G1789" s="104"/>
      <c r="H1789" s="104"/>
      <c r="I1789" s="104"/>
      <c r="J1789" s="104"/>
      <c r="K1789" s="104"/>
      <c r="L1789" s="104"/>
      <c r="M1789" s="104"/>
      <c r="N1789" s="104"/>
      <c r="O1789" s="104"/>
      <c r="P1789" s="104"/>
      <c r="Q1789" s="104"/>
      <c r="R1789" s="104"/>
      <c r="S1789" s="104"/>
    </row>
    <row r="1790" spans="4:19">
      <c r="D1790" s="104"/>
      <c r="E1790" s="104"/>
      <c r="F1790" s="104"/>
      <c r="G1790" s="104"/>
      <c r="H1790" s="104"/>
      <c r="I1790" s="104"/>
      <c r="J1790" s="104"/>
      <c r="K1790" s="104"/>
      <c r="L1790" s="104"/>
      <c r="M1790" s="104"/>
      <c r="N1790" s="104"/>
      <c r="O1790" s="104"/>
      <c r="P1790" s="104"/>
      <c r="Q1790" s="104"/>
      <c r="R1790" s="104"/>
      <c r="S1790" s="104"/>
    </row>
    <row r="1791" spans="4:19">
      <c r="D1791" s="104"/>
      <c r="E1791" s="104"/>
      <c r="F1791" s="104"/>
      <c r="G1791" s="104"/>
      <c r="H1791" s="104"/>
      <c r="I1791" s="104"/>
      <c r="J1791" s="104"/>
      <c r="K1791" s="104"/>
      <c r="L1791" s="104"/>
      <c r="M1791" s="104"/>
      <c r="N1791" s="104"/>
      <c r="O1791" s="104"/>
      <c r="P1791" s="104"/>
      <c r="Q1791" s="104"/>
      <c r="R1791" s="104"/>
      <c r="S1791" s="104"/>
    </row>
    <row r="1792" spans="4:19">
      <c r="D1792" s="104"/>
      <c r="E1792" s="104"/>
      <c r="F1792" s="104"/>
      <c r="G1792" s="104"/>
      <c r="H1792" s="104"/>
      <c r="I1792" s="104"/>
      <c r="J1792" s="104"/>
      <c r="K1792" s="104"/>
      <c r="L1792" s="104"/>
      <c r="M1792" s="104"/>
      <c r="N1792" s="104"/>
      <c r="O1792" s="104"/>
      <c r="P1792" s="104"/>
      <c r="Q1792" s="104"/>
      <c r="R1792" s="104"/>
      <c r="S1792" s="104"/>
    </row>
    <row r="1793" spans="4:19">
      <c r="D1793" s="104"/>
      <c r="E1793" s="104"/>
      <c r="F1793" s="104"/>
      <c r="G1793" s="104"/>
      <c r="H1793" s="104"/>
      <c r="I1793" s="104"/>
      <c r="J1793" s="104"/>
      <c r="K1793" s="104"/>
      <c r="L1793" s="104"/>
      <c r="M1793" s="104"/>
      <c r="N1793" s="104"/>
      <c r="O1793" s="104"/>
      <c r="P1793" s="104"/>
      <c r="Q1793" s="104"/>
      <c r="R1793" s="104"/>
      <c r="S1793" s="104"/>
    </row>
    <row r="1794" spans="4:19">
      <c r="D1794" s="104"/>
      <c r="E1794" s="104"/>
      <c r="F1794" s="104"/>
      <c r="G1794" s="104"/>
      <c r="H1794" s="104"/>
      <c r="I1794" s="104"/>
      <c r="J1794" s="104"/>
      <c r="K1794" s="104"/>
      <c r="L1794" s="104"/>
      <c r="M1794" s="104"/>
      <c r="N1794" s="104"/>
      <c r="O1794" s="104"/>
      <c r="P1794" s="104"/>
      <c r="Q1794" s="104"/>
      <c r="R1794" s="104"/>
      <c r="S1794" s="104"/>
    </row>
    <row r="1795" spans="4:19">
      <c r="D1795" s="104"/>
      <c r="E1795" s="104"/>
      <c r="F1795" s="104"/>
      <c r="G1795" s="104"/>
      <c r="H1795" s="104"/>
      <c r="I1795" s="104"/>
      <c r="J1795" s="104"/>
      <c r="K1795" s="104"/>
      <c r="L1795" s="104"/>
      <c r="M1795" s="104"/>
      <c r="N1795" s="104"/>
      <c r="O1795" s="104"/>
      <c r="P1795" s="104"/>
      <c r="Q1795" s="104"/>
      <c r="R1795" s="104"/>
      <c r="S1795" s="104"/>
    </row>
    <row r="1796" spans="4:19">
      <c r="D1796" s="104"/>
      <c r="E1796" s="104"/>
      <c r="F1796" s="104"/>
      <c r="G1796" s="104"/>
      <c r="H1796" s="104"/>
      <c r="I1796" s="104"/>
      <c r="J1796" s="104"/>
      <c r="K1796" s="104"/>
      <c r="L1796" s="104"/>
      <c r="M1796" s="104"/>
      <c r="N1796" s="104"/>
      <c r="O1796" s="104"/>
      <c r="P1796" s="104"/>
      <c r="Q1796" s="104"/>
      <c r="R1796" s="104"/>
      <c r="S1796" s="104"/>
    </row>
    <row r="1797" spans="4:19">
      <c r="D1797" s="104"/>
      <c r="E1797" s="104"/>
      <c r="F1797" s="104"/>
      <c r="G1797" s="104"/>
      <c r="H1797" s="104"/>
      <c r="I1797" s="104"/>
      <c r="J1797" s="104"/>
      <c r="K1797" s="104"/>
      <c r="L1797" s="104"/>
      <c r="M1797" s="104"/>
      <c r="N1797" s="104"/>
      <c r="O1797" s="104"/>
      <c r="P1797" s="104"/>
      <c r="Q1797" s="104"/>
      <c r="R1797" s="104"/>
      <c r="S1797" s="104"/>
    </row>
    <row r="1798" spans="4:19">
      <c r="D1798" s="104"/>
      <c r="E1798" s="104"/>
      <c r="F1798" s="104"/>
      <c r="G1798" s="104"/>
      <c r="H1798" s="104"/>
      <c r="I1798" s="104"/>
      <c r="J1798" s="104"/>
      <c r="K1798" s="104"/>
      <c r="L1798" s="104"/>
      <c r="M1798" s="104"/>
      <c r="N1798" s="104"/>
      <c r="O1798" s="104"/>
      <c r="P1798" s="104"/>
      <c r="Q1798" s="104"/>
      <c r="R1798" s="104"/>
      <c r="S1798" s="104"/>
    </row>
    <row r="1799" spans="4:19">
      <c r="D1799" s="104"/>
      <c r="E1799" s="104"/>
      <c r="F1799" s="104"/>
      <c r="G1799" s="104"/>
      <c r="H1799" s="104"/>
      <c r="I1799" s="104"/>
      <c r="J1799" s="104"/>
      <c r="K1799" s="104"/>
      <c r="L1799" s="104"/>
      <c r="M1799" s="104"/>
      <c r="N1799" s="104"/>
      <c r="O1799" s="104"/>
      <c r="P1799" s="104"/>
      <c r="Q1799" s="104"/>
      <c r="R1799" s="104"/>
      <c r="S1799" s="104"/>
    </row>
    <row r="1800" spans="4:19">
      <c r="D1800" s="104"/>
      <c r="E1800" s="104"/>
      <c r="F1800" s="104"/>
      <c r="G1800" s="104"/>
      <c r="H1800" s="104"/>
      <c r="I1800" s="104"/>
      <c r="J1800" s="104"/>
      <c r="K1800" s="104"/>
      <c r="L1800" s="104"/>
      <c r="M1800" s="104"/>
      <c r="N1800" s="104"/>
      <c r="O1800" s="104"/>
      <c r="P1800" s="104"/>
      <c r="Q1800" s="104"/>
      <c r="R1800" s="104"/>
      <c r="S1800" s="104"/>
    </row>
    <row r="1801" spans="4:19">
      <c r="D1801" s="104"/>
      <c r="E1801" s="104"/>
      <c r="F1801" s="104"/>
      <c r="G1801" s="104"/>
      <c r="H1801" s="104"/>
      <c r="I1801" s="104"/>
      <c r="J1801" s="104"/>
      <c r="K1801" s="104"/>
      <c r="L1801" s="104"/>
      <c r="M1801" s="104"/>
      <c r="N1801" s="104"/>
      <c r="O1801" s="104"/>
      <c r="P1801" s="104"/>
      <c r="Q1801" s="104"/>
      <c r="R1801" s="104"/>
      <c r="S1801" s="104"/>
    </row>
    <row r="1802" spans="4:19">
      <c r="D1802" s="104"/>
      <c r="E1802" s="104"/>
      <c r="F1802" s="104"/>
      <c r="G1802" s="104"/>
      <c r="H1802" s="104"/>
      <c r="I1802" s="104"/>
      <c r="J1802" s="104"/>
      <c r="K1802" s="104"/>
      <c r="L1802" s="104"/>
      <c r="M1802" s="104"/>
      <c r="N1802" s="104"/>
      <c r="O1802" s="104"/>
      <c r="P1802" s="104"/>
      <c r="Q1802" s="104"/>
      <c r="R1802" s="104"/>
      <c r="S1802" s="104"/>
    </row>
    <row r="1803" spans="4:19">
      <c r="D1803" s="104"/>
      <c r="E1803" s="104"/>
      <c r="F1803" s="104"/>
      <c r="G1803" s="104"/>
      <c r="H1803" s="104"/>
      <c r="I1803" s="104"/>
      <c r="J1803" s="104"/>
      <c r="K1803" s="104"/>
      <c r="L1803" s="104"/>
      <c r="M1803" s="104"/>
      <c r="N1803" s="104"/>
      <c r="O1803" s="104"/>
      <c r="P1803" s="104"/>
      <c r="Q1803" s="104"/>
      <c r="R1803" s="104"/>
      <c r="S1803" s="104"/>
    </row>
    <row r="1804" spans="4:19">
      <c r="D1804" s="104"/>
      <c r="E1804" s="104"/>
      <c r="F1804" s="104"/>
      <c r="G1804" s="104"/>
      <c r="H1804" s="104"/>
      <c r="I1804" s="104"/>
      <c r="J1804" s="104"/>
      <c r="K1804" s="104"/>
      <c r="L1804" s="104"/>
      <c r="M1804" s="104"/>
      <c r="N1804" s="104"/>
      <c r="O1804" s="104"/>
      <c r="P1804" s="104"/>
      <c r="Q1804" s="104"/>
      <c r="R1804" s="104"/>
      <c r="S1804" s="104"/>
    </row>
    <row r="1805" spans="4:19">
      <c r="D1805" s="104"/>
      <c r="E1805" s="104"/>
      <c r="F1805" s="104"/>
      <c r="G1805" s="104"/>
      <c r="H1805" s="104"/>
      <c r="I1805" s="104"/>
      <c r="J1805" s="104"/>
      <c r="K1805" s="104"/>
      <c r="L1805" s="104"/>
      <c r="M1805" s="104"/>
      <c r="N1805" s="104"/>
      <c r="O1805" s="104"/>
      <c r="P1805" s="104"/>
      <c r="Q1805" s="104"/>
      <c r="R1805" s="104"/>
      <c r="S1805" s="104"/>
    </row>
    <row r="1806" spans="4:19">
      <c r="D1806" s="104"/>
      <c r="E1806" s="104"/>
      <c r="F1806" s="104"/>
      <c r="G1806" s="104"/>
      <c r="H1806" s="104"/>
      <c r="I1806" s="104"/>
      <c r="J1806" s="104"/>
      <c r="K1806" s="104"/>
      <c r="L1806" s="104"/>
      <c r="M1806" s="104"/>
      <c r="N1806" s="104"/>
      <c r="O1806" s="104"/>
      <c r="P1806" s="104"/>
      <c r="Q1806" s="104"/>
      <c r="R1806" s="104"/>
      <c r="S1806" s="104"/>
    </row>
    <row r="1807" spans="4:19">
      <c r="D1807" s="104"/>
      <c r="E1807" s="104"/>
      <c r="F1807" s="104"/>
      <c r="G1807" s="104"/>
      <c r="H1807" s="104"/>
      <c r="I1807" s="104"/>
      <c r="J1807" s="104"/>
      <c r="K1807" s="104"/>
      <c r="L1807" s="104"/>
      <c r="M1807" s="104"/>
      <c r="N1807" s="104"/>
      <c r="O1807" s="104"/>
      <c r="P1807" s="104"/>
      <c r="Q1807" s="104"/>
      <c r="R1807" s="104"/>
      <c r="S1807" s="104"/>
    </row>
    <row r="1808" spans="4:19">
      <c r="D1808" s="104"/>
      <c r="E1808" s="104"/>
      <c r="F1808" s="104"/>
      <c r="G1808" s="104"/>
      <c r="H1808" s="104"/>
      <c r="I1808" s="104"/>
      <c r="J1808" s="104"/>
      <c r="K1808" s="104"/>
      <c r="L1808" s="104"/>
      <c r="M1808" s="104"/>
      <c r="N1808" s="104"/>
      <c r="O1808" s="104"/>
      <c r="P1808" s="104"/>
      <c r="Q1808" s="104"/>
      <c r="R1808" s="104"/>
      <c r="S1808" s="104"/>
    </row>
    <row r="1809" spans="4:19">
      <c r="D1809" s="104"/>
      <c r="E1809" s="104"/>
      <c r="F1809" s="104"/>
      <c r="G1809" s="104"/>
      <c r="H1809" s="104"/>
      <c r="I1809" s="104"/>
      <c r="J1809" s="104"/>
      <c r="K1809" s="104"/>
      <c r="L1809" s="104"/>
      <c r="M1809" s="104"/>
      <c r="N1809" s="104"/>
      <c r="O1809" s="104"/>
      <c r="P1809" s="104"/>
      <c r="Q1809" s="104"/>
      <c r="R1809" s="104"/>
      <c r="S1809" s="104"/>
    </row>
    <row r="1810" spans="4:19">
      <c r="D1810" s="104"/>
      <c r="E1810" s="104"/>
      <c r="F1810" s="104"/>
      <c r="G1810" s="104"/>
      <c r="H1810" s="104"/>
      <c r="I1810" s="104"/>
      <c r="J1810" s="104"/>
      <c r="K1810" s="104"/>
      <c r="L1810" s="104"/>
      <c r="M1810" s="104"/>
      <c r="N1810" s="104"/>
      <c r="O1810" s="104"/>
      <c r="P1810" s="104"/>
      <c r="Q1810" s="104"/>
      <c r="R1810" s="104"/>
      <c r="S1810" s="104"/>
    </row>
    <row r="1811" spans="4:19">
      <c r="D1811" s="104"/>
      <c r="E1811" s="104"/>
      <c r="F1811" s="104"/>
      <c r="G1811" s="104"/>
      <c r="H1811" s="104"/>
      <c r="I1811" s="104"/>
      <c r="J1811" s="104"/>
      <c r="K1811" s="104"/>
      <c r="L1811" s="104"/>
      <c r="M1811" s="104"/>
      <c r="N1811" s="104"/>
      <c r="O1811" s="104"/>
      <c r="P1811" s="104"/>
      <c r="Q1811" s="104"/>
      <c r="R1811" s="104"/>
      <c r="S1811" s="104"/>
    </row>
    <row r="1812" spans="4:19">
      <c r="D1812" s="104"/>
      <c r="E1812" s="104"/>
      <c r="F1812" s="104"/>
      <c r="G1812" s="104"/>
      <c r="H1812" s="104"/>
      <c r="I1812" s="104"/>
      <c r="J1812" s="104"/>
      <c r="K1812" s="104"/>
      <c r="L1812" s="104"/>
      <c r="M1812" s="104"/>
      <c r="N1812" s="104"/>
      <c r="O1812" s="104"/>
      <c r="P1812" s="104"/>
      <c r="Q1812" s="104"/>
      <c r="R1812" s="104"/>
      <c r="S1812" s="104"/>
    </row>
    <row r="1813" spans="4:19">
      <c r="D1813" s="104"/>
      <c r="E1813" s="104"/>
      <c r="F1813" s="104"/>
      <c r="G1813" s="104"/>
      <c r="H1813" s="104"/>
      <c r="I1813" s="104"/>
      <c r="J1813" s="104"/>
      <c r="K1813" s="104"/>
      <c r="L1813" s="104"/>
      <c r="M1813" s="104"/>
      <c r="N1813" s="104"/>
      <c r="O1813" s="104"/>
      <c r="P1813" s="104"/>
      <c r="Q1813" s="104"/>
      <c r="R1813" s="104"/>
      <c r="S1813" s="104"/>
    </row>
    <row r="1814" spans="4:19">
      <c r="D1814" s="104"/>
      <c r="E1814" s="104"/>
      <c r="F1814" s="104"/>
      <c r="G1814" s="104"/>
      <c r="H1814" s="104"/>
      <c r="I1814" s="104"/>
      <c r="J1814" s="104"/>
      <c r="K1814" s="104"/>
      <c r="L1814" s="104"/>
      <c r="M1814" s="104"/>
      <c r="N1814" s="104"/>
      <c r="O1814" s="104"/>
      <c r="P1814" s="104"/>
      <c r="Q1814" s="104"/>
      <c r="R1814" s="104"/>
      <c r="S1814" s="104"/>
    </row>
    <row r="1815" spans="4:19">
      <c r="D1815" s="104"/>
      <c r="E1815" s="104"/>
      <c r="F1815" s="104"/>
      <c r="G1815" s="104"/>
      <c r="H1815" s="104"/>
      <c r="I1815" s="104"/>
      <c r="J1815" s="104"/>
      <c r="K1815" s="104"/>
      <c r="L1815" s="104"/>
      <c r="M1815" s="104"/>
      <c r="N1815" s="104"/>
      <c r="O1815" s="104"/>
      <c r="P1815" s="104"/>
      <c r="Q1815" s="104"/>
      <c r="R1815" s="104"/>
      <c r="S1815" s="104"/>
    </row>
    <row r="1816" spans="4:19">
      <c r="D1816" s="104"/>
      <c r="E1816" s="104"/>
      <c r="F1816" s="104"/>
      <c r="G1816" s="104"/>
      <c r="H1816" s="104"/>
      <c r="I1816" s="104"/>
      <c r="J1816" s="104"/>
      <c r="K1816" s="104"/>
      <c r="L1816" s="104"/>
      <c r="M1816" s="104"/>
      <c r="N1816" s="104"/>
      <c r="O1816" s="104"/>
      <c r="P1816" s="104"/>
      <c r="Q1816" s="104"/>
      <c r="R1816" s="104"/>
      <c r="S1816" s="104"/>
    </row>
    <row r="1817" spans="4:19">
      <c r="D1817" s="104"/>
      <c r="E1817" s="104"/>
      <c r="F1817" s="104"/>
      <c r="G1817" s="104"/>
      <c r="H1817" s="104"/>
      <c r="I1817" s="104"/>
      <c r="J1817" s="104"/>
      <c r="K1817" s="104"/>
      <c r="L1817" s="104"/>
      <c r="M1817" s="104"/>
      <c r="N1817" s="104"/>
      <c r="O1817" s="104"/>
      <c r="P1817" s="104"/>
      <c r="Q1817" s="104"/>
      <c r="R1817" s="104"/>
      <c r="S1817" s="104"/>
    </row>
    <row r="1818" spans="4:19">
      <c r="D1818" s="104"/>
      <c r="E1818" s="104"/>
      <c r="F1818" s="104"/>
      <c r="G1818" s="104"/>
      <c r="H1818" s="104"/>
      <c r="I1818" s="104"/>
      <c r="J1818" s="104"/>
      <c r="K1818" s="104"/>
      <c r="L1818" s="104"/>
      <c r="M1818" s="104"/>
      <c r="N1818" s="104"/>
      <c r="O1818" s="104"/>
      <c r="P1818" s="104"/>
      <c r="Q1818" s="104"/>
      <c r="R1818" s="104"/>
      <c r="S1818" s="104"/>
    </row>
    <row r="1819" spans="4:19">
      <c r="D1819" s="104"/>
      <c r="E1819" s="104"/>
      <c r="F1819" s="104"/>
      <c r="G1819" s="104"/>
      <c r="H1819" s="104"/>
      <c r="I1819" s="104"/>
      <c r="J1819" s="104"/>
      <c r="K1819" s="104"/>
      <c r="L1819" s="104"/>
      <c r="M1819" s="104"/>
      <c r="N1819" s="104"/>
      <c r="O1819" s="104"/>
      <c r="P1819" s="104"/>
      <c r="Q1819" s="104"/>
      <c r="R1819" s="104"/>
      <c r="S1819" s="104"/>
    </row>
    <row r="1820" spans="4:19">
      <c r="D1820" s="104"/>
      <c r="E1820" s="104"/>
      <c r="F1820" s="104"/>
      <c r="G1820" s="104"/>
      <c r="H1820" s="104"/>
      <c r="I1820" s="104"/>
      <c r="J1820" s="104"/>
      <c r="K1820" s="104"/>
      <c r="L1820" s="104"/>
      <c r="M1820" s="104"/>
      <c r="N1820" s="104"/>
      <c r="O1820" s="104"/>
      <c r="P1820" s="104"/>
      <c r="Q1820" s="104"/>
      <c r="R1820" s="104"/>
      <c r="S1820" s="104"/>
    </row>
    <row r="1821" spans="4:19">
      <c r="D1821" s="104"/>
      <c r="E1821" s="104"/>
      <c r="F1821" s="104"/>
      <c r="G1821" s="104"/>
      <c r="H1821" s="104"/>
      <c r="I1821" s="104"/>
      <c r="J1821" s="104"/>
      <c r="K1821" s="104"/>
      <c r="L1821" s="104"/>
      <c r="M1821" s="104"/>
      <c r="N1821" s="104"/>
      <c r="O1821" s="104"/>
      <c r="P1821" s="104"/>
      <c r="Q1821" s="104"/>
      <c r="R1821" s="104"/>
      <c r="S1821" s="104"/>
    </row>
    <row r="1822" spans="4:19">
      <c r="D1822" s="104"/>
      <c r="E1822" s="104"/>
      <c r="F1822" s="104"/>
      <c r="G1822" s="104"/>
      <c r="H1822" s="104"/>
      <c r="I1822" s="104"/>
      <c r="J1822" s="104"/>
      <c r="K1822" s="104"/>
      <c r="L1822" s="104"/>
      <c r="M1822" s="104"/>
      <c r="N1822" s="104"/>
      <c r="O1822" s="104"/>
      <c r="P1822" s="104"/>
      <c r="Q1822" s="104"/>
      <c r="R1822" s="104"/>
      <c r="S1822" s="104"/>
    </row>
    <row r="1823" spans="4:19">
      <c r="D1823" s="104"/>
      <c r="E1823" s="104"/>
      <c r="F1823" s="104"/>
      <c r="G1823" s="104"/>
      <c r="H1823" s="104"/>
      <c r="I1823" s="104"/>
      <c r="J1823" s="104"/>
      <c r="K1823" s="104"/>
      <c r="L1823" s="104"/>
      <c r="M1823" s="104"/>
      <c r="N1823" s="104"/>
      <c r="O1823" s="104"/>
      <c r="P1823" s="104"/>
      <c r="Q1823" s="104"/>
      <c r="R1823" s="104"/>
      <c r="S1823" s="104"/>
    </row>
    <row r="1824" spans="4:19">
      <c r="D1824" s="104"/>
      <c r="E1824" s="104"/>
      <c r="F1824" s="104"/>
      <c r="G1824" s="104"/>
      <c r="H1824" s="104"/>
      <c r="I1824" s="104"/>
      <c r="J1824" s="104"/>
      <c r="K1824" s="104"/>
      <c r="L1824" s="104"/>
      <c r="M1824" s="104"/>
      <c r="N1824" s="104"/>
      <c r="O1824" s="104"/>
      <c r="P1824" s="104"/>
      <c r="Q1824" s="104"/>
      <c r="R1824" s="104"/>
      <c r="S1824" s="104"/>
    </row>
    <row r="1825" spans="4:19">
      <c r="D1825" s="104"/>
      <c r="E1825" s="104"/>
      <c r="F1825" s="104"/>
      <c r="G1825" s="104"/>
      <c r="H1825" s="104"/>
      <c r="I1825" s="104"/>
      <c r="J1825" s="104"/>
      <c r="K1825" s="104"/>
      <c r="L1825" s="104"/>
      <c r="M1825" s="104"/>
      <c r="N1825" s="104"/>
      <c r="O1825" s="104"/>
      <c r="P1825" s="104"/>
      <c r="Q1825" s="104"/>
      <c r="R1825" s="104"/>
      <c r="S1825" s="104"/>
    </row>
    <row r="1826" spans="4:19">
      <c r="D1826" s="104"/>
      <c r="E1826" s="104"/>
      <c r="F1826" s="104"/>
      <c r="G1826" s="104"/>
      <c r="H1826" s="104"/>
      <c r="I1826" s="104"/>
      <c r="J1826" s="104"/>
      <c r="K1826" s="104"/>
      <c r="L1826" s="104"/>
      <c r="M1826" s="104"/>
      <c r="N1826" s="104"/>
      <c r="O1826" s="104"/>
      <c r="P1826" s="104"/>
      <c r="Q1826" s="104"/>
      <c r="R1826" s="104"/>
      <c r="S1826" s="104"/>
    </row>
    <row r="1827" spans="4:19">
      <c r="D1827" s="104"/>
      <c r="E1827" s="104"/>
      <c r="F1827" s="104"/>
      <c r="G1827" s="104"/>
      <c r="H1827" s="104"/>
      <c r="I1827" s="104"/>
      <c r="J1827" s="104"/>
      <c r="K1827" s="104"/>
      <c r="L1827" s="104"/>
      <c r="M1827" s="104"/>
      <c r="N1827" s="104"/>
      <c r="O1827" s="104"/>
      <c r="P1827" s="104"/>
      <c r="Q1827" s="104"/>
      <c r="R1827" s="104"/>
      <c r="S1827" s="104"/>
    </row>
    <row r="1828" spans="4:19">
      <c r="D1828" s="104"/>
      <c r="E1828" s="104"/>
      <c r="F1828" s="104"/>
      <c r="G1828" s="104"/>
      <c r="H1828" s="104"/>
      <c r="I1828" s="104"/>
      <c r="J1828" s="104"/>
      <c r="K1828" s="104"/>
      <c r="L1828" s="104"/>
      <c r="M1828" s="104"/>
      <c r="N1828" s="104"/>
      <c r="O1828" s="104"/>
      <c r="P1828" s="104"/>
      <c r="Q1828" s="104"/>
      <c r="R1828" s="104"/>
      <c r="S1828" s="104"/>
    </row>
    <row r="1829" spans="4:19">
      <c r="D1829" s="104"/>
      <c r="E1829" s="104"/>
      <c r="F1829" s="104"/>
      <c r="G1829" s="104"/>
      <c r="H1829" s="104"/>
      <c r="I1829" s="104"/>
      <c r="J1829" s="104"/>
      <c r="K1829" s="104"/>
      <c r="L1829" s="104"/>
      <c r="M1829" s="104"/>
      <c r="N1829" s="104"/>
      <c r="O1829" s="104"/>
      <c r="P1829" s="104"/>
      <c r="Q1829" s="104"/>
      <c r="R1829" s="104"/>
      <c r="S1829" s="104"/>
    </row>
    <row r="1830" spans="4:19">
      <c r="D1830" s="104"/>
      <c r="E1830" s="104"/>
      <c r="F1830" s="104"/>
      <c r="G1830" s="104"/>
      <c r="H1830" s="104"/>
      <c r="I1830" s="104"/>
      <c r="J1830" s="104"/>
      <c r="K1830" s="104"/>
      <c r="L1830" s="104"/>
      <c r="M1830" s="104"/>
      <c r="N1830" s="104"/>
      <c r="O1830" s="104"/>
      <c r="P1830" s="104"/>
      <c r="Q1830" s="104"/>
      <c r="R1830" s="104"/>
      <c r="S1830" s="104"/>
    </row>
    <row r="1831" spans="4:19">
      <c r="D1831" s="104"/>
      <c r="E1831" s="104"/>
      <c r="F1831" s="104"/>
      <c r="G1831" s="104"/>
      <c r="H1831" s="104"/>
      <c r="I1831" s="104"/>
      <c r="J1831" s="104"/>
      <c r="K1831" s="104"/>
      <c r="L1831" s="104"/>
      <c r="M1831" s="104"/>
      <c r="N1831" s="104"/>
      <c r="O1831" s="104"/>
      <c r="P1831" s="104"/>
      <c r="Q1831" s="104"/>
      <c r="R1831" s="104"/>
      <c r="S1831" s="104"/>
    </row>
    <row r="1832" spans="4:19">
      <c r="D1832" s="104"/>
      <c r="E1832" s="104"/>
      <c r="F1832" s="104"/>
      <c r="G1832" s="104"/>
      <c r="H1832" s="104"/>
      <c r="I1832" s="104"/>
      <c r="J1832" s="104"/>
      <c r="K1832" s="104"/>
      <c r="L1832" s="104"/>
      <c r="M1832" s="104"/>
      <c r="N1832" s="104"/>
      <c r="O1832" s="104"/>
      <c r="P1832" s="104"/>
      <c r="Q1832" s="104"/>
      <c r="R1832" s="104"/>
      <c r="S1832" s="104"/>
    </row>
    <row r="1833" spans="4:19">
      <c r="D1833" s="104"/>
      <c r="E1833" s="104"/>
      <c r="F1833" s="104"/>
      <c r="G1833" s="104"/>
      <c r="H1833" s="104"/>
      <c r="I1833" s="104"/>
      <c r="J1833" s="104"/>
      <c r="K1833" s="104"/>
      <c r="L1833" s="104"/>
      <c r="M1833" s="104"/>
      <c r="N1833" s="104"/>
      <c r="O1833" s="104"/>
      <c r="P1833" s="104"/>
      <c r="Q1833" s="104"/>
      <c r="R1833" s="104"/>
      <c r="S1833" s="104"/>
    </row>
    <row r="1834" spans="4:19">
      <c r="D1834" s="104"/>
      <c r="E1834" s="104"/>
      <c r="F1834" s="104"/>
      <c r="G1834" s="104"/>
      <c r="H1834" s="104"/>
      <c r="I1834" s="104"/>
      <c r="J1834" s="104"/>
      <c r="K1834" s="104"/>
      <c r="L1834" s="104"/>
      <c r="M1834" s="104"/>
      <c r="N1834" s="104"/>
      <c r="O1834" s="104"/>
      <c r="P1834" s="104"/>
      <c r="Q1834" s="104"/>
      <c r="R1834" s="104"/>
      <c r="S1834" s="104"/>
    </row>
    <row r="1835" spans="4:19">
      <c r="D1835" s="104"/>
      <c r="E1835" s="104"/>
      <c r="F1835" s="104"/>
      <c r="G1835" s="104"/>
      <c r="H1835" s="104"/>
      <c r="I1835" s="104"/>
      <c r="J1835" s="104"/>
      <c r="K1835" s="104"/>
      <c r="L1835" s="104"/>
      <c r="M1835" s="104"/>
      <c r="N1835" s="104"/>
      <c r="O1835" s="104"/>
      <c r="P1835" s="104"/>
      <c r="Q1835" s="104"/>
      <c r="R1835" s="104"/>
      <c r="S1835" s="104"/>
    </row>
    <row r="1836" spans="4:19">
      <c r="D1836" s="104"/>
      <c r="E1836" s="104"/>
      <c r="F1836" s="104"/>
      <c r="G1836" s="104"/>
      <c r="H1836" s="104"/>
      <c r="I1836" s="104"/>
      <c r="J1836" s="104"/>
      <c r="K1836" s="104"/>
      <c r="L1836" s="104"/>
      <c r="M1836" s="104"/>
      <c r="N1836" s="104"/>
      <c r="O1836" s="104"/>
      <c r="P1836" s="104"/>
      <c r="Q1836" s="104"/>
      <c r="R1836" s="104"/>
      <c r="S1836" s="104"/>
    </row>
    <row r="1837" spans="4:19">
      <c r="D1837" s="104"/>
      <c r="E1837" s="104"/>
      <c r="F1837" s="104"/>
      <c r="G1837" s="104"/>
      <c r="H1837" s="104"/>
      <c r="I1837" s="104"/>
      <c r="J1837" s="104"/>
      <c r="K1837" s="104"/>
      <c r="L1837" s="104"/>
      <c r="M1837" s="104"/>
      <c r="N1837" s="104"/>
      <c r="O1837" s="104"/>
      <c r="P1837" s="104"/>
      <c r="Q1837" s="104"/>
      <c r="R1837" s="104"/>
      <c r="S1837" s="104"/>
    </row>
    <row r="1838" spans="4:19">
      <c r="D1838" s="104"/>
      <c r="E1838" s="104"/>
      <c r="F1838" s="104"/>
      <c r="G1838" s="104"/>
      <c r="H1838" s="104"/>
      <c r="I1838" s="104"/>
      <c r="J1838" s="104"/>
      <c r="K1838" s="104"/>
      <c r="L1838" s="104"/>
      <c r="M1838" s="104"/>
      <c r="N1838" s="104"/>
      <c r="O1838" s="104"/>
      <c r="P1838" s="104"/>
      <c r="Q1838" s="104"/>
      <c r="R1838" s="104"/>
      <c r="S1838" s="104"/>
    </row>
    <row r="1839" spans="4:19">
      <c r="D1839" s="104"/>
      <c r="E1839" s="104"/>
      <c r="F1839" s="104"/>
      <c r="G1839" s="104"/>
      <c r="H1839" s="104"/>
      <c r="I1839" s="104"/>
      <c r="J1839" s="104"/>
      <c r="K1839" s="104"/>
      <c r="L1839" s="104"/>
      <c r="M1839" s="104"/>
      <c r="N1839" s="104"/>
      <c r="O1839" s="104"/>
      <c r="P1839" s="104"/>
      <c r="Q1839" s="104"/>
      <c r="R1839" s="104"/>
      <c r="S1839" s="104"/>
    </row>
    <row r="1840" spans="4:19">
      <c r="D1840" s="104"/>
      <c r="E1840" s="104"/>
      <c r="F1840" s="104"/>
      <c r="G1840" s="104"/>
      <c r="H1840" s="104"/>
      <c r="I1840" s="104"/>
      <c r="J1840" s="104"/>
      <c r="K1840" s="104"/>
      <c r="L1840" s="104"/>
      <c r="M1840" s="104"/>
      <c r="N1840" s="104"/>
      <c r="O1840" s="104"/>
      <c r="P1840" s="104"/>
      <c r="Q1840" s="104"/>
      <c r="R1840" s="104"/>
      <c r="S1840" s="104"/>
    </row>
    <row r="1841" spans="4:19">
      <c r="D1841" s="104"/>
      <c r="E1841" s="104"/>
      <c r="F1841" s="104"/>
      <c r="G1841" s="104"/>
      <c r="H1841" s="104"/>
      <c r="I1841" s="104"/>
      <c r="J1841" s="104"/>
      <c r="K1841" s="104"/>
      <c r="L1841" s="104"/>
      <c r="M1841" s="104"/>
      <c r="N1841" s="104"/>
      <c r="O1841" s="104"/>
      <c r="P1841" s="104"/>
      <c r="Q1841" s="104"/>
      <c r="R1841" s="104"/>
      <c r="S1841" s="104"/>
    </row>
    <row r="1842" spans="4:19">
      <c r="D1842" s="104"/>
      <c r="E1842" s="104"/>
      <c r="F1842" s="104"/>
      <c r="G1842" s="104"/>
      <c r="H1842" s="104"/>
      <c r="I1842" s="104"/>
      <c r="J1842" s="104"/>
      <c r="K1842" s="104"/>
      <c r="L1842" s="104"/>
      <c r="M1842" s="104"/>
      <c r="N1842" s="104"/>
      <c r="O1842" s="104"/>
      <c r="P1842" s="104"/>
      <c r="Q1842" s="104"/>
      <c r="R1842" s="104"/>
      <c r="S1842" s="104"/>
    </row>
    <row r="1843" spans="4:19">
      <c r="D1843" s="104"/>
      <c r="E1843" s="104"/>
      <c r="F1843" s="104"/>
      <c r="G1843" s="104"/>
      <c r="H1843" s="104"/>
      <c r="I1843" s="104"/>
      <c r="J1843" s="104"/>
      <c r="K1843" s="104"/>
      <c r="L1843" s="104"/>
      <c r="M1843" s="104"/>
      <c r="N1843" s="104"/>
      <c r="O1843" s="104"/>
      <c r="P1843" s="104"/>
      <c r="Q1843" s="104"/>
      <c r="R1843" s="104"/>
      <c r="S1843" s="104"/>
    </row>
    <row r="1844" spans="4:19">
      <c r="D1844" s="104"/>
      <c r="E1844" s="104"/>
      <c r="F1844" s="104"/>
      <c r="G1844" s="104"/>
      <c r="H1844" s="104"/>
      <c r="I1844" s="104"/>
      <c r="J1844" s="104"/>
      <c r="K1844" s="104"/>
      <c r="L1844" s="104"/>
      <c r="M1844" s="104"/>
      <c r="N1844" s="104"/>
      <c r="O1844" s="104"/>
      <c r="P1844" s="104"/>
      <c r="Q1844" s="104"/>
      <c r="R1844" s="104"/>
      <c r="S1844" s="104"/>
    </row>
    <row r="1845" spans="4:19">
      <c r="D1845" s="104"/>
      <c r="E1845" s="104"/>
      <c r="F1845" s="104"/>
      <c r="G1845" s="104"/>
      <c r="H1845" s="104"/>
      <c r="I1845" s="104"/>
      <c r="J1845" s="104"/>
      <c r="K1845" s="104"/>
      <c r="L1845" s="104"/>
      <c r="M1845" s="104"/>
      <c r="N1845" s="104"/>
      <c r="O1845" s="104"/>
      <c r="P1845" s="104"/>
      <c r="Q1845" s="104"/>
      <c r="R1845" s="104"/>
      <c r="S1845" s="104"/>
    </row>
    <row r="1846" spans="4:19">
      <c r="D1846" s="104"/>
      <c r="E1846" s="104"/>
      <c r="F1846" s="104"/>
      <c r="G1846" s="104"/>
      <c r="H1846" s="104"/>
      <c r="I1846" s="104"/>
      <c r="J1846" s="104"/>
      <c r="K1846" s="104"/>
      <c r="L1846" s="104"/>
      <c r="M1846" s="104"/>
      <c r="N1846" s="104"/>
      <c r="O1846" s="104"/>
      <c r="P1846" s="104"/>
      <c r="Q1846" s="104"/>
      <c r="R1846" s="104"/>
      <c r="S1846" s="104"/>
    </row>
    <row r="1847" spans="4:19">
      <c r="D1847" s="104"/>
      <c r="E1847" s="104"/>
      <c r="F1847" s="104"/>
      <c r="G1847" s="104"/>
      <c r="H1847" s="104"/>
      <c r="I1847" s="104"/>
      <c r="J1847" s="104"/>
      <c r="K1847" s="104"/>
      <c r="L1847" s="104"/>
      <c r="M1847" s="104"/>
      <c r="N1847" s="104"/>
      <c r="O1847" s="104"/>
      <c r="P1847" s="104"/>
      <c r="Q1847" s="104"/>
      <c r="R1847" s="104"/>
      <c r="S1847" s="104"/>
    </row>
    <row r="1848" spans="4:19">
      <c r="D1848" s="104"/>
      <c r="E1848" s="104"/>
      <c r="F1848" s="104"/>
      <c r="G1848" s="104"/>
      <c r="H1848" s="104"/>
      <c r="I1848" s="104"/>
      <c r="J1848" s="104"/>
      <c r="K1848" s="104"/>
      <c r="L1848" s="104"/>
      <c r="M1848" s="104"/>
      <c r="N1848" s="104"/>
      <c r="O1848" s="104"/>
      <c r="P1848" s="104"/>
      <c r="Q1848" s="104"/>
      <c r="R1848" s="104"/>
      <c r="S1848" s="104"/>
    </row>
    <row r="1849" spans="4:19">
      <c r="D1849" s="104"/>
      <c r="E1849" s="104"/>
      <c r="F1849" s="104"/>
      <c r="G1849" s="104"/>
      <c r="H1849" s="104"/>
      <c r="I1849" s="104"/>
      <c r="J1849" s="104"/>
      <c r="K1849" s="104"/>
      <c r="L1849" s="104"/>
      <c r="M1849" s="104"/>
      <c r="N1849" s="104"/>
      <c r="O1849" s="104"/>
      <c r="P1849" s="104"/>
      <c r="Q1849" s="104"/>
      <c r="R1849" s="104"/>
      <c r="S1849" s="104"/>
    </row>
    <row r="1850" spans="4:19">
      <c r="D1850" s="104"/>
      <c r="E1850" s="104"/>
      <c r="F1850" s="104"/>
      <c r="G1850" s="104"/>
      <c r="H1850" s="104"/>
      <c r="I1850" s="104"/>
      <c r="J1850" s="104"/>
      <c r="K1850" s="104"/>
      <c r="L1850" s="104"/>
      <c r="M1850" s="104"/>
      <c r="N1850" s="104"/>
      <c r="O1850" s="104"/>
      <c r="P1850" s="104"/>
      <c r="Q1850" s="104"/>
      <c r="R1850" s="104"/>
      <c r="S1850" s="104"/>
    </row>
    <row r="1851" spans="4:19">
      <c r="D1851" s="104"/>
      <c r="E1851" s="104"/>
      <c r="F1851" s="104"/>
      <c r="G1851" s="104"/>
      <c r="H1851" s="104"/>
      <c r="I1851" s="104"/>
      <c r="J1851" s="104"/>
      <c r="K1851" s="104"/>
      <c r="L1851" s="104"/>
      <c r="M1851" s="104"/>
      <c r="N1851" s="104"/>
      <c r="O1851" s="104"/>
      <c r="P1851" s="104"/>
      <c r="Q1851" s="104"/>
      <c r="R1851" s="104"/>
      <c r="S1851" s="104"/>
    </row>
    <row r="1852" spans="4:19">
      <c r="D1852" s="104"/>
      <c r="E1852" s="104"/>
      <c r="F1852" s="104"/>
      <c r="G1852" s="104"/>
      <c r="H1852" s="104"/>
      <c r="I1852" s="104"/>
      <c r="J1852" s="104"/>
      <c r="K1852" s="104"/>
      <c r="L1852" s="104"/>
      <c r="M1852" s="104"/>
      <c r="N1852" s="104"/>
      <c r="O1852" s="104"/>
      <c r="P1852" s="104"/>
      <c r="Q1852" s="104"/>
      <c r="R1852" s="104"/>
      <c r="S1852" s="104"/>
    </row>
    <row r="1853" spans="4:19">
      <c r="D1853" s="104"/>
      <c r="E1853" s="104"/>
      <c r="F1853" s="104"/>
      <c r="G1853" s="104"/>
      <c r="H1853" s="104"/>
      <c r="I1853" s="104"/>
      <c r="J1853" s="104"/>
      <c r="K1853" s="104"/>
      <c r="L1853" s="104"/>
      <c r="M1853" s="104"/>
      <c r="N1853" s="104"/>
      <c r="O1853" s="104"/>
      <c r="P1853" s="104"/>
      <c r="Q1853" s="104"/>
      <c r="R1853" s="104"/>
      <c r="S1853" s="104"/>
    </row>
    <row r="1854" spans="4:19">
      <c r="D1854" s="104"/>
      <c r="E1854" s="104"/>
      <c r="F1854" s="104"/>
      <c r="G1854" s="104"/>
      <c r="H1854" s="104"/>
      <c r="I1854" s="104"/>
      <c r="J1854" s="104"/>
      <c r="K1854" s="104"/>
      <c r="L1854" s="104"/>
      <c r="M1854" s="104"/>
      <c r="N1854" s="104"/>
      <c r="O1854" s="104"/>
      <c r="P1854" s="104"/>
      <c r="Q1854" s="104"/>
      <c r="R1854" s="104"/>
      <c r="S1854" s="104"/>
    </row>
    <row r="1855" spans="4:19">
      <c r="D1855" s="104"/>
      <c r="E1855" s="104"/>
      <c r="F1855" s="104"/>
      <c r="G1855" s="104"/>
      <c r="H1855" s="104"/>
      <c r="I1855" s="104"/>
      <c r="J1855" s="104"/>
      <c r="K1855" s="104"/>
      <c r="L1855" s="104"/>
      <c r="M1855" s="104"/>
      <c r="N1855" s="104"/>
      <c r="O1855" s="104"/>
      <c r="P1855" s="104"/>
      <c r="Q1855" s="104"/>
      <c r="R1855" s="104"/>
      <c r="S1855" s="104"/>
    </row>
    <row r="1856" spans="4:19">
      <c r="D1856" s="104"/>
      <c r="E1856" s="104"/>
      <c r="F1856" s="104"/>
      <c r="G1856" s="104"/>
      <c r="H1856" s="104"/>
      <c r="I1856" s="104"/>
      <c r="J1856" s="104"/>
      <c r="K1856" s="104"/>
      <c r="L1856" s="104"/>
      <c r="M1856" s="104"/>
      <c r="N1856" s="104"/>
      <c r="O1856" s="104"/>
      <c r="P1856" s="104"/>
      <c r="Q1856" s="104"/>
      <c r="R1856" s="104"/>
      <c r="S1856" s="104"/>
    </row>
    <row r="1857" spans="4:19">
      <c r="D1857" s="104"/>
      <c r="E1857" s="104"/>
      <c r="F1857" s="104"/>
      <c r="G1857" s="104"/>
      <c r="H1857" s="104"/>
      <c r="I1857" s="104"/>
      <c r="J1857" s="104"/>
      <c r="K1857" s="104"/>
      <c r="L1857" s="104"/>
      <c r="M1857" s="104"/>
      <c r="N1857" s="104"/>
      <c r="O1857" s="104"/>
      <c r="P1857" s="104"/>
      <c r="Q1857" s="104"/>
      <c r="R1857" s="104"/>
      <c r="S1857" s="104"/>
    </row>
    <row r="1858" spans="4:19">
      <c r="D1858" s="104"/>
      <c r="E1858" s="104"/>
      <c r="F1858" s="104"/>
      <c r="G1858" s="104"/>
      <c r="H1858" s="104"/>
      <c r="I1858" s="104"/>
      <c r="J1858" s="104"/>
      <c r="K1858" s="104"/>
      <c r="L1858" s="104"/>
      <c r="M1858" s="104"/>
      <c r="N1858" s="104"/>
      <c r="O1858" s="104"/>
      <c r="P1858" s="104"/>
      <c r="Q1858" s="104"/>
      <c r="R1858" s="104"/>
      <c r="S1858" s="104"/>
    </row>
    <row r="1859" spans="4:19">
      <c r="D1859" s="104"/>
      <c r="E1859" s="104"/>
      <c r="F1859" s="104"/>
      <c r="G1859" s="104"/>
      <c r="H1859" s="104"/>
      <c r="I1859" s="104"/>
      <c r="J1859" s="104"/>
      <c r="K1859" s="104"/>
      <c r="L1859" s="104"/>
      <c r="M1859" s="104"/>
      <c r="N1859" s="104"/>
      <c r="O1859" s="104"/>
      <c r="P1859" s="104"/>
      <c r="Q1859" s="104"/>
      <c r="R1859" s="104"/>
      <c r="S1859" s="104"/>
    </row>
    <row r="1860" spans="4:19">
      <c r="D1860" s="104"/>
      <c r="E1860" s="104"/>
      <c r="F1860" s="104"/>
      <c r="G1860" s="104"/>
      <c r="H1860" s="104"/>
      <c r="I1860" s="104"/>
      <c r="J1860" s="104"/>
      <c r="K1860" s="104"/>
      <c r="L1860" s="104"/>
      <c r="M1860" s="104"/>
      <c r="N1860" s="104"/>
      <c r="O1860" s="104"/>
      <c r="P1860" s="104"/>
      <c r="Q1860" s="104"/>
      <c r="R1860" s="104"/>
      <c r="S1860" s="104"/>
    </row>
    <row r="1861" spans="4:19">
      <c r="D1861" s="104"/>
      <c r="E1861" s="104"/>
      <c r="F1861" s="104"/>
      <c r="G1861" s="104"/>
      <c r="H1861" s="104"/>
      <c r="I1861" s="104"/>
      <c r="J1861" s="104"/>
      <c r="K1861" s="104"/>
      <c r="L1861" s="104"/>
      <c r="M1861" s="104"/>
      <c r="N1861" s="104"/>
      <c r="O1861" s="104"/>
      <c r="P1861" s="104"/>
      <c r="Q1861" s="104"/>
      <c r="R1861" s="104"/>
      <c r="S1861" s="104"/>
    </row>
    <row r="1862" spans="4:19">
      <c r="D1862" s="104"/>
      <c r="E1862" s="104"/>
      <c r="F1862" s="104"/>
      <c r="G1862" s="104"/>
      <c r="H1862" s="104"/>
      <c r="I1862" s="104"/>
      <c r="J1862" s="104"/>
      <c r="K1862" s="104"/>
      <c r="L1862" s="104"/>
      <c r="M1862" s="104"/>
      <c r="N1862" s="104"/>
      <c r="O1862" s="104"/>
      <c r="P1862" s="104"/>
      <c r="Q1862" s="104"/>
      <c r="R1862" s="104"/>
      <c r="S1862" s="104"/>
    </row>
    <row r="1863" spans="4:19">
      <c r="D1863" s="104"/>
      <c r="E1863" s="104"/>
      <c r="F1863" s="104"/>
      <c r="G1863" s="104"/>
      <c r="H1863" s="104"/>
      <c r="I1863" s="104"/>
      <c r="J1863" s="104"/>
      <c r="K1863" s="104"/>
      <c r="L1863" s="104"/>
      <c r="M1863" s="104"/>
      <c r="N1863" s="104"/>
      <c r="O1863" s="104"/>
      <c r="P1863" s="104"/>
      <c r="Q1863" s="104"/>
      <c r="R1863" s="104"/>
      <c r="S1863" s="104"/>
    </row>
    <row r="1864" spans="4:19">
      <c r="D1864" s="104"/>
      <c r="E1864" s="104"/>
      <c r="F1864" s="104"/>
      <c r="G1864" s="104"/>
      <c r="H1864" s="104"/>
      <c r="I1864" s="104"/>
      <c r="J1864" s="104"/>
      <c r="K1864" s="104"/>
      <c r="L1864" s="104"/>
      <c r="M1864" s="104"/>
      <c r="N1864" s="104"/>
      <c r="O1864" s="104"/>
      <c r="P1864" s="104"/>
      <c r="Q1864" s="104"/>
      <c r="R1864" s="104"/>
      <c r="S1864" s="104"/>
    </row>
    <row r="1865" spans="4:19">
      <c r="D1865" s="104"/>
      <c r="E1865" s="104"/>
      <c r="F1865" s="104"/>
      <c r="G1865" s="104"/>
      <c r="H1865" s="104"/>
      <c r="I1865" s="104"/>
      <c r="J1865" s="104"/>
      <c r="K1865" s="104"/>
      <c r="L1865" s="104"/>
      <c r="M1865" s="104"/>
      <c r="N1865" s="104"/>
      <c r="O1865" s="104"/>
      <c r="P1865" s="104"/>
      <c r="Q1865" s="104"/>
      <c r="R1865" s="104"/>
      <c r="S1865" s="104"/>
    </row>
    <row r="1866" spans="4:19">
      <c r="D1866" s="104"/>
      <c r="E1866" s="104"/>
      <c r="F1866" s="104"/>
      <c r="G1866" s="104"/>
      <c r="H1866" s="104"/>
      <c r="I1866" s="104"/>
      <c r="J1866" s="104"/>
      <c r="K1866" s="104"/>
      <c r="L1866" s="104"/>
      <c r="M1866" s="104"/>
      <c r="N1866" s="104"/>
      <c r="O1866" s="104"/>
      <c r="P1866" s="104"/>
      <c r="Q1866" s="104"/>
      <c r="R1866" s="104"/>
      <c r="S1866" s="104"/>
    </row>
    <row r="1867" spans="4:19">
      <c r="D1867" s="104"/>
      <c r="E1867" s="104"/>
      <c r="F1867" s="104"/>
      <c r="G1867" s="104"/>
      <c r="H1867" s="104"/>
      <c r="I1867" s="104"/>
      <c r="J1867" s="104"/>
      <c r="K1867" s="104"/>
      <c r="L1867" s="104"/>
      <c r="M1867" s="104"/>
      <c r="N1867" s="104"/>
      <c r="O1867" s="104"/>
      <c r="P1867" s="104"/>
      <c r="Q1867" s="104"/>
      <c r="R1867" s="104"/>
      <c r="S1867" s="104"/>
    </row>
    <row r="1868" spans="4:19">
      <c r="D1868" s="104"/>
      <c r="E1868" s="104"/>
      <c r="F1868" s="104"/>
      <c r="G1868" s="104"/>
      <c r="H1868" s="104"/>
      <c r="I1868" s="104"/>
      <c r="J1868" s="104"/>
      <c r="K1868" s="104"/>
      <c r="L1868" s="104"/>
      <c r="M1868" s="104"/>
      <c r="N1868" s="104"/>
      <c r="O1868" s="104"/>
      <c r="P1868" s="104"/>
      <c r="Q1868" s="104"/>
      <c r="R1868" s="104"/>
      <c r="S1868" s="104"/>
    </row>
    <row r="1869" spans="4:19">
      <c r="D1869" s="104"/>
      <c r="E1869" s="104"/>
      <c r="F1869" s="104"/>
      <c r="G1869" s="104"/>
      <c r="H1869" s="104"/>
      <c r="I1869" s="104"/>
      <c r="J1869" s="104"/>
      <c r="K1869" s="104"/>
      <c r="L1869" s="104"/>
      <c r="M1869" s="104"/>
      <c r="N1869" s="104"/>
      <c r="O1869" s="104"/>
      <c r="P1869" s="104"/>
      <c r="Q1869" s="104"/>
      <c r="R1869" s="104"/>
      <c r="S1869" s="104"/>
    </row>
    <row r="1870" spans="4:19">
      <c r="D1870" s="104"/>
      <c r="E1870" s="104"/>
      <c r="F1870" s="104"/>
      <c r="G1870" s="104"/>
      <c r="H1870" s="104"/>
      <c r="I1870" s="104"/>
      <c r="J1870" s="104"/>
      <c r="K1870" s="104"/>
      <c r="L1870" s="104"/>
      <c r="M1870" s="104"/>
      <c r="N1870" s="104"/>
      <c r="O1870" s="104"/>
      <c r="P1870" s="104"/>
      <c r="Q1870" s="104"/>
      <c r="R1870" s="104"/>
      <c r="S1870" s="104"/>
    </row>
    <row r="1871" spans="4:19">
      <c r="D1871" s="104"/>
      <c r="E1871" s="104"/>
      <c r="F1871" s="104"/>
      <c r="G1871" s="104"/>
      <c r="H1871" s="104"/>
      <c r="I1871" s="104"/>
      <c r="J1871" s="104"/>
      <c r="K1871" s="104"/>
      <c r="L1871" s="104"/>
      <c r="M1871" s="104"/>
      <c r="N1871" s="104"/>
      <c r="O1871" s="104"/>
      <c r="P1871" s="104"/>
      <c r="Q1871" s="104"/>
      <c r="R1871" s="104"/>
      <c r="S1871" s="104"/>
    </row>
    <row r="1872" spans="4:19">
      <c r="D1872" s="104"/>
      <c r="E1872" s="104"/>
      <c r="F1872" s="104"/>
      <c r="G1872" s="104"/>
      <c r="H1872" s="104"/>
      <c r="I1872" s="104"/>
      <c r="J1872" s="104"/>
      <c r="K1872" s="104"/>
      <c r="L1872" s="104"/>
      <c r="M1872" s="104"/>
      <c r="N1872" s="104"/>
      <c r="O1872" s="104"/>
      <c r="P1872" s="104"/>
      <c r="Q1872" s="104"/>
      <c r="R1872" s="104"/>
      <c r="S1872" s="104"/>
    </row>
    <row r="1873" spans="4:19">
      <c r="D1873" s="104"/>
      <c r="E1873" s="104"/>
      <c r="F1873" s="104"/>
      <c r="G1873" s="104"/>
      <c r="H1873" s="104"/>
      <c r="I1873" s="104"/>
      <c r="J1873" s="104"/>
      <c r="K1873" s="104"/>
      <c r="L1873" s="104"/>
      <c r="M1873" s="104"/>
      <c r="N1873" s="104"/>
      <c r="O1873" s="104"/>
      <c r="P1873" s="104"/>
      <c r="Q1873" s="104"/>
      <c r="R1873" s="104"/>
      <c r="S1873" s="104"/>
    </row>
    <row r="1874" spans="4:19">
      <c r="D1874" s="104"/>
      <c r="E1874" s="104"/>
      <c r="F1874" s="104"/>
      <c r="G1874" s="104"/>
      <c r="H1874" s="104"/>
      <c r="I1874" s="104"/>
      <c r="J1874" s="104"/>
      <c r="K1874" s="104"/>
      <c r="L1874" s="104"/>
      <c r="M1874" s="104"/>
      <c r="N1874" s="104"/>
      <c r="O1874" s="104"/>
      <c r="P1874" s="104"/>
      <c r="Q1874" s="104"/>
      <c r="R1874" s="104"/>
      <c r="S1874" s="104"/>
    </row>
    <row r="1875" spans="4:19">
      <c r="D1875" s="104"/>
      <c r="E1875" s="104"/>
      <c r="F1875" s="104"/>
      <c r="G1875" s="104"/>
      <c r="H1875" s="104"/>
      <c r="I1875" s="104"/>
      <c r="J1875" s="104"/>
      <c r="K1875" s="104"/>
      <c r="L1875" s="104"/>
      <c r="M1875" s="104"/>
      <c r="N1875" s="104"/>
      <c r="O1875" s="104"/>
      <c r="P1875" s="104"/>
      <c r="Q1875" s="104"/>
      <c r="R1875" s="104"/>
      <c r="S1875" s="104"/>
    </row>
    <row r="1876" spans="4:19">
      <c r="D1876" s="104"/>
      <c r="E1876" s="104"/>
      <c r="F1876" s="104"/>
      <c r="G1876" s="104"/>
      <c r="H1876" s="104"/>
      <c r="I1876" s="104"/>
      <c r="J1876" s="104"/>
      <c r="K1876" s="104"/>
      <c r="L1876" s="104"/>
      <c r="M1876" s="104"/>
      <c r="N1876" s="104"/>
      <c r="O1876" s="104"/>
      <c r="P1876" s="104"/>
      <c r="Q1876" s="104"/>
      <c r="R1876" s="104"/>
      <c r="S1876" s="104"/>
    </row>
    <row r="1877" spans="4:19">
      <c r="D1877" s="104"/>
      <c r="E1877" s="104"/>
      <c r="F1877" s="104"/>
      <c r="G1877" s="104"/>
      <c r="H1877" s="104"/>
      <c r="I1877" s="104"/>
      <c r="J1877" s="104"/>
      <c r="K1877" s="104"/>
      <c r="L1877" s="104"/>
      <c r="M1877" s="104"/>
      <c r="N1877" s="104"/>
      <c r="O1877" s="104"/>
      <c r="P1877" s="104"/>
      <c r="Q1877" s="104"/>
      <c r="R1877" s="104"/>
      <c r="S1877" s="104"/>
    </row>
    <row r="1878" spans="4:19">
      <c r="D1878" s="104"/>
      <c r="E1878" s="104"/>
      <c r="F1878" s="104"/>
      <c r="G1878" s="104"/>
      <c r="H1878" s="104"/>
      <c r="I1878" s="104"/>
      <c r="J1878" s="104"/>
      <c r="K1878" s="104"/>
      <c r="L1878" s="104"/>
      <c r="M1878" s="104"/>
      <c r="N1878" s="104"/>
      <c r="O1878" s="104"/>
      <c r="P1878" s="104"/>
      <c r="Q1878" s="104"/>
      <c r="R1878" s="104"/>
      <c r="S1878" s="104"/>
    </row>
    <row r="1879" spans="4:19">
      <c r="D1879" s="104"/>
      <c r="E1879" s="104"/>
      <c r="F1879" s="104"/>
      <c r="G1879" s="104"/>
      <c r="H1879" s="104"/>
      <c r="I1879" s="104"/>
      <c r="J1879" s="104"/>
      <c r="K1879" s="104"/>
      <c r="L1879" s="104"/>
      <c r="M1879" s="104"/>
      <c r="N1879" s="104"/>
      <c r="O1879" s="104"/>
      <c r="P1879" s="104"/>
      <c r="Q1879" s="104"/>
      <c r="R1879" s="104"/>
      <c r="S1879" s="104"/>
    </row>
    <row r="1880" spans="4:19">
      <c r="D1880" s="104"/>
      <c r="E1880" s="104"/>
      <c r="F1880" s="104"/>
      <c r="G1880" s="104"/>
      <c r="H1880" s="104"/>
      <c r="I1880" s="104"/>
      <c r="J1880" s="104"/>
      <c r="K1880" s="104"/>
      <c r="L1880" s="104"/>
      <c r="M1880" s="104"/>
      <c r="N1880" s="104"/>
      <c r="O1880" s="104"/>
      <c r="P1880" s="104"/>
      <c r="Q1880" s="104"/>
      <c r="R1880" s="104"/>
      <c r="S1880" s="104"/>
    </row>
    <row r="1881" spans="4:19">
      <c r="D1881" s="104"/>
      <c r="E1881" s="104"/>
      <c r="F1881" s="104"/>
      <c r="G1881" s="104"/>
      <c r="H1881" s="104"/>
      <c r="I1881" s="104"/>
      <c r="J1881" s="104"/>
      <c r="K1881" s="104"/>
      <c r="L1881" s="104"/>
      <c r="M1881" s="104"/>
      <c r="N1881" s="104"/>
      <c r="O1881" s="104"/>
      <c r="P1881" s="104"/>
      <c r="Q1881" s="104"/>
      <c r="R1881" s="104"/>
      <c r="S1881" s="104"/>
    </row>
    <row r="1882" spans="4:19">
      <c r="D1882" s="104"/>
      <c r="E1882" s="104"/>
      <c r="F1882" s="104"/>
      <c r="G1882" s="104"/>
      <c r="H1882" s="104"/>
      <c r="I1882" s="104"/>
      <c r="J1882" s="104"/>
      <c r="K1882" s="104"/>
      <c r="L1882" s="104"/>
      <c r="M1882" s="104"/>
      <c r="N1882" s="104"/>
      <c r="O1882" s="104"/>
      <c r="P1882" s="104"/>
      <c r="Q1882" s="104"/>
      <c r="R1882" s="104"/>
      <c r="S1882" s="104"/>
    </row>
    <row r="1883" spans="4:19">
      <c r="D1883" s="104"/>
      <c r="E1883" s="104"/>
      <c r="F1883" s="104"/>
      <c r="G1883" s="104"/>
      <c r="H1883" s="104"/>
      <c r="I1883" s="104"/>
      <c r="J1883" s="104"/>
      <c r="K1883" s="104"/>
      <c r="L1883" s="104"/>
      <c r="M1883" s="104"/>
      <c r="N1883" s="104"/>
      <c r="O1883" s="104"/>
      <c r="P1883" s="104"/>
      <c r="Q1883" s="104"/>
      <c r="R1883" s="104"/>
      <c r="S1883" s="104"/>
    </row>
    <row r="1884" spans="4:19">
      <c r="D1884" s="104"/>
      <c r="E1884" s="104"/>
      <c r="F1884" s="104"/>
      <c r="G1884" s="104"/>
      <c r="H1884" s="104"/>
      <c r="I1884" s="104"/>
      <c r="J1884" s="104"/>
      <c r="K1884" s="104"/>
      <c r="L1884" s="104"/>
      <c r="M1884" s="104"/>
      <c r="N1884" s="104"/>
      <c r="O1884" s="104"/>
      <c r="P1884" s="104"/>
      <c r="Q1884" s="104"/>
      <c r="R1884" s="104"/>
      <c r="S1884" s="104"/>
    </row>
    <row r="1885" spans="4:19">
      <c r="D1885" s="104"/>
      <c r="E1885" s="104"/>
      <c r="F1885" s="104"/>
      <c r="G1885" s="104"/>
      <c r="H1885" s="104"/>
      <c r="I1885" s="104"/>
      <c r="J1885" s="104"/>
      <c r="K1885" s="104"/>
      <c r="L1885" s="104"/>
      <c r="M1885" s="104"/>
      <c r="N1885" s="104"/>
      <c r="O1885" s="104"/>
      <c r="P1885" s="104"/>
      <c r="Q1885" s="104"/>
      <c r="R1885" s="104"/>
      <c r="S1885" s="104"/>
    </row>
    <row r="1886" spans="4:19">
      <c r="D1886" s="104"/>
      <c r="E1886" s="104"/>
      <c r="F1886" s="104"/>
      <c r="G1886" s="104"/>
      <c r="H1886" s="104"/>
      <c r="I1886" s="104"/>
      <c r="J1886" s="104"/>
      <c r="K1886" s="104"/>
      <c r="L1886" s="104"/>
      <c r="M1886" s="104"/>
      <c r="N1886" s="104"/>
      <c r="O1886" s="104"/>
      <c r="P1886" s="104"/>
      <c r="Q1886" s="104"/>
      <c r="R1886" s="104"/>
      <c r="S1886" s="104"/>
    </row>
    <row r="1887" spans="4:19">
      <c r="D1887" s="104"/>
      <c r="E1887" s="104"/>
      <c r="F1887" s="104"/>
      <c r="G1887" s="104"/>
      <c r="H1887" s="104"/>
      <c r="I1887" s="104"/>
      <c r="J1887" s="104"/>
      <c r="K1887" s="104"/>
      <c r="L1887" s="104"/>
      <c r="M1887" s="104"/>
      <c r="N1887" s="104"/>
      <c r="O1887" s="104"/>
      <c r="P1887" s="104"/>
      <c r="Q1887" s="104"/>
      <c r="R1887" s="104"/>
      <c r="S1887" s="104"/>
    </row>
    <row r="1888" spans="4:19">
      <c r="D1888" s="104"/>
      <c r="E1888" s="104"/>
      <c r="F1888" s="104"/>
      <c r="G1888" s="104"/>
      <c r="H1888" s="104"/>
      <c r="I1888" s="104"/>
      <c r="J1888" s="104"/>
      <c r="K1888" s="104"/>
      <c r="L1888" s="104"/>
      <c r="M1888" s="104"/>
      <c r="N1888" s="104"/>
      <c r="O1888" s="104"/>
      <c r="P1888" s="104"/>
      <c r="Q1888" s="104"/>
      <c r="R1888" s="104"/>
      <c r="S1888" s="104"/>
    </row>
    <row r="1889" spans="4:19">
      <c r="D1889" s="104"/>
      <c r="E1889" s="104"/>
      <c r="F1889" s="104"/>
      <c r="G1889" s="104"/>
      <c r="H1889" s="104"/>
      <c r="I1889" s="104"/>
      <c r="J1889" s="104"/>
      <c r="K1889" s="104"/>
      <c r="L1889" s="104"/>
      <c r="M1889" s="104"/>
      <c r="N1889" s="104"/>
      <c r="O1889" s="104"/>
      <c r="P1889" s="104"/>
      <c r="Q1889" s="104"/>
      <c r="R1889" s="104"/>
      <c r="S1889" s="104"/>
    </row>
    <row r="1890" spans="4:19">
      <c r="D1890" s="104"/>
      <c r="E1890" s="104"/>
      <c r="F1890" s="104"/>
      <c r="G1890" s="104"/>
      <c r="H1890" s="104"/>
      <c r="I1890" s="104"/>
      <c r="J1890" s="104"/>
      <c r="K1890" s="104"/>
      <c r="L1890" s="104"/>
      <c r="M1890" s="104"/>
      <c r="N1890" s="104"/>
      <c r="O1890" s="104"/>
      <c r="P1890" s="104"/>
      <c r="Q1890" s="104"/>
      <c r="R1890" s="104"/>
      <c r="S1890" s="104"/>
    </row>
    <row r="1891" spans="4:19">
      <c r="D1891" s="104"/>
      <c r="E1891" s="104"/>
      <c r="F1891" s="104"/>
      <c r="G1891" s="104"/>
      <c r="H1891" s="104"/>
      <c r="I1891" s="104"/>
      <c r="J1891" s="104"/>
      <c r="K1891" s="104"/>
      <c r="L1891" s="104"/>
      <c r="M1891" s="104"/>
      <c r="N1891" s="104"/>
      <c r="O1891" s="104"/>
      <c r="P1891" s="104"/>
      <c r="Q1891" s="104"/>
      <c r="R1891" s="104"/>
      <c r="S1891" s="104"/>
    </row>
    <row r="1892" spans="4:19">
      <c r="D1892" s="104"/>
      <c r="E1892" s="104"/>
      <c r="F1892" s="104"/>
      <c r="G1892" s="104"/>
      <c r="H1892" s="104"/>
      <c r="I1892" s="104"/>
      <c r="J1892" s="104"/>
      <c r="K1892" s="104"/>
      <c r="L1892" s="104"/>
      <c r="M1892" s="104"/>
      <c r="N1892" s="104"/>
      <c r="O1892" s="104"/>
      <c r="P1892" s="104"/>
      <c r="Q1892" s="104"/>
      <c r="R1892" s="104"/>
      <c r="S1892" s="104"/>
    </row>
    <row r="1893" spans="4:19">
      <c r="D1893" s="104"/>
      <c r="E1893" s="104"/>
      <c r="F1893" s="104"/>
      <c r="G1893" s="104"/>
      <c r="H1893" s="104"/>
      <c r="I1893" s="104"/>
      <c r="J1893" s="104"/>
      <c r="K1893" s="104"/>
      <c r="L1893" s="104"/>
      <c r="M1893" s="104"/>
      <c r="N1893" s="104"/>
      <c r="O1893" s="104"/>
      <c r="P1893" s="104"/>
      <c r="Q1893" s="104"/>
      <c r="R1893" s="104"/>
      <c r="S1893" s="104"/>
    </row>
    <row r="1894" spans="4:19">
      <c r="D1894" s="104"/>
      <c r="E1894" s="104"/>
      <c r="F1894" s="104"/>
      <c r="G1894" s="104"/>
      <c r="H1894" s="104"/>
      <c r="I1894" s="104"/>
      <c r="J1894" s="104"/>
      <c r="K1894" s="104"/>
      <c r="L1894" s="104"/>
      <c r="M1894" s="104"/>
      <c r="N1894" s="104"/>
      <c r="O1894" s="104"/>
      <c r="P1894" s="104"/>
      <c r="Q1894" s="104"/>
      <c r="R1894" s="104"/>
      <c r="S1894" s="104"/>
    </row>
    <row r="1895" spans="4:19">
      <c r="D1895" s="104"/>
      <c r="E1895" s="104"/>
      <c r="F1895" s="104"/>
      <c r="G1895" s="104"/>
      <c r="H1895" s="104"/>
      <c r="I1895" s="104"/>
      <c r="J1895" s="104"/>
      <c r="K1895" s="104"/>
      <c r="L1895" s="104"/>
      <c r="M1895" s="104"/>
      <c r="N1895" s="104"/>
      <c r="O1895" s="104"/>
      <c r="P1895" s="104"/>
      <c r="Q1895" s="104"/>
      <c r="R1895" s="104"/>
      <c r="S1895" s="104"/>
    </row>
    <row r="1896" spans="4:19">
      <c r="D1896" s="104"/>
      <c r="E1896" s="104"/>
      <c r="F1896" s="104"/>
      <c r="G1896" s="104"/>
      <c r="H1896" s="104"/>
      <c r="I1896" s="104"/>
      <c r="J1896" s="104"/>
      <c r="K1896" s="104"/>
      <c r="L1896" s="104"/>
      <c r="M1896" s="104"/>
      <c r="N1896" s="104"/>
      <c r="O1896" s="104"/>
      <c r="P1896" s="104"/>
      <c r="Q1896" s="104"/>
      <c r="R1896" s="104"/>
      <c r="S1896" s="104"/>
    </row>
    <row r="1897" spans="4:19">
      <c r="D1897" s="104"/>
      <c r="E1897" s="104"/>
      <c r="F1897" s="104"/>
      <c r="G1897" s="104"/>
      <c r="H1897" s="104"/>
      <c r="I1897" s="104"/>
      <c r="J1897" s="104"/>
      <c r="K1897" s="104"/>
      <c r="L1897" s="104"/>
      <c r="M1897" s="104"/>
      <c r="N1897" s="104"/>
      <c r="O1897" s="104"/>
      <c r="P1897" s="104"/>
      <c r="Q1897" s="104"/>
      <c r="R1897" s="104"/>
      <c r="S1897" s="104"/>
    </row>
    <row r="1898" spans="4:19">
      <c r="D1898" s="104"/>
      <c r="E1898" s="104"/>
      <c r="F1898" s="104"/>
      <c r="G1898" s="104"/>
      <c r="H1898" s="104"/>
      <c r="I1898" s="104"/>
      <c r="J1898" s="104"/>
      <c r="K1898" s="104"/>
      <c r="L1898" s="104"/>
      <c r="M1898" s="104"/>
      <c r="N1898" s="104"/>
      <c r="O1898" s="104"/>
      <c r="P1898" s="104"/>
      <c r="Q1898" s="104"/>
      <c r="R1898" s="104"/>
      <c r="S1898" s="104"/>
    </row>
    <row r="1899" spans="4:19">
      <c r="D1899" s="104"/>
      <c r="E1899" s="104"/>
      <c r="F1899" s="104"/>
      <c r="G1899" s="104"/>
      <c r="H1899" s="104"/>
      <c r="I1899" s="104"/>
      <c r="J1899" s="104"/>
      <c r="K1899" s="104"/>
      <c r="L1899" s="104"/>
      <c r="M1899" s="104"/>
      <c r="N1899" s="104"/>
      <c r="O1899" s="104"/>
      <c r="P1899" s="104"/>
      <c r="Q1899" s="104"/>
      <c r="R1899" s="104"/>
      <c r="S1899" s="104"/>
    </row>
    <row r="1900" spans="4:19">
      <c r="D1900" s="104"/>
      <c r="E1900" s="104"/>
      <c r="F1900" s="104"/>
      <c r="G1900" s="104"/>
      <c r="H1900" s="104"/>
      <c r="I1900" s="104"/>
      <c r="J1900" s="104"/>
      <c r="K1900" s="104"/>
      <c r="L1900" s="104"/>
      <c r="M1900" s="104"/>
      <c r="N1900" s="104"/>
      <c r="O1900" s="104"/>
      <c r="P1900" s="104"/>
      <c r="Q1900" s="104"/>
      <c r="R1900" s="104"/>
      <c r="S1900" s="104"/>
    </row>
    <row r="1901" spans="4:19">
      <c r="D1901" s="104"/>
      <c r="E1901" s="104"/>
      <c r="F1901" s="104"/>
      <c r="G1901" s="104"/>
      <c r="H1901" s="104"/>
      <c r="I1901" s="104"/>
      <c r="J1901" s="104"/>
      <c r="K1901" s="104"/>
      <c r="L1901" s="104"/>
      <c r="M1901" s="104"/>
      <c r="N1901" s="104"/>
      <c r="O1901" s="104"/>
      <c r="P1901" s="104"/>
      <c r="Q1901" s="104"/>
      <c r="R1901" s="104"/>
      <c r="S1901" s="104"/>
    </row>
    <row r="1902" spans="4:19">
      <c r="D1902" s="104"/>
      <c r="E1902" s="104"/>
      <c r="F1902" s="104"/>
      <c r="G1902" s="104"/>
      <c r="H1902" s="104"/>
      <c r="I1902" s="104"/>
      <c r="J1902" s="104"/>
      <c r="K1902" s="104"/>
      <c r="L1902" s="104"/>
      <c r="M1902" s="104"/>
      <c r="N1902" s="104"/>
      <c r="O1902" s="104"/>
      <c r="P1902" s="104"/>
      <c r="Q1902" s="104"/>
      <c r="R1902" s="104"/>
      <c r="S1902" s="104"/>
    </row>
    <row r="1903" spans="4:19">
      <c r="D1903" s="104"/>
      <c r="E1903" s="104"/>
      <c r="F1903" s="104"/>
      <c r="G1903" s="104"/>
      <c r="H1903" s="104"/>
      <c r="I1903" s="104"/>
      <c r="J1903" s="104"/>
      <c r="K1903" s="104"/>
      <c r="L1903" s="104"/>
      <c r="M1903" s="104"/>
      <c r="N1903" s="104"/>
      <c r="O1903" s="104"/>
      <c r="P1903" s="104"/>
      <c r="Q1903" s="104"/>
      <c r="R1903" s="104"/>
      <c r="S1903" s="104"/>
    </row>
    <row r="1904" spans="4:19">
      <c r="D1904" s="104"/>
      <c r="E1904" s="104"/>
      <c r="F1904" s="104"/>
      <c r="G1904" s="104"/>
      <c r="H1904" s="104"/>
      <c r="I1904" s="104"/>
      <c r="J1904" s="104"/>
      <c r="K1904" s="104"/>
      <c r="L1904" s="104"/>
      <c r="M1904" s="104"/>
      <c r="N1904" s="104"/>
      <c r="O1904" s="104"/>
      <c r="P1904" s="104"/>
      <c r="Q1904" s="104"/>
      <c r="R1904" s="104"/>
      <c r="S1904" s="104"/>
    </row>
    <row r="1905" spans="4:19">
      <c r="D1905" s="104"/>
      <c r="E1905" s="104"/>
      <c r="F1905" s="104"/>
      <c r="G1905" s="104"/>
      <c r="H1905" s="104"/>
      <c r="I1905" s="104"/>
      <c r="J1905" s="104"/>
      <c r="K1905" s="104"/>
      <c r="L1905" s="104"/>
      <c r="M1905" s="104"/>
      <c r="N1905" s="104"/>
      <c r="O1905" s="104"/>
      <c r="P1905" s="104"/>
      <c r="Q1905" s="104"/>
      <c r="R1905" s="104"/>
      <c r="S1905" s="104"/>
    </row>
    <row r="1906" spans="4:19">
      <c r="D1906" s="104"/>
      <c r="E1906" s="104"/>
      <c r="F1906" s="104"/>
      <c r="G1906" s="104"/>
      <c r="H1906" s="104"/>
      <c r="I1906" s="104"/>
      <c r="J1906" s="104"/>
      <c r="K1906" s="104"/>
      <c r="L1906" s="104"/>
      <c r="M1906" s="104"/>
      <c r="N1906" s="104"/>
      <c r="O1906" s="104"/>
      <c r="P1906" s="104"/>
      <c r="Q1906" s="104"/>
      <c r="R1906" s="104"/>
      <c r="S1906" s="104"/>
    </row>
    <row r="1907" spans="4:19">
      <c r="D1907" s="104"/>
      <c r="E1907" s="104"/>
      <c r="F1907" s="104"/>
      <c r="G1907" s="104"/>
      <c r="H1907" s="104"/>
      <c r="I1907" s="104"/>
      <c r="J1907" s="104"/>
      <c r="K1907" s="104"/>
      <c r="L1907" s="104"/>
      <c r="M1907" s="104"/>
      <c r="N1907" s="104"/>
      <c r="O1907" s="104"/>
      <c r="P1907" s="104"/>
      <c r="Q1907" s="104"/>
      <c r="R1907" s="104"/>
      <c r="S1907" s="104"/>
    </row>
    <row r="1908" spans="4:19">
      <c r="D1908" s="104"/>
      <c r="E1908" s="104"/>
      <c r="F1908" s="104"/>
      <c r="G1908" s="104"/>
      <c r="H1908" s="104"/>
      <c r="I1908" s="104"/>
      <c r="J1908" s="104"/>
      <c r="K1908" s="104"/>
      <c r="L1908" s="104"/>
      <c r="M1908" s="104"/>
      <c r="N1908" s="104"/>
      <c r="O1908" s="104"/>
      <c r="P1908" s="104"/>
      <c r="Q1908" s="104"/>
      <c r="R1908" s="104"/>
      <c r="S1908" s="104"/>
    </row>
    <row r="1909" spans="4:19">
      <c r="D1909" s="104"/>
      <c r="E1909" s="104"/>
      <c r="F1909" s="104"/>
      <c r="G1909" s="104"/>
      <c r="H1909" s="104"/>
      <c r="I1909" s="104"/>
      <c r="J1909" s="104"/>
      <c r="K1909" s="104"/>
      <c r="L1909" s="104"/>
      <c r="M1909" s="104"/>
      <c r="N1909" s="104"/>
      <c r="O1909" s="104"/>
      <c r="P1909" s="104"/>
      <c r="Q1909" s="104"/>
      <c r="R1909" s="104"/>
      <c r="S1909" s="104"/>
    </row>
    <row r="1910" spans="4:19">
      <c r="D1910" s="104"/>
      <c r="E1910" s="104"/>
      <c r="F1910" s="104"/>
      <c r="G1910" s="104"/>
      <c r="H1910" s="104"/>
      <c r="I1910" s="104"/>
      <c r="J1910" s="104"/>
      <c r="K1910" s="104"/>
      <c r="L1910" s="104"/>
      <c r="M1910" s="104"/>
      <c r="N1910" s="104"/>
      <c r="O1910" s="104"/>
      <c r="P1910" s="104"/>
      <c r="Q1910" s="104"/>
      <c r="R1910" s="104"/>
      <c r="S1910" s="104"/>
    </row>
    <row r="1911" spans="4:19">
      <c r="D1911" s="104"/>
      <c r="E1911" s="104"/>
      <c r="F1911" s="104"/>
      <c r="G1911" s="104"/>
      <c r="H1911" s="104"/>
      <c r="I1911" s="104"/>
      <c r="J1911" s="104"/>
      <c r="K1911" s="104"/>
      <c r="L1911" s="104"/>
      <c r="M1911" s="104"/>
      <c r="N1911" s="104"/>
      <c r="O1911" s="104"/>
      <c r="P1911" s="104"/>
      <c r="Q1911" s="104"/>
      <c r="R1911" s="104"/>
      <c r="S1911" s="104"/>
    </row>
    <row r="1912" spans="4:19">
      <c r="D1912" s="104"/>
      <c r="E1912" s="104"/>
      <c r="F1912" s="104"/>
      <c r="G1912" s="104"/>
      <c r="H1912" s="104"/>
      <c r="I1912" s="104"/>
      <c r="J1912" s="104"/>
      <c r="K1912" s="104"/>
      <c r="L1912" s="104"/>
      <c r="M1912" s="104"/>
      <c r="N1912" s="104"/>
      <c r="O1912" s="104"/>
      <c r="P1912" s="104"/>
      <c r="Q1912" s="104"/>
      <c r="R1912" s="104"/>
      <c r="S1912" s="104"/>
    </row>
    <row r="1913" spans="4:19">
      <c r="D1913" s="104"/>
      <c r="E1913" s="104"/>
      <c r="F1913" s="104"/>
      <c r="G1913" s="104"/>
      <c r="H1913" s="104"/>
      <c r="I1913" s="104"/>
      <c r="J1913" s="104"/>
      <c r="K1913" s="104"/>
      <c r="L1913" s="104"/>
      <c r="M1913" s="104"/>
      <c r="N1913" s="104"/>
      <c r="O1913" s="104"/>
      <c r="P1913" s="104"/>
      <c r="Q1913" s="104"/>
      <c r="R1913" s="104"/>
      <c r="S1913" s="104"/>
    </row>
    <row r="1914" spans="4:19">
      <c r="D1914" s="104"/>
      <c r="E1914" s="104"/>
      <c r="F1914" s="104"/>
      <c r="G1914" s="104"/>
      <c r="H1914" s="104"/>
      <c r="I1914" s="104"/>
      <c r="J1914" s="104"/>
      <c r="K1914" s="104"/>
      <c r="L1914" s="104"/>
      <c r="M1914" s="104"/>
      <c r="N1914" s="104"/>
      <c r="O1914" s="104"/>
      <c r="P1914" s="104"/>
      <c r="Q1914" s="104"/>
      <c r="R1914" s="104"/>
      <c r="S1914" s="104"/>
    </row>
    <row r="1915" spans="4:19">
      <c r="D1915" s="104"/>
      <c r="E1915" s="104"/>
      <c r="F1915" s="104"/>
      <c r="G1915" s="104"/>
      <c r="H1915" s="104"/>
      <c r="I1915" s="104"/>
      <c r="J1915" s="104"/>
      <c r="K1915" s="104"/>
      <c r="L1915" s="104"/>
      <c r="M1915" s="104"/>
      <c r="N1915" s="104"/>
      <c r="O1915" s="104"/>
      <c r="P1915" s="104"/>
      <c r="Q1915" s="104"/>
      <c r="R1915" s="104"/>
      <c r="S1915" s="104"/>
    </row>
    <row r="1916" spans="4:19">
      <c r="D1916" s="104"/>
      <c r="E1916" s="104"/>
      <c r="F1916" s="104"/>
      <c r="G1916" s="104"/>
      <c r="H1916" s="104"/>
      <c r="I1916" s="104"/>
      <c r="J1916" s="104"/>
      <c r="K1916" s="104"/>
      <c r="L1916" s="104"/>
      <c r="M1916" s="104"/>
      <c r="N1916" s="104"/>
      <c r="O1916" s="104"/>
      <c r="P1916" s="104"/>
      <c r="Q1916" s="104"/>
      <c r="R1916" s="104"/>
      <c r="S1916" s="104"/>
    </row>
    <row r="1917" spans="4:19">
      <c r="D1917" s="104"/>
      <c r="E1917" s="104"/>
      <c r="F1917" s="104"/>
      <c r="G1917" s="104"/>
      <c r="H1917" s="104"/>
      <c r="I1917" s="104"/>
      <c r="J1917" s="104"/>
      <c r="K1917" s="104"/>
      <c r="L1917" s="104"/>
      <c r="M1917" s="104"/>
      <c r="N1917" s="104"/>
      <c r="O1917" s="104"/>
      <c r="P1917" s="104"/>
      <c r="Q1917" s="104"/>
      <c r="R1917" s="104"/>
      <c r="S1917" s="104"/>
    </row>
    <row r="1918" spans="4:19">
      <c r="D1918" s="104"/>
      <c r="E1918" s="104"/>
      <c r="F1918" s="104"/>
      <c r="G1918" s="104"/>
      <c r="H1918" s="104"/>
      <c r="I1918" s="104"/>
      <c r="J1918" s="104"/>
      <c r="K1918" s="104"/>
      <c r="L1918" s="104"/>
      <c r="M1918" s="104"/>
      <c r="N1918" s="104"/>
      <c r="O1918" s="104"/>
      <c r="P1918" s="104"/>
      <c r="Q1918" s="104"/>
      <c r="R1918" s="104"/>
      <c r="S1918" s="104"/>
    </row>
    <row r="1919" spans="4:19">
      <c r="D1919" s="104"/>
      <c r="E1919" s="104"/>
      <c r="F1919" s="104"/>
      <c r="G1919" s="104"/>
      <c r="H1919" s="104"/>
      <c r="I1919" s="104"/>
      <c r="J1919" s="104"/>
      <c r="K1919" s="104"/>
      <c r="L1919" s="104"/>
      <c r="M1919" s="104"/>
      <c r="N1919" s="104"/>
      <c r="O1919" s="104"/>
      <c r="P1919" s="104"/>
      <c r="Q1919" s="104"/>
      <c r="R1919" s="104"/>
      <c r="S1919" s="104"/>
    </row>
    <row r="1920" spans="4:19">
      <c r="D1920" s="104"/>
      <c r="E1920" s="104"/>
      <c r="F1920" s="104"/>
      <c r="G1920" s="104"/>
      <c r="H1920" s="104"/>
      <c r="I1920" s="104"/>
      <c r="J1920" s="104"/>
      <c r="K1920" s="104"/>
      <c r="L1920" s="104"/>
      <c r="M1920" s="104"/>
      <c r="N1920" s="104"/>
      <c r="O1920" s="104"/>
      <c r="P1920" s="104"/>
      <c r="Q1920" s="104"/>
      <c r="R1920" s="104"/>
      <c r="S1920" s="104"/>
    </row>
    <row r="1921" spans="4:19">
      <c r="D1921" s="104"/>
      <c r="E1921" s="104"/>
      <c r="F1921" s="104"/>
      <c r="G1921" s="104"/>
      <c r="H1921" s="104"/>
      <c r="I1921" s="104"/>
      <c r="J1921" s="104"/>
      <c r="K1921" s="104"/>
      <c r="L1921" s="104"/>
      <c r="M1921" s="104"/>
      <c r="N1921" s="104"/>
      <c r="O1921" s="104"/>
      <c r="P1921" s="104"/>
      <c r="Q1921" s="104"/>
      <c r="R1921" s="104"/>
      <c r="S1921" s="104"/>
    </row>
    <row r="1922" spans="4:19">
      <c r="D1922" s="104"/>
      <c r="E1922" s="104"/>
      <c r="F1922" s="104"/>
      <c r="G1922" s="104"/>
      <c r="H1922" s="104"/>
      <c r="I1922" s="104"/>
      <c r="J1922" s="104"/>
      <c r="K1922" s="104"/>
      <c r="L1922" s="104"/>
      <c r="M1922" s="104"/>
      <c r="N1922" s="104"/>
      <c r="O1922" s="104"/>
      <c r="P1922" s="104"/>
      <c r="Q1922" s="104"/>
      <c r="R1922" s="104"/>
      <c r="S1922" s="104"/>
    </row>
    <row r="1923" spans="4:19">
      <c r="D1923" s="104"/>
      <c r="E1923" s="104"/>
      <c r="F1923" s="104"/>
      <c r="G1923" s="104"/>
      <c r="H1923" s="104"/>
      <c r="I1923" s="104"/>
      <c r="J1923" s="104"/>
      <c r="K1923" s="104"/>
      <c r="L1923" s="104"/>
      <c r="M1923" s="104"/>
      <c r="N1923" s="104"/>
      <c r="O1923" s="104"/>
      <c r="P1923" s="104"/>
      <c r="Q1923" s="104"/>
      <c r="R1923" s="104"/>
      <c r="S1923" s="104"/>
    </row>
    <row r="1924" spans="4:19">
      <c r="D1924" s="104"/>
      <c r="E1924" s="104"/>
      <c r="F1924" s="104"/>
      <c r="G1924" s="104"/>
      <c r="H1924" s="104"/>
      <c r="I1924" s="104"/>
      <c r="J1924" s="104"/>
      <c r="K1924" s="104"/>
      <c r="L1924" s="104"/>
      <c r="M1924" s="104"/>
      <c r="N1924" s="104"/>
      <c r="O1924" s="104"/>
      <c r="P1924" s="104"/>
      <c r="Q1924" s="104"/>
      <c r="R1924" s="104"/>
      <c r="S1924" s="104"/>
    </row>
    <row r="1925" spans="4:19">
      <c r="D1925" s="104"/>
      <c r="E1925" s="104"/>
      <c r="F1925" s="104"/>
      <c r="G1925" s="104"/>
      <c r="H1925" s="104"/>
      <c r="I1925" s="104"/>
      <c r="J1925" s="104"/>
      <c r="K1925" s="104"/>
      <c r="L1925" s="104"/>
      <c r="M1925" s="104"/>
      <c r="N1925" s="104"/>
      <c r="O1925" s="104"/>
      <c r="P1925" s="104"/>
      <c r="Q1925" s="104"/>
      <c r="R1925" s="104"/>
      <c r="S1925" s="104"/>
    </row>
    <row r="1926" spans="4:19">
      <c r="D1926" s="104"/>
      <c r="E1926" s="104"/>
      <c r="F1926" s="104"/>
      <c r="G1926" s="104"/>
      <c r="H1926" s="104"/>
      <c r="I1926" s="104"/>
      <c r="J1926" s="104"/>
      <c r="K1926" s="104"/>
      <c r="L1926" s="104"/>
      <c r="M1926" s="104"/>
      <c r="N1926" s="104"/>
      <c r="O1926" s="104"/>
      <c r="P1926" s="104"/>
      <c r="Q1926" s="104"/>
      <c r="R1926" s="104"/>
      <c r="S1926" s="104"/>
    </row>
    <row r="1927" spans="4:19">
      <c r="D1927" s="104"/>
      <c r="E1927" s="104"/>
      <c r="F1927" s="104"/>
      <c r="G1927" s="104"/>
      <c r="H1927" s="104"/>
      <c r="I1927" s="104"/>
      <c r="J1927" s="104"/>
      <c r="K1927" s="104"/>
      <c r="L1927" s="104"/>
      <c r="M1927" s="104"/>
      <c r="N1927" s="104"/>
      <c r="O1927" s="104"/>
      <c r="P1927" s="104"/>
      <c r="Q1927" s="104"/>
      <c r="R1927" s="104"/>
      <c r="S1927" s="104"/>
    </row>
    <row r="1928" spans="4:19">
      <c r="D1928" s="104"/>
      <c r="E1928" s="104"/>
      <c r="F1928" s="104"/>
      <c r="G1928" s="104"/>
      <c r="H1928" s="104"/>
      <c r="I1928" s="104"/>
      <c r="J1928" s="104"/>
      <c r="K1928" s="104"/>
      <c r="L1928" s="104"/>
      <c r="M1928" s="104"/>
      <c r="N1928" s="104"/>
      <c r="O1928" s="104"/>
      <c r="P1928" s="104"/>
      <c r="Q1928" s="104"/>
      <c r="R1928" s="104"/>
      <c r="S1928" s="104"/>
    </row>
    <row r="1929" spans="4:19">
      <c r="D1929" s="104"/>
      <c r="E1929" s="104"/>
      <c r="F1929" s="104"/>
      <c r="G1929" s="104"/>
      <c r="H1929" s="104"/>
      <c r="I1929" s="104"/>
      <c r="J1929" s="104"/>
      <c r="K1929" s="104"/>
      <c r="L1929" s="104"/>
      <c r="M1929" s="104"/>
      <c r="N1929" s="104"/>
      <c r="O1929" s="104"/>
      <c r="P1929" s="104"/>
      <c r="Q1929" s="104"/>
      <c r="R1929" s="104"/>
      <c r="S1929" s="104"/>
    </row>
    <row r="1930" spans="4:19">
      <c r="D1930" s="104"/>
      <c r="E1930" s="104"/>
      <c r="F1930" s="104"/>
      <c r="G1930" s="104"/>
      <c r="H1930" s="104"/>
      <c r="I1930" s="104"/>
      <c r="J1930" s="104"/>
      <c r="K1930" s="104"/>
      <c r="L1930" s="104"/>
      <c r="M1930" s="104"/>
      <c r="N1930" s="104"/>
      <c r="O1930" s="104"/>
      <c r="P1930" s="104"/>
      <c r="Q1930" s="104"/>
      <c r="R1930" s="104"/>
      <c r="S1930" s="104"/>
    </row>
    <row r="1931" spans="4:19">
      <c r="D1931" s="104"/>
      <c r="E1931" s="104"/>
      <c r="F1931" s="104"/>
      <c r="G1931" s="104"/>
      <c r="H1931" s="104"/>
      <c r="I1931" s="104"/>
      <c r="J1931" s="104"/>
      <c r="K1931" s="104"/>
      <c r="L1931" s="104"/>
      <c r="M1931" s="104"/>
      <c r="N1931" s="104"/>
      <c r="O1931" s="104"/>
      <c r="P1931" s="104"/>
      <c r="Q1931" s="104"/>
      <c r="R1931" s="104"/>
      <c r="S1931" s="104"/>
    </row>
    <row r="1932" spans="4:19">
      <c r="D1932" s="104"/>
      <c r="E1932" s="104"/>
      <c r="F1932" s="104"/>
      <c r="G1932" s="104"/>
      <c r="H1932" s="104"/>
      <c r="I1932" s="104"/>
      <c r="J1932" s="104"/>
      <c r="K1932" s="104"/>
      <c r="L1932" s="104"/>
      <c r="M1932" s="104"/>
      <c r="N1932" s="104"/>
      <c r="O1932" s="104"/>
      <c r="P1932" s="104"/>
      <c r="Q1932" s="104"/>
      <c r="R1932" s="104"/>
      <c r="S1932" s="104"/>
    </row>
    <row r="1933" spans="4:19">
      <c r="D1933" s="104"/>
      <c r="E1933" s="104"/>
      <c r="F1933" s="104"/>
      <c r="G1933" s="104"/>
      <c r="H1933" s="104"/>
      <c r="I1933" s="104"/>
      <c r="J1933" s="104"/>
      <c r="K1933" s="104"/>
      <c r="L1933" s="104"/>
      <c r="M1933" s="104"/>
      <c r="N1933" s="104"/>
      <c r="O1933" s="104"/>
      <c r="P1933" s="104"/>
      <c r="Q1933" s="104"/>
      <c r="R1933" s="104"/>
      <c r="S1933" s="104"/>
    </row>
    <row r="1934" spans="4:19">
      <c r="D1934" s="104"/>
      <c r="E1934" s="104"/>
      <c r="F1934" s="104"/>
      <c r="G1934" s="104"/>
      <c r="H1934" s="104"/>
      <c r="I1934" s="104"/>
      <c r="J1934" s="104"/>
      <c r="K1934" s="104"/>
      <c r="L1934" s="104"/>
      <c r="M1934" s="104"/>
      <c r="N1934" s="104"/>
      <c r="O1934" s="104"/>
      <c r="P1934" s="104"/>
      <c r="Q1934" s="104"/>
      <c r="R1934" s="104"/>
      <c r="S1934" s="104"/>
    </row>
    <row r="1935" spans="4:19">
      <c r="D1935" s="104"/>
      <c r="E1935" s="104"/>
      <c r="F1935" s="104"/>
      <c r="G1935" s="104"/>
      <c r="H1935" s="104"/>
      <c r="I1935" s="104"/>
      <c r="J1935" s="104"/>
      <c r="K1935" s="104"/>
      <c r="L1935" s="104"/>
      <c r="M1935" s="104"/>
      <c r="N1935" s="104"/>
      <c r="O1935" s="104"/>
      <c r="P1935" s="104"/>
      <c r="Q1935" s="104"/>
      <c r="R1935" s="104"/>
      <c r="S1935" s="104"/>
    </row>
    <row r="1936" spans="4:19">
      <c r="D1936" s="104"/>
      <c r="E1936" s="104"/>
      <c r="F1936" s="104"/>
      <c r="G1936" s="104"/>
      <c r="H1936" s="104"/>
      <c r="I1936" s="104"/>
      <c r="J1936" s="104"/>
      <c r="K1936" s="104"/>
      <c r="L1936" s="104"/>
      <c r="M1936" s="104"/>
      <c r="N1936" s="104"/>
      <c r="O1936" s="104"/>
      <c r="P1936" s="104"/>
      <c r="Q1936" s="104"/>
      <c r="R1936" s="104"/>
      <c r="S1936" s="104"/>
    </row>
    <row r="1937" spans="4:19">
      <c r="D1937" s="104"/>
      <c r="E1937" s="104"/>
      <c r="F1937" s="104"/>
      <c r="G1937" s="104"/>
      <c r="H1937" s="104"/>
      <c r="I1937" s="104"/>
      <c r="J1937" s="104"/>
      <c r="K1937" s="104"/>
      <c r="L1937" s="104"/>
      <c r="M1937" s="104"/>
      <c r="N1937" s="104"/>
      <c r="O1937" s="104"/>
      <c r="P1937" s="104"/>
      <c r="Q1937" s="104"/>
      <c r="R1937" s="104"/>
      <c r="S1937" s="104"/>
    </row>
    <row r="1938" spans="4:19">
      <c r="D1938" s="104"/>
      <c r="E1938" s="104"/>
      <c r="F1938" s="104"/>
      <c r="G1938" s="104"/>
      <c r="H1938" s="104"/>
      <c r="I1938" s="104"/>
      <c r="J1938" s="104"/>
      <c r="K1938" s="104"/>
      <c r="L1938" s="104"/>
      <c r="M1938" s="104"/>
      <c r="N1938" s="104"/>
      <c r="O1938" s="104"/>
      <c r="P1938" s="104"/>
      <c r="Q1938" s="104"/>
      <c r="R1938" s="104"/>
      <c r="S1938" s="104"/>
    </row>
    <row r="1939" spans="4:19">
      <c r="D1939" s="104"/>
      <c r="E1939" s="104"/>
      <c r="F1939" s="104"/>
      <c r="G1939" s="104"/>
      <c r="H1939" s="104"/>
      <c r="I1939" s="104"/>
      <c r="J1939" s="104"/>
      <c r="K1939" s="104"/>
      <c r="L1939" s="104"/>
      <c r="M1939" s="104"/>
      <c r="N1939" s="104"/>
      <c r="O1939" s="104"/>
      <c r="P1939" s="104"/>
      <c r="Q1939" s="104"/>
      <c r="R1939" s="104"/>
      <c r="S1939" s="104"/>
    </row>
    <row r="1940" spans="4:19">
      <c r="D1940" s="104"/>
      <c r="E1940" s="104"/>
      <c r="F1940" s="104"/>
      <c r="G1940" s="104"/>
      <c r="H1940" s="104"/>
      <c r="I1940" s="104"/>
      <c r="J1940" s="104"/>
      <c r="K1940" s="104"/>
      <c r="L1940" s="104"/>
      <c r="M1940" s="104"/>
      <c r="N1940" s="104"/>
      <c r="O1940" s="104"/>
      <c r="P1940" s="104"/>
      <c r="Q1940" s="104"/>
      <c r="R1940" s="104"/>
      <c r="S1940" s="104"/>
    </row>
    <row r="1941" spans="4:19">
      <c r="D1941" s="104"/>
      <c r="E1941" s="104"/>
      <c r="F1941" s="104"/>
      <c r="G1941" s="104"/>
      <c r="H1941" s="104"/>
      <c r="I1941" s="104"/>
      <c r="J1941" s="104"/>
      <c r="K1941" s="104"/>
      <c r="L1941" s="104"/>
      <c r="M1941" s="104"/>
      <c r="N1941" s="104"/>
      <c r="O1941" s="104"/>
      <c r="P1941" s="104"/>
      <c r="Q1941" s="104"/>
      <c r="R1941" s="104"/>
      <c r="S1941" s="104"/>
    </row>
    <row r="1942" spans="4:19">
      <c r="D1942" s="104"/>
      <c r="E1942" s="104"/>
      <c r="F1942" s="104"/>
      <c r="G1942" s="104"/>
      <c r="H1942" s="104"/>
      <c r="I1942" s="104"/>
      <c r="J1942" s="104"/>
      <c r="K1942" s="104"/>
      <c r="L1942" s="104"/>
      <c r="M1942" s="104"/>
      <c r="N1942" s="104"/>
      <c r="O1942" s="104"/>
      <c r="P1942" s="104"/>
      <c r="Q1942" s="104"/>
      <c r="R1942" s="104"/>
      <c r="S1942" s="104"/>
    </row>
    <row r="1943" spans="4:19">
      <c r="D1943" s="104"/>
      <c r="E1943" s="104"/>
      <c r="F1943" s="104"/>
      <c r="G1943" s="104"/>
      <c r="H1943" s="104"/>
      <c r="I1943" s="104"/>
      <c r="J1943" s="104"/>
      <c r="K1943" s="104"/>
      <c r="L1943" s="104"/>
      <c r="M1943" s="104"/>
      <c r="N1943" s="104"/>
      <c r="O1943" s="104"/>
      <c r="P1943" s="104"/>
      <c r="Q1943" s="104"/>
      <c r="R1943" s="104"/>
      <c r="S1943" s="104"/>
    </row>
    <row r="1944" spans="4:19">
      <c r="D1944" s="104"/>
      <c r="E1944" s="104"/>
      <c r="F1944" s="104"/>
      <c r="G1944" s="104"/>
      <c r="H1944" s="104"/>
      <c r="I1944" s="104"/>
      <c r="J1944" s="104"/>
      <c r="K1944" s="104"/>
      <c r="L1944" s="104"/>
      <c r="M1944" s="104"/>
      <c r="N1944" s="104"/>
      <c r="O1944" s="104"/>
      <c r="P1944" s="104"/>
      <c r="Q1944" s="104"/>
      <c r="R1944" s="104"/>
      <c r="S1944" s="104"/>
    </row>
    <row r="1945" spans="4:19">
      <c r="D1945" s="104"/>
      <c r="E1945" s="104"/>
      <c r="F1945" s="104"/>
      <c r="G1945" s="104"/>
      <c r="H1945" s="104"/>
      <c r="I1945" s="104"/>
      <c r="J1945" s="104"/>
      <c r="K1945" s="104"/>
      <c r="L1945" s="104"/>
      <c r="M1945" s="104"/>
      <c r="N1945" s="104"/>
      <c r="O1945" s="104"/>
      <c r="P1945" s="104"/>
      <c r="Q1945" s="104"/>
      <c r="R1945" s="104"/>
      <c r="S1945" s="104"/>
    </row>
    <row r="1946" spans="4:19">
      <c r="D1946" s="104"/>
      <c r="E1946" s="104"/>
      <c r="F1946" s="104"/>
      <c r="G1946" s="104"/>
      <c r="H1946" s="104"/>
      <c r="I1946" s="104"/>
      <c r="J1946" s="104"/>
      <c r="K1946" s="104"/>
      <c r="L1946" s="104"/>
      <c r="M1946" s="104"/>
      <c r="N1946" s="104"/>
      <c r="O1946" s="104"/>
      <c r="P1946" s="104"/>
      <c r="Q1946" s="104"/>
      <c r="R1946" s="104"/>
      <c r="S1946" s="104"/>
    </row>
    <row r="1947" spans="4:19">
      <c r="D1947" s="104"/>
      <c r="E1947" s="104"/>
      <c r="F1947" s="104"/>
      <c r="G1947" s="104"/>
      <c r="H1947" s="104"/>
      <c r="I1947" s="104"/>
      <c r="J1947" s="104"/>
      <c r="K1947" s="104"/>
      <c r="L1947" s="104"/>
      <c r="M1947" s="104"/>
      <c r="N1947" s="104"/>
      <c r="O1947" s="104"/>
      <c r="P1947" s="104"/>
      <c r="Q1947" s="104"/>
      <c r="R1947" s="104"/>
      <c r="S1947" s="104"/>
    </row>
    <row r="1948" spans="4:19">
      <c r="D1948" s="104"/>
      <c r="E1948" s="104"/>
      <c r="F1948" s="104"/>
      <c r="G1948" s="104"/>
      <c r="H1948" s="104"/>
      <c r="I1948" s="104"/>
      <c r="J1948" s="104"/>
      <c r="K1948" s="104"/>
      <c r="L1948" s="104"/>
      <c r="M1948" s="104"/>
      <c r="N1948" s="104"/>
      <c r="O1948" s="104"/>
      <c r="P1948" s="104"/>
      <c r="Q1948" s="104"/>
      <c r="R1948" s="104"/>
      <c r="S1948" s="104"/>
    </row>
    <row r="1949" spans="4:19">
      <c r="D1949" s="104"/>
      <c r="E1949" s="104"/>
      <c r="F1949" s="104"/>
      <c r="G1949" s="104"/>
      <c r="H1949" s="104"/>
      <c r="I1949" s="104"/>
      <c r="J1949" s="104"/>
      <c r="K1949" s="104"/>
      <c r="L1949" s="104"/>
      <c r="M1949" s="104"/>
      <c r="N1949" s="104"/>
      <c r="O1949" s="104"/>
      <c r="P1949" s="104"/>
      <c r="Q1949" s="104"/>
      <c r="R1949" s="104"/>
      <c r="S1949" s="104"/>
    </row>
    <row r="1950" spans="4:19">
      <c r="D1950" s="104"/>
      <c r="E1950" s="104"/>
      <c r="F1950" s="104"/>
      <c r="G1950" s="104"/>
      <c r="H1950" s="104"/>
      <c r="I1950" s="104"/>
      <c r="J1950" s="104"/>
      <c r="K1950" s="104"/>
      <c r="L1950" s="104"/>
      <c r="M1950" s="104"/>
      <c r="N1950" s="104"/>
      <c r="O1950" s="104"/>
      <c r="P1950" s="104"/>
      <c r="Q1950" s="104"/>
      <c r="R1950" s="104"/>
      <c r="S1950" s="104"/>
    </row>
    <row r="1951" spans="4:19">
      <c r="D1951" s="104"/>
      <c r="E1951" s="104"/>
      <c r="F1951" s="104"/>
      <c r="G1951" s="104"/>
      <c r="H1951" s="104"/>
      <c r="I1951" s="104"/>
      <c r="J1951" s="104"/>
      <c r="K1951" s="104"/>
      <c r="L1951" s="104"/>
      <c r="M1951" s="104"/>
      <c r="N1951" s="104"/>
      <c r="O1951" s="104"/>
      <c r="P1951" s="104"/>
      <c r="Q1951" s="104"/>
      <c r="R1951" s="104"/>
      <c r="S1951" s="104"/>
    </row>
    <row r="1952" spans="4:19">
      <c r="D1952" s="104"/>
      <c r="E1952" s="104"/>
      <c r="F1952" s="104"/>
      <c r="G1952" s="104"/>
      <c r="H1952" s="104"/>
      <c r="I1952" s="104"/>
      <c r="J1952" s="104"/>
      <c r="K1952" s="104"/>
      <c r="L1952" s="104"/>
      <c r="M1952" s="104"/>
      <c r="N1952" s="104"/>
      <c r="O1952" s="104"/>
      <c r="P1952" s="104"/>
      <c r="Q1952" s="104"/>
      <c r="R1952" s="104"/>
      <c r="S1952" s="104"/>
    </row>
    <row r="1953" spans="4:19">
      <c r="D1953" s="104"/>
      <c r="E1953" s="104"/>
      <c r="F1953" s="104"/>
      <c r="G1953" s="104"/>
      <c r="H1953" s="104"/>
      <c r="I1953" s="104"/>
      <c r="J1953" s="104"/>
      <c r="K1953" s="104"/>
      <c r="L1953" s="104"/>
      <c r="M1953" s="104"/>
      <c r="N1953" s="104"/>
      <c r="O1953" s="104"/>
      <c r="P1953" s="104"/>
      <c r="Q1953" s="104"/>
      <c r="R1953" s="104"/>
      <c r="S1953" s="104"/>
    </row>
    <row r="1954" spans="4:19">
      <c r="D1954" s="104"/>
      <c r="E1954" s="104"/>
      <c r="F1954" s="104"/>
      <c r="G1954" s="104"/>
      <c r="H1954" s="104"/>
      <c r="I1954" s="104"/>
      <c r="J1954" s="104"/>
      <c r="K1954" s="104"/>
      <c r="L1954" s="104"/>
      <c r="M1954" s="104"/>
      <c r="N1954" s="104"/>
      <c r="O1954" s="104"/>
      <c r="P1954" s="104"/>
      <c r="Q1954" s="104"/>
      <c r="R1954" s="104"/>
      <c r="S1954" s="104"/>
    </row>
    <row r="1955" spans="4:19">
      <c r="D1955" s="104"/>
      <c r="E1955" s="104"/>
      <c r="F1955" s="104"/>
      <c r="G1955" s="104"/>
      <c r="H1955" s="104"/>
      <c r="I1955" s="104"/>
      <c r="J1955" s="104"/>
      <c r="K1955" s="104"/>
      <c r="L1955" s="104"/>
      <c r="M1955" s="104"/>
      <c r="N1955" s="104"/>
      <c r="O1955" s="104"/>
      <c r="P1955" s="104"/>
      <c r="Q1955" s="104"/>
      <c r="R1955" s="104"/>
      <c r="S1955" s="104"/>
    </row>
    <row r="1956" spans="4:19">
      <c r="D1956" s="104"/>
      <c r="E1956" s="104"/>
      <c r="F1956" s="104"/>
      <c r="G1956" s="104"/>
      <c r="H1956" s="104"/>
      <c r="I1956" s="104"/>
      <c r="J1956" s="104"/>
      <c r="K1956" s="104"/>
      <c r="L1956" s="104"/>
      <c r="M1956" s="104"/>
      <c r="N1956" s="104"/>
      <c r="O1956" s="104"/>
      <c r="P1956" s="104"/>
      <c r="Q1956" s="104"/>
      <c r="R1956" s="104"/>
      <c r="S1956" s="104"/>
    </row>
    <row r="1957" spans="4:19">
      <c r="D1957" s="104"/>
      <c r="E1957" s="104"/>
      <c r="F1957" s="104"/>
      <c r="G1957" s="104"/>
      <c r="H1957" s="104"/>
      <c r="I1957" s="104"/>
      <c r="J1957" s="104"/>
      <c r="K1957" s="104"/>
      <c r="L1957" s="104"/>
      <c r="M1957" s="104"/>
      <c r="N1957" s="104"/>
      <c r="O1957" s="104"/>
      <c r="P1957" s="104"/>
      <c r="Q1957" s="104"/>
      <c r="R1957" s="104"/>
      <c r="S1957" s="104"/>
    </row>
    <row r="1958" spans="4:19">
      <c r="D1958" s="104"/>
      <c r="E1958" s="104"/>
      <c r="F1958" s="104"/>
      <c r="G1958" s="104"/>
      <c r="H1958" s="104"/>
      <c r="I1958" s="104"/>
      <c r="J1958" s="104"/>
      <c r="K1958" s="104"/>
      <c r="L1958" s="104"/>
      <c r="M1958" s="104"/>
      <c r="N1958" s="104"/>
      <c r="O1958" s="104"/>
      <c r="P1958" s="104"/>
      <c r="Q1958" s="104"/>
      <c r="R1958" s="104"/>
      <c r="S1958" s="104"/>
    </row>
    <row r="1959" spans="4:19">
      <c r="D1959" s="104"/>
      <c r="E1959" s="104"/>
      <c r="F1959" s="104"/>
      <c r="G1959" s="104"/>
      <c r="H1959" s="104"/>
      <c r="I1959" s="104"/>
      <c r="J1959" s="104"/>
      <c r="K1959" s="104"/>
      <c r="L1959" s="104"/>
      <c r="M1959" s="104"/>
      <c r="N1959" s="104"/>
      <c r="O1959" s="104"/>
      <c r="P1959" s="104"/>
      <c r="Q1959" s="104"/>
      <c r="R1959" s="104"/>
      <c r="S1959" s="104"/>
    </row>
    <row r="1960" spans="4:19">
      <c r="D1960" s="104"/>
      <c r="E1960" s="104"/>
      <c r="F1960" s="104"/>
      <c r="G1960" s="104"/>
      <c r="H1960" s="104"/>
      <c r="I1960" s="104"/>
      <c r="J1960" s="104"/>
      <c r="K1960" s="104"/>
      <c r="L1960" s="104"/>
      <c r="M1960" s="104"/>
      <c r="N1960" s="104"/>
      <c r="O1960" s="104"/>
      <c r="P1960" s="104"/>
      <c r="Q1960" s="104"/>
      <c r="R1960" s="104"/>
      <c r="S1960" s="104"/>
    </row>
    <row r="1961" spans="4:19">
      <c r="D1961" s="104"/>
      <c r="E1961" s="104"/>
      <c r="F1961" s="104"/>
      <c r="G1961" s="104"/>
      <c r="H1961" s="104"/>
      <c r="I1961" s="104"/>
      <c r="J1961" s="104"/>
      <c r="K1961" s="104"/>
      <c r="L1961" s="104"/>
      <c r="M1961" s="104"/>
      <c r="N1961" s="104"/>
      <c r="O1961" s="104"/>
      <c r="P1961" s="104"/>
      <c r="Q1961" s="104"/>
      <c r="R1961" s="104"/>
      <c r="S1961" s="104"/>
    </row>
    <row r="1962" spans="4:19">
      <c r="D1962" s="104"/>
      <c r="E1962" s="104"/>
      <c r="F1962" s="104"/>
      <c r="G1962" s="104"/>
      <c r="H1962" s="104"/>
      <c r="I1962" s="104"/>
      <c r="J1962" s="104"/>
      <c r="K1962" s="104"/>
      <c r="L1962" s="104"/>
      <c r="M1962" s="104"/>
      <c r="N1962" s="104"/>
      <c r="O1962" s="104"/>
      <c r="P1962" s="104"/>
      <c r="Q1962" s="104"/>
      <c r="R1962" s="104"/>
      <c r="S1962" s="104"/>
    </row>
    <row r="1963" spans="4:19">
      <c r="D1963" s="104"/>
      <c r="E1963" s="104"/>
      <c r="F1963" s="104"/>
      <c r="G1963" s="104"/>
      <c r="H1963" s="104"/>
      <c r="I1963" s="104"/>
      <c r="J1963" s="104"/>
      <c r="K1963" s="104"/>
      <c r="L1963" s="104"/>
      <c r="M1963" s="104"/>
      <c r="N1963" s="104"/>
      <c r="O1963" s="104"/>
      <c r="P1963" s="104"/>
      <c r="Q1963" s="104"/>
      <c r="R1963" s="104"/>
      <c r="S1963" s="104"/>
    </row>
    <row r="1964" spans="4:19">
      <c r="D1964" s="104"/>
      <c r="E1964" s="104"/>
      <c r="F1964" s="104"/>
      <c r="G1964" s="104"/>
      <c r="H1964" s="104"/>
      <c r="I1964" s="104"/>
      <c r="J1964" s="104"/>
      <c r="K1964" s="104"/>
      <c r="L1964" s="104"/>
      <c r="M1964" s="104"/>
      <c r="N1964" s="104"/>
      <c r="O1964" s="104"/>
      <c r="P1964" s="104"/>
      <c r="Q1964" s="104"/>
      <c r="R1964" s="104"/>
      <c r="S1964" s="104"/>
    </row>
    <row r="1965" spans="4:19">
      <c r="D1965" s="104"/>
      <c r="E1965" s="104"/>
      <c r="F1965" s="104"/>
      <c r="G1965" s="104"/>
      <c r="H1965" s="104"/>
      <c r="I1965" s="104"/>
      <c r="J1965" s="104"/>
      <c r="K1965" s="104"/>
      <c r="L1965" s="104"/>
      <c r="M1965" s="104"/>
      <c r="N1965" s="104"/>
      <c r="O1965" s="104"/>
      <c r="P1965" s="104"/>
      <c r="Q1965" s="104"/>
      <c r="R1965" s="104"/>
      <c r="S1965" s="104"/>
    </row>
    <row r="1966" spans="4:19">
      <c r="D1966" s="104"/>
      <c r="E1966" s="104"/>
      <c r="F1966" s="104"/>
      <c r="G1966" s="104"/>
      <c r="H1966" s="104"/>
      <c r="I1966" s="104"/>
      <c r="J1966" s="104"/>
      <c r="K1966" s="104"/>
      <c r="L1966" s="104"/>
      <c r="M1966" s="104"/>
      <c r="N1966" s="104"/>
      <c r="O1966" s="104"/>
      <c r="P1966" s="104"/>
      <c r="Q1966" s="104"/>
      <c r="R1966" s="104"/>
      <c r="S1966" s="104"/>
    </row>
    <row r="1967" spans="4:19">
      <c r="D1967" s="104"/>
      <c r="E1967" s="104"/>
      <c r="F1967" s="104"/>
      <c r="G1967" s="104"/>
      <c r="H1967" s="104"/>
      <c r="I1967" s="104"/>
      <c r="J1967" s="104"/>
      <c r="K1967" s="104"/>
      <c r="L1967" s="104"/>
      <c r="M1967" s="104"/>
      <c r="N1967" s="104"/>
      <c r="O1967" s="104"/>
      <c r="P1967" s="104"/>
      <c r="Q1967" s="104"/>
      <c r="R1967" s="104"/>
      <c r="S1967" s="104"/>
    </row>
    <row r="1968" spans="4:19">
      <c r="D1968" s="104"/>
      <c r="E1968" s="104"/>
      <c r="F1968" s="104"/>
      <c r="G1968" s="104"/>
      <c r="H1968" s="104"/>
      <c r="I1968" s="104"/>
      <c r="J1968" s="104"/>
      <c r="K1968" s="104"/>
      <c r="L1968" s="104"/>
      <c r="M1968" s="104"/>
      <c r="N1968" s="104"/>
      <c r="O1968" s="104"/>
      <c r="P1968" s="104"/>
      <c r="Q1968" s="104"/>
      <c r="R1968" s="104"/>
      <c r="S1968" s="104"/>
    </row>
    <row r="1969" spans="4:19">
      <c r="D1969" s="104"/>
      <c r="E1969" s="104"/>
      <c r="F1969" s="104"/>
      <c r="G1969" s="104"/>
      <c r="H1969" s="104"/>
      <c r="I1969" s="104"/>
      <c r="J1969" s="104"/>
      <c r="K1969" s="104"/>
      <c r="L1969" s="104"/>
      <c r="M1969" s="104"/>
      <c r="N1969" s="104"/>
      <c r="O1969" s="104"/>
      <c r="P1969" s="104"/>
      <c r="Q1969" s="104"/>
      <c r="R1969" s="104"/>
      <c r="S1969" s="104"/>
    </row>
    <row r="1970" spans="4:19">
      <c r="D1970" s="104"/>
      <c r="E1970" s="104"/>
      <c r="F1970" s="104"/>
      <c r="G1970" s="104"/>
      <c r="H1970" s="104"/>
      <c r="I1970" s="104"/>
      <c r="J1970" s="104"/>
      <c r="K1970" s="104"/>
      <c r="L1970" s="104"/>
      <c r="M1970" s="104"/>
      <c r="N1970" s="104"/>
      <c r="O1970" s="104"/>
      <c r="P1970" s="104"/>
      <c r="Q1970" s="104"/>
      <c r="R1970" s="104"/>
      <c r="S1970" s="104"/>
    </row>
    <row r="1971" spans="4:19">
      <c r="D1971" s="104"/>
      <c r="E1971" s="104"/>
      <c r="F1971" s="104"/>
      <c r="G1971" s="104"/>
      <c r="H1971" s="104"/>
      <c r="I1971" s="104"/>
      <c r="J1971" s="104"/>
      <c r="K1971" s="104"/>
      <c r="L1971" s="104"/>
      <c r="M1971" s="104"/>
      <c r="N1971" s="104"/>
      <c r="O1971" s="104"/>
      <c r="P1971" s="104"/>
      <c r="Q1971" s="104"/>
      <c r="R1971" s="104"/>
      <c r="S1971" s="104"/>
    </row>
    <row r="1972" spans="4:19">
      <c r="D1972" s="104"/>
      <c r="E1972" s="104"/>
      <c r="F1972" s="104"/>
      <c r="G1972" s="104"/>
      <c r="H1972" s="104"/>
      <c r="I1972" s="104"/>
      <c r="J1972" s="104"/>
      <c r="K1972" s="104"/>
      <c r="L1972" s="104"/>
      <c r="M1972" s="104"/>
      <c r="N1972" s="104"/>
      <c r="O1972" s="104"/>
      <c r="P1972" s="104"/>
      <c r="Q1972" s="104"/>
      <c r="R1972" s="104"/>
      <c r="S1972" s="104"/>
    </row>
    <row r="1973" spans="4:19">
      <c r="D1973" s="104"/>
      <c r="E1973" s="104"/>
      <c r="F1973" s="104"/>
      <c r="G1973" s="104"/>
      <c r="H1973" s="104"/>
      <c r="I1973" s="104"/>
      <c r="J1973" s="104"/>
      <c r="K1973" s="104"/>
      <c r="L1973" s="104"/>
      <c r="M1973" s="104"/>
      <c r="N1973" s="104"/>
      <c r="O1973" s="104"/>
      <c r="P1973" s="104"/>
      <c r="Q1973" s="104"/>
      <c r="R1973" s="104"/>
      <c r="S1973" s="104"/>
    </row>
    <row r="1974" spans="4:19">
      <c r="D1974" s="104"/>
      <c r="E1974" s="104"/>
      <c r="F1974" s="104"/>
      <c r="G1974" s="104"/>
      <c r="H1974" s="104"/>
      <c r="I1974" s="104"/>
      <c r="J1974" s="104"/>
      <c r="K1974" s="104"/>
      <c r="L1974" s="104"/>
      <c r="M1974" s="104"/>
      <c r="N1974" s="104"/>
      <c r="O1974" s="104"/>
      <c r="P1974" s="104"/>
      <c r="Q1974" s="104"/>
      <c r="R1974" s="104"/>
      <c r="S1974" s="104"/>
    </row>
    <row r="1975" spans="4:19">
      <c r="D1975" s="104"/>
      <c r="E1975" s="104"/>
      <c r="F1975" s="104"/>
      <c r="G1975" s="104"/>
      <c r="H1975" s="104"/>
      <c r="I1975" s="104"/>
      <c r="J1975" s="104"/>
      <c r="K1975" s="104"/>
      <c r="L1975" s="104"/>
      <c r="M1975" s="104"/>
      <c r="N1975" s="104"/>
      <c r="O1975" s="104"/>
      <c r="P1975" s="104"/>
      <c r="Q1975" s="104"/>
      <c r="R1975" s="104"/>
      <c r="S1975" s="104"/>
    </row>
    <row r="1976" spans="4:19">
      <c r="D1976" s="104"/>
      <c r="E1976" s="104"/>
      <c r="F1976" s="104"/>
      <c r="G1976" s="104"/>
      <c r="H1976" s="104"/>
      <c r="I1976" s="104"/>
      <c r="J1976" s="104"/>
      <c r="K1976" s="104"/>
      <c r="L1976" s="104"/>
      <c r="M1976" s="104"/>
      <c r="N1976" s="104"/>
      <c r="O1976" s="104"/>
      <c r="P1976" s="104"/>
      <c r="Q1976" s="104"/>
      <c r="R1976" s="104"/>
      <c r="S1976" s="104"/>
    </row>
    <row r="1977" spans="4:19">
      <c r="D1977" s="104"/>
      <c r="E1977" s="104"/>
      <c r="F1977" s="104"/>
      <c r="G1977" s="104"/>
      <c r="H1977" s="104"/>
      <c r="I1977" s="104"/>
      <c r="J1977" s="104"/>
      <c r="K1977" s="104"/>
      <c r="L1977" s="104"/>
      <c r="M1977" s="104"/>
      <c r="N1977" s="104"/>
      <c r="O1977" s="104"/>
      <c r="P1977" s="104"/>
      <c r="Q1977" s="104"/>
      <c r="R1977" s="104"/>
      <c r="S1977" s="104"/>
    </row>
    <row r="1978" spans="4:19">
      <c r="D1978" s="104"/>
      <c r="E1978" s="104"/>
      <c r="F1978" s="104"/>
      <c r="G1978" s="104"/>
      <c r="H1978" s="104"/>
      <c r="I1978" s="104"/>
      <c r="J1978" s="104"/>
      <c r="K1978" s="104"/>
      <c r="L1978" s="104"/>
      <c r="M1978" s="104"/>
      <c r="N1978" s="104"/>
      <c r="O1978" s="104"/>
      <c r="P1978" s="104"/>
      <c r="Q1978" s="104"/>
      <c r="R1978" s="104"/>
      <c r="S1978" s="104"/>
    </row>
    <row r="1979" spans="4:19">
      <c r="D1979" s="104"/>
      <c r="E1979" s="104"/>
      <c r="F1979" s="104"/>
      <c r="G1979" s="104"/>
      <c r="H1979" s="104"/>
      <c r="I1979" s="104"/>
      <c r="J1979" s="104"/>
      <c r="K1979" s="104"/>
      <c r="L1979" s="104"/>
      <c r="M1979" s="104"/>
      <c r="N1979" s="104"/>
      <c r="O1979" s="104"/>
      <c r="P1979" s="104"/>
      <c r="Q1979" s="104"/>
      <c r="R1979" s="104"/>
      <c r="S1979" s="104"/>
    </row>
    <row r="1980" spans="4:19">
      <c r="D1980" s="104"/>
      <c r="E1980" s="104"/>
      <c r="F1980" s="104"/>
      <c r="G1980" s="104"/>
      <c r="H1980" s="104"/>
      <c r="I1980" s="104"/>
      <c r="J1980" s="104"/>
      <c r="K1980" s="104"/>
      <c r="L1980" s="104"/>
      <c r="M1980" s="104"/>
      <c r="N1980" s="104"/>
      <c r="O1980" s="104"/>
      <c r="P1980" s="104"/>
      <c r="Q1980" s="104"/>
      <c r="R1980" s="104"/>
      <c r="S1980" s="104"/>
    </row>
    <row r="1981" spans="4:19">
      <c r="D1981" s="104"/>
      <c r="E1981" s="104"/>
      <c r="F1981" s="104"/>
      <c r="G1981" s="104"/>
      <c r="H1981" s="104"/>
      <c r="I1981" s="104"/>
      <c r="J1981" s="104"/>
      <c r="K1981" s="104"/>
      <c r="L1981" s="104"/>
      <c r="M1981" s="104"/>
      <c r="N1981" s="104"/>
      <c r="O1981" s="104"/>
      <c r="P1981" s="104"/>
      <c r="Q1981" s="104"/>
      <c r="R1981" s="104"/>
      <c r="S1981" s="104"/>
    </row>
    <row r="1982" spans="4:19">
      <c r="D1982" s="104"/>
      <c r="E1982" s="104"/>
      <c r="F1982" s="104"/>
      <c r="G1982" s="104"/>
      <c r="H1982" s="104"/>
      <c r="I1982" s="104"/>
      <c r="J1982" s="104"/>
      <c r="K1982" s="104"/>
      <c r="L1982" s="104"/>
      <c r="M1982" s="104"/>
      <c r="N1982" s="104"/>
      <c r="O1982" s="104"/>
      <c r="P1982" s="104"/>
      <c r="Q1982" s="104"/>
      <c r="R1982" s="104"/>
      <c r="S1982" s="104"/>
    </row>
    <row r="1983" spans="4:19">
      <c r="D1983" s="104"/>
      <c r="E1983" s="104"/>
      <c r="F1983" s="104"/>
      <c r="G1983" s="104"/>
      <c r="H1983" s="104"/>
      <c r="I1983" s="104"/>
      <c r="J1983" s="104"/>
      <c r="K1983" s="104"/>
      <c r="L1983" s="104"/>
      <c r="M1983" s="104"/>
      <c r="N1983" s="104"/>
      <c r="O1983" s="104"/>
      <c r="P1983" s="104"/>
      <c r="Q1983" s="104"/>
      <c r="R1983" s="104"/>
      <c r="S1983" s="104"/>
    </row>
    <row r="1984" spans="4:19">
      <c r="D1984" s="104"/>
      <c r="E1984" s="104"/>
      <c r="F1984" s="104"/>
      <c r="G1984" s="104"/>
      <c r="H1984" s="104"/>
      <c r="I1984" s="104"/>
      <c r="J1984" s="104"/>
      <c r="K1984" s="104"/>
      <c r="L1984" s="104"/>
      <c r="M1984" s="104"/>
      <c r="N1984" s="104"/>
      <c r="O1984" s="104"/>
      <c r="P1984" s="104"/>
      <c r="Q1984" s="104"/>
      <c r="R1984" s="104"/>
      <c r="S1984" s="104"/>
    </row>
    <row r="1985" spans="4:19">
      <c r="D1985" s="104"/>
      <c r="E1985" s="104"/>
      <c r="F1985" s="104"/>
      <c r="G1985" s="104"/>
      <c r="H1985" s="104"/>
      <c r="I1985" s="104"/>
      <c r="J1985" s="104"/>
      <c r="K1985" s="104"/>
      <c r="L1985" s="104"/>
      <c r="M1985" s="104"/>
      <c r="N1985" s="104"/>
      <c r="O1985" s="104"/>
      <c r="P1985" s="104"/>
      <c r="Q1985" s="104"/>
      <c r="R1985" s="104"/>
      <c r="S1985" s="104"/>
    </row>
    <row r="1986" spans="4:19">
      <c r="D1986" s="104"/>
      <c r="E1986" s="104"/>
      <c r="F1986" s="104"/>
      <c r="G1986" s="104"/>
      <c r="H1986" s="104"/>
      <c r="I1986" s="104"/>
      <c r="J1986" s="104"/>
      <c r="K1986" s="104"/>
      <c r="L1986" s="104"/>
      <c r="M1986" s="104"/>
      <c r="N1986" s="104"/>
      <c r="O1986" s="104"/>
      <c r="P1986" s="104"/>
      <c r="Q1986" s="104"/>
      <c r="R1986" s="104"/>
      <c r="S1986" s="104"/>
    </row>
    <row r="1987" spans="4:19">
      <c r="D1987" s="104"/>
      <c r="E1987" s="104"/>
      <c r="F1987" s="104"/>
      <c r="G1987" s="104"/>
      <c r="H1987" s="104"/>
      <c r="I1987" s="104"/>
      <c r="J1987" s="104"/>
      <c r="K1987" s="104"/>
      <c r="L1987" s="104"/>
      <c r="M1987" s="104"/>
      <c r="N1987" s="104"/>
      <c r="O1987" s="104"/>
      <c r="P1987" s="104"/>
      <c r="Q1987" s="104"/>
      <c r="R1987" s="104"/>
      <c r="S1987" s="104"/>
    </row>
    <row r="1988" spans="4:19">
      <c r="D1988" s="104"/>
      <c r="E1988" s="104"/>
      <c r="F1988" s="104"/>
      <c r="G1988" s="104"/>
      <c r="H1988" s="104"/>
      <c r="I1988" s="104"/>
      <c r="J1988" s="104"/>
      <c r="K1988" s="104"/>
      <c r="L1988" s="104"/>
      <c r="M1988" s="104"/>
      <c r="N1988" s="104"/>
      <c r="O1988" s="104"/>
      <c r="P1988" s="104"/>
      <c r="Q1988" s="104"/>
      <c r="R1988" s="104"/>
      <c r="S1988" s="104"/>
    </row>
    <row r="1989" spans="4:19">
      <c r="D1989" s="104"/>
      <c r="E1989" s="104"/>
      <c r="F1989" s="104"/>
      <c r="G1989" s="104"/>
      <c r="H1989" s="104"/>
      <c r="I1989" s="104"/>
      <c r="J1989" s="104"/>
      <c r="K1989" s="104"/>
      <c r="L1989" s="104"/>
      <c r="M1989" s="104"/>
      <c r="N1989" s="104"/>
      <c r="O1989" s="104"/>
      <c r="P1989" s="104"/>
      <c r="Q1989" s="104"/>
      <c r="R1989" s="104"/>
      <c r="S1989" s="104"/>
    </row>
    <row r="1990" spans="4:19">
      <c r="D1990" s="104"/>
      <c r="E1990" s="104"/>
      <c r="F1990" s="104"/>
      <c r="G1990" s="104"/>
      <c r="H1990" s="104"/>
      <c r="I1990" s="104"/>
      <c r="J1990" s="104"/>
      <c r="K1990" s="104"/>
      <c r="L1990" s="104"/>
      <c r="M1990" s="104"/>
      <c r="N1990" s="104"/>
      <c r="O1990" s="104"/>
      <c r="P1990" s="104"/>
      <c r="Q1990" s="104"/>
      <c r="R1990" s="104"/>
      <c r="S1990" s="104"/>
    </row>
    <row r="1991" spans="4:19">
      <c r="D1991" s="104"/>
      <c r="E1991" s="104"/>
      <c r="F1991" s="104"/>
      <c r="G1991" s="104"/>
      <c r="H1991" s="104"/>
      <c r="I1991" s="104"/>
      <c r="J1991" s="104"/>
      <c r="K1991" s="104"/>
      <c r="L1991" s="104"/>
      <c r="M1991" s="104"/>
      <c r="N1991" s="104"/>
      <c r="O1991" s="104"/>
      <c r="P1991" s="104"/>
      <c r="Q1991" s="104"/>
      <c r="R1991" s="104"/>
      <c r="S1991" s="104"/>
    </row>
    <row r="1992" spans="4:19">
      <c r="D1992" s="104"/>
      <c r="E1992" s="104"/>
      <c r="F1992" s="104"/>
      <c r="G1992" s="104"/>
      <c r="H1992" s="104"/>
      <c r="I1992" s="104"/>
      <c r="J1992" s="104"/>
      <c r="K1992" s="104"/>
      <c r="L1992" s="104"/>
      <c r="M1992" s="104"/>
      <c r="N1992" s="104"/>
      <c r="O1992" s="104"/>
      <c r="P1992" s="104"/>
      <c r="Q1992" s="104"/>
      <c r="R1992" s="104"/>
      <c r="S1992" s="104"/>
    </row>
    <row r="1993" spans="4:19">
      <c r="D1993" s="104"/>
      <c r="E1993" s="104"/>
      <c r="F1993" s="104"/>
      <c r="G1993" s="104"/>
      <c r="H1993" s="104"/>
      <c r="I1993" s="104"/>
      <c r="J1993" s="104"/>
      <c r="K1993" s="104"/>
      <c r="L1993" s="104"/>
      <c r="M1993" s="104"/>
      <c r="N1993" s="104"/>
      <c r="O1993" s="104"/>
      <c r="P1993" s="104"/>
      <c r="Q1993" s="104"/>
      <c r="R1993" s="104"/>
      <c r="S1993" s="104"/>
    </row>
    <row r="1994" spans="4:19">
      <c r="D1994" s="104"/>
      <c r="E1994" s="104"/>
      <c r="F1994" s="104"/>
      <c r="G1994" s="104"/>
      <c r="H1994" s="104"/>
      <c r="I1994" s="104"/>
      <c r="J1994" s="104"/>
      <c r="K1994" s="104"/>
      <c r="L1994" s="104"/>
      <c r="M1994" s="104"/>
      <c r="N1994" s="104"/>
      <c r="O1994" s="104"/>
      <c r="P1994" s="104"/>
      <c r="Q1994" s="104"/>
      <c r="R1994" s="104"/>
      <c r="S1994" s="104"/>
    </row>
    <row r="1995" spans="4:19">
      <c r="D1995" s="104"/>
      <c r="E1995" s="104"/>
      <c r="F1995" s="104"/>
      <c r="G1995" s="104"/>
      <c r="H1995" s="104"/>
      <c r="I1995" s="104"/>
      <c r="J1995" s="104"/>
      <c r="K1995" s="104"/>
      <c r="L1995" s="104"/>
      <c r="M1995" s="104"/>
      <c r="N1995" s="104"/>
      <c r="O1995" s="104"/>
      <c r="P1995" s="104"/>
      <c r="Q1995" s="104"/>
      <c r="R1995" s="104"/>
      <c r="S1995" s="104"/>
    </row>
    <row r="1996" spans="4:19">
      <c r="D1996" s="104"/>
      <c r="E1996" s="104"/>
      <c r="F1996" s="104"/>
      <c r="G1996" s="104"/>
      <c r="H1996" s="104"/>
      <c r="I1996" s="104"/>
      <c r="J1996" s="104"/>
      <c r="K1996" s="104"/>
      <c r="L1996" s="104"/>
      <c r="M1996" s="104"/>
      <c r="N1996" s="104"/>
      <c r="O1996" s="104"/>
      <c r="P1996" s="104"/>
      <c r="Q1996" s="104"/>
      <c r="R1996" s="104"/>
      <c r="S1996" s="104"/>
    </row>
    <row r="1997" spans="4:19">
      <c r="D1997" s="104"/>
      <c r="E1997" s="104"/>
      <c r="F1997" s="104"/>
      <c r="G1997" s="104"/>
      <c r="H1997" s="104"/>
      <c r="I1997" s="104"/>
      <c r="J1997" s="104"/>
      <c r="K1997" s="104"/>
      <c r="L1997" s="104"/>
      <c r="M1997" s="104"/>
      <c r="N1997" s="104"/>
      <c r="O1997" s="104"/>
      <c r="P1997" s="104"/>
      <c r="Q1997" s="104"/>
      <c r="R1997" s="104"/>
      <c r="S1997" s="104"/>
    </row>
    <row r="1998" spans="4:19">
      <c r="D1998" s="104"/>
      <c r="E1998" s="104"/>
      <c r="F1998" s="104"/>
      <c r="G1998" s="104"/>
      <c r="H1998" s="104"/>
      <c r="I1998" s="104"/>
      <c r="J1998" s="104"/>
      <c r="K1998" s="104"/>
      <c r="L1998" s="104"/>
      <c r="M1998" s="104"/>
      <c r="N1998" s="104"/>
      <c r="O1998" s="104"/>
      <c r="P1998" s="104"/>
      <c r="Q1998" s="104"/>
      <c r="R1998" s="104"/>
      <c r="S1998" s="104"/>
    </row>
    <row r="1999" spans="4:19">
      <c r="D1999" s="104"/>
      <c r="E1999" s="104"/>
      <c r="F1999" s="104"/>
      <c r="G1999" s="104"/>
      <c r="H1999" s="104"/>
      <c r="I1999" s="104"/>
      <c r="J1999" s="104"/>
      <c r="K1999" s="104"/>
      <c r="L1999" s="104"/>
      <c r="M1999" s="104"/>
      <c r="N1999" s="104"/>
      <c r="O1999" s="104"/>
      <c r="P1999" s="104"/>
      <c r="Q1999" s="104"/>
      <c r="R1999" s="104"/>
      <c r="S1999" s="104"/>
    </row>
    <row r="2000" spans="4:19">
      <c r="D2000" s="104"/>
      <c r="E2000" s="104"/>
      <c r="F2000" s="104"/>
      <c r="G2000" s="104"/>
      <c r="H2000" s="104"/>
      <c r="I2000" s="104"/>
      <c r="J2000" s="104"/>
      <c r="K2000" s="104"/>
      <c r="L2000" s="104"/>
      <c r="M2000" s="104"/>
      <c r="N2000" s="104"/>
      <c r="O2000" s="104"/>
      <c r="P2000" s="104"/>
      <c r="Q2000" s="104"/>
      <c r="R2000" s="104"/>
      <c r="S2000" s="104"/>
    </row>
    <row r="2001" spans="4:19">
      <c r="D2001" s="104"/>
      <c r="E2001" s="104"/>
      <c r="F2001" s="104"/>
      <c r="G2001" s="104"/>
      <c r="H2001" s="104"/>
      <c r="I2001" s="104"/>
      <c r="J2001" s="104"/>
      <c r="K2001" s="104"/>
      <c r="L2001" s="104"/>
      <c r="M2001" s="104"/>
      <c r="N2001" s="104"/>
      <c r="O2001" s="104"/>
      <c r="P2001" s="104"/>
      <c r="Q2001" s="104"/>
      <c r="R2001" s="104"/>
      <c r="S2001" s="104"/>
    </row>
    <row r="2002" spans="4:19">
      <c r="D2002" s="104"/>
      <c r="E2002" s="104"/>
      <c r="F2002" s="104"/>
      <c r="G2002" s="104"/>
      <c r="H2002" s="104"/>
      <c r="I2002" s="104"/>
      <c r="J2002" s="104"/>
      <c r="K2002" s="104"/>
      <c r="L2002" s="104"/>
      <c r="M2002" s="104"/>
      <c r="N2002" s="104"/>
      <c r="O2002" s="104"/>
      <c r="P2002" s="104"/>
      <c r="Q2002" s="104"/>
      <c r="R2002" s="104"/>
      <c r="S2002" s="104"/>
    </row>
    <row r="2003" spans="4:19">
      <c r="D2003" s="104"/>
      <c r="E2003" s="104"/>
      <c r="F2003" s="104"/>
      <c r="G2003" s="104"/>
      <c r="H2003" s="104"/>
      <c r="I2003" s="104"/>
      <c r="J2003" s="104"/>
      <c r="K2003" s="104"/>
      <c r="L2003" s="104"/>
      <c r="M2003" s="104"/>
      <c r="N2003" s="104"/>
      <c r="O2003" s="104"/>
      <c r="P2003" s="104"/>
      <c r="Q2003" s="104"/>
      <c r="R2003" s="104"/>
      <c r="S2003" s="104"/>
    </row>
    <row r="2004" spans="4:19">
      <c r="D2004" s="104"/>
      <c r="E2004" s="104"/>
      <c r="F2004" s="104"/>
      <c r="G2004" s="104"/>
      <c r="H2004" s="104"/>
      <c r="I2004" s="104"/>
      <c r="J2004" s="104"/>
      <c r="K2004" s="104"/>
      <c r="L2004" s="104"/>
      <c r="M2004" s="104"/>
      <c r="N2004" s="104"/>
      <c r="O2004" s="104"/>
      <c r="P2004" s="104"/>
      <c r="Q2004" s="104"/>
      <c r="R2004" s="104"/>
      <c r="S2004" s="104"/>
    </row>
    <row r="2005" spans="4:19">
      <c r="D2005" s="104"/>
      <c r="E2005" s="104"/>
      <c r="F2005" s="104"/>
      <c r="G2005" s="104"/>
      <c r="H2005" s="104"/>
      <c r="I2005" s="104"/>
      <c r="J2005" s="104"/>
      <c r="K2005" s="104"/>
      <c r="L2005" s="104"/>
      <c r="M2005" s="104"/>
      <c r="N2005" s="104"/>
      <c r="O2005" s="104"/>
      <c r="P2005" s="104"/>
      <c r="Q2005" s="104"/>
      <c r="R2005" s="104"/>
      <c r="S2005" s="104"/>
    </row>
    <row r="2006" spans="4:19">
      <c r="D2006" s="104"/>
      <c r="E2006" s="104"/>
      <c r="F2006" s="104"/>
      <c r="G2006" s="104"/>
      <c r="H2006" s="104"/>
      <c r="I2006" s="104"/>
      <c r="J2006" s="104"/>
      <c r="K2006" s="104"/>
      <c r="L2006" s="104"/>
      <c r="M2006" s="104"/>
      <c r="N2006" s="104"/>
      <c r="O2006" s="104"/>
      <c r="P2006" s="104"/>
      <c r="Q2006" s="104"/>
      <c r="R2006" s="104"/>
      <c r="S2006" s="104"/>
    </row>
    <row r="2007" spans="4:19">
      <c r="D2007" s="104"/>
      <c r="E2007" s="104"/>
      <c r="F2007" s="104"/>
      <c r="G2007" s="104"/>
      <c r="H2007" s="104"/>
      <c r="I2007" s="104"/>
      <c r="J2007" s="104"/>
      <c r="K2007" s="104"/>
      <c r="L2007" s="104"/>
      <c r="M2007" s="104"/>
      <c r="N2007" s="104"/>
      <c r="O2007" s="104"/>
      <c r="P2007" s="104"/>
      <c r="Q2007" s="104"/>
      <c r="R2007" s="104"/>
      <c r="S2007" s="104"/>
    </row>
    <row r="2008" spans="4:19">
      <c r="D2008" s="104"/>
      <c r="E2008" s="104"/>
      <c r="F2008" s="104"/>
      <c r="G2008" s="104"/>
      <c r="H2008" s="104"/>
      <c r="I2008" s="104"/>
      <c r="J2008" s="104"/>
      <c r="K2008" s="104"/>
      <c r="L2008" s="104"/>
      <c r="M2008" s="104"/>
      <c r="N2008" s="104"/>
      <c r="O2008" s="104"/>
      <c r="P2008" s="104"/>
      <c r="Q2008" s="104"/>
      <c r="R2008" s="104"/>
      <c r="S2008" s="104"/>
    </row>
    <row r="2009" spans="4:19">
      <c r="D2009" s="104"/>
      <c r="E2009" s="104"/>
      <c r="F2009" s="104"/>
      <c r="G2009" s="104"/>
      <c r="H2009" s="104"/>
      <c r="I2009" s="104"/>
      <c r="J2009" s="104"/>
      <c r="K2009" s="104"/>
      <c r="L2009" s="104"/>
      <c r="M2009" s="104"/>
      <c r="N2009" s="104"/>
      <c r="O2009" s="104"/>
      <c r="P2009" s="104"/>
      <c r="Q2009" s="104"/>
      <c r="R2009" s="104"/>
      <c r="S2009" s="104"/>
    </row>
    <row r="2010" spans="4:19">
      <c r="D2010" s="104"/>
      <c r="E2010" s="104"/>
      <c r="F2010" s="104"/>
      <c r="G2010" s="104"/>
      <c r="H2010" s="104"/>
      <c r="I2010" s="104"/>
      <c r="J2010" s="104"/>
      <c r="K2010" s="104"/>
      <c r="L2010" s="104"/>
      <c r="M2010" s="104"/>
      <c r="N2010" s="104"/>
      <c r="O2010" s="104"/>
      <c r="P2010" s="104"/>
      <c r="Q2010" s="104"/>
      <c r="R2010" s="104"/>
      <c r="S2010" s="104"/>
    </row>
    <row r="2011" spans="4:19">
      <c r="D2011" s="104"/>
      <c r="E2011" s="104"/>
      <c r="F2011" s="104"/>
      <c r="G2011" s="104"/>
      <c r="H2011" s="104"/>
      <c r="I2011" s="104"/>
      <c r="J2011" s="104"/>
      <c r="K2011" s="104"/>
      <c r="L2011" s="104"/>
      <c r="M2011" s="104"/>
      <c r="N2011" s="104"/>
      <c r="O2011" s="104"/>
      <c r="P2011" s="104"/>
      <c r="Q2011" s="104"/>
      <c r="R2011" s="104"/>
      <c r="S2011" s="104"/>
    </row>
    <row r="2012" spans="4:19">
      <c r="D2012" s="104"/>
      <c r="E2012" s="104"/>
      <c r="F2012" s="104"/>
      <c r="G2012" s="104"/>
      <c r="H2012" s="104"/>
      <c r="I2012" s="104"/>
      <c r="J2012" s="104"/>
      <c r="K2012" s="104"/>
      <c r="L2012" s="104"/>
      <c r="M2012" s="104"/>
      <c r="N2012" s="104"/>
      <c r="O2012" s="104"/>
      <c r="P2012" s="104"/>
      <c r="Q2012" s="104"/>
      <c r="R2012" s="104"/>
      <c r="S2012" s="104"/>
    </row>
    <row r="2013" spans="4:19">
      <c r="D2013" s="104"/>
      <c r="E2013" s="104"/>
      <c r="F2013" s="104"/>
      <c r="G2013" s="104"/>
      <c r="H2013" s="104"/>
      <c r="I2013" s="104"/>
      <c r="J2013" s="104"/>
      <c r="K2013" s="104"/>
      <c r="L2013" s="104"/>
      <c r="M2013" s="104"/>
      <c r="N2013" s="104"/>
      <c r="O2013" s="104"/>
      <c r="P2013" s="104"/>
      <c r="Q2013" s="104"/>
      <c r="R2013" s="104"/>
      <c r="S2013" s="104"/>
    </row>
    <row r="2014" spans="4:19">
      <c r="D2014" s="104"/>
      <c r="E2014" s="104"/>
      <c r="F2014" s="104"/>
      <c r="G2014" s="104"/>
      <c r="H2014" s="104"/>
      <c r="I2014" s="104"/>
      <c r="J2014" s="104"/>
      <c r="K2014" s="104"/>
      <c r="L2014" s="104"/>
      <c r="M2014" s="104"/>
      <c r="N2014" s="104"/>
      <c r="O2014" s="104"/>
      <c r="P2014" s="104"/>
      <c r="Q2014" s="104"/>
      <c r="R2014" s="104"/>
      <c r="S2014" s="104"/>
    </row>
    <row r="2015" spans="4:19">
      <c r="D2015" s="104"/>
      <c r="E2015" s="104"/>
      <c r="F2015" s="104"/>
      <c r="G2015" s="104"/>
      <c r="H2015" s="104"/>
      <c r="I2015" s="104"/>
      <c r="J2015" s="104"/>
      <c r="K2015" s="104"/>
      <c r="L2015" s="104"/>
      <c r="M2015" s="104"/>
      <c r="N2015" s="104"/>
      <c r="O2015" s="104"/>
      <c r="P2015" s="104"/>
      <c r="Q2015" s="104"/>
      <c r="R2015" s="104"/>
      <c r="S2015" s="104"/>
    </row>
    <row r="2016" spans="4:19">
      <c r="D2016" s="104"/>
      <c r="E2016" s="104"/>
      <c r="F2016" s="104"/>
      <c r="G2016" s="104"/>
      <c r="H2016" s="104"/>
      <c r="I2016" s="104"/>
      <c r="J2016" s="104"/>
      <c r="K2016" s="104"/>
      <c r="L2016" s="104"/>
      <c r="M2016" s="104"/>
      <c r="N2016" s="104"/>
      <c r="O2016" s="104"/>
      <c r="P2016" s="104"/>
      <c r="Q2016" s="104"/>
      <c r="R2016" s="104"/>
      <c r="S2016" s="104"/>
    </row>
    <row r="2017" spans="4:19">
      <c r="D2017" s="104"/>
      <c r="E2017" s="104"/>
      <c r="F2017" s="104"/>
      <c r="G2017" s="104"/>
      <c r="H2017" s="104"/>
      <c r="I2017" s="104"/>
      <c r="J2017" s="104"/>
      <c r="K2017" s="104"/>
      <c r="L2017" s="104"/>
      <c r="M2017" s="104"/>
      <c r="N2017" s="104"/>
      <c r="O2017" s="104"/>
      <c r="P2017" s="104"/>
      <c r="Q2017" s="104"/>
      <c r="R2017" s="104"/>
      <c r="S2017" s="104"/>
    </row>
    <row r="2018" spans="4:19">
      <c r="D2018" s="104"/>
      <c r="E2018" s="104"/>
      <c r="F2018" s="104"/>
      <c r="G2018" s="104"/>
      <c r="H2018" s="104"/>
      <c r="I2018" s="104"/>
      <c r="J2018" s="104"/>
      <c r="K2018" s="104"/>
      <c r="L2018" s="104"/>
      <c r="M2018" s="104"/>
      <c r="N2018" s="104"/>
      <c r="O2018" s="104"/>
      <c r="P2018" s="104"/>
      <c r="Q2018" s="104"/>
      <c r="R2018" s="104"/>
      <c r="S2018" s="104"/>
    </row>
    <row r="2019" spans="4:19">
      <c r="D2019" s="104"/>
      <c r="E2019" s="104"/>
      <c r="F2019" s="104"/>
      <c r="G2019" s="104"/>
      <c r="H2019" s="104"/>
      <c r="I2019" s="104"/>
      <c r="J2019" s="104"/>
      <c r="K2019" s="104"/>
      <c r="L2019" s="104"/>
      <c r="M2019" s="104"/>
      <c r="N2019" s="104"/>
      <c r="O2019" s="104"/>
      <c r="P2019" s="104"/>
      <c r="Q2019" s="104"/>
      <c r="R2019" s="104"/>
      <c r="S2019" s="104"/>
    </row>
    <row r="2020" spans="4:19">
      <c r="D2020" s="104"/>
      <c r="E2020" s="104"/>
      <c r="F2020" s="104"/>
      <c r="G2020" s="104"/>
      <c r="H2020" s="104"/>
      <c r="I2020" s="104"/>
      <c r="J2020" s="104"/>
      <c r="K2020" s="104"/>
      <c r="L2020" s="104"/>
      <c r="M2020" s="104"/>
      <c r="N2020" s="104"/>
      <c r="O2020" s="104"/>
      <c r="P2020" s="104"/>
      <c r="Q2020" s="104"/>
      <c r="R2020" s="104"/>
      <c r="S2020" s="104"/>
    </row>
    <row r="2021" spans="4:19">
      <c r="D2021" s="104"/>
      <c r="E2021" s="104"/>
      <c r="F2021" s="104"/>
      <c r="G2021" s="104"/>
      <c r="H2021" s="104"/>
      <c r="I2021" s="104"/>
      <c r="J2021" s="104"/>
      <c r="K2021" s="104"/>
      <c r="L2021" s="104"/>
      <c r="M2021" s="104"/>
      <c r="N2021" s="104"/>
      <c r="O2021" s="104"/>
      <c r="P2021" s="104"/>
      <c r="Q2021" s="104"/>
      <c r="R2021" s="104"/>
      <c r="S2021" s="104"/>
    </row>
    <row r="2022" spans="4:19">
      <c r="D2022" s="104"/>
      <c r="E2022" s="104"/>
      <c r="F2022" s="104"/>
      <c r="G2022" s="104"/>
      <c r="H2022" s="104"/>
      <c r="I2022" s="104"/>
      <c r="J2022" s="104"/>
      <c r="K2022" s="104"/>
      <c r="L2022" s="104"/>
      <c r="M2022" s="104"/>
      <c r="N2022" s="104"/>
      <c r="O2022" s="104"/>
      <c r="P2022" s="104"/>
      <c r="Q2022" s="104"/>
      <c r="R2022" s="104"/>
      <c r="S2022" s="104"/>
    </row>
    <row r="2023" spans="4:19">
      <c r="D2023" s="104"/>
      <c r="E2023" s="104"/>
      <c r="F2023" s="104"/>
      <c r="G2023" s="104"/>
      <c r="H2023" s="104"/>
      <c r="I2023" s="104"/>
      <c r="J2023" s="104"/>
      <c r="K2023" s="104"/>
      <c r="L2023" s="104"/>
      <c r="M2023" s="104"/>
      <c r="N2023" s="104"/>
      <c r="O2023" s="104"/>
      <c r="P2023" s="104"/>
      <c r="Q2023" s="104"/>
      <c r="R2023" s="104"/>
      <c r="S2023" s="104"/>
    </row>
    <row r="2024" spans="4:19">
      <c r="D2024" s="104"/>
      <c r="E2024" s="104"/>
      <c r="F2024" s="104"/>
      <c r="G2024" s="104"/>
      <c r="H2024" s="104"/>
      <c r="I2024" s="104"/>
      <c r="J2024" s="104"/>
      <c r="K2024" s="104"/>
      <c r="L2024" s="104"/>
      <c r="M2024" s="104"/>
      <c r="N2024" s="104"/>
      <c r="O2024" s="104"/>
      <c r="P2024" s="104"/>
      <c r="Q2024" s="104"/>
      <c r="R2024" s="104"/>
      <c r="S2024" s="104"/>
    </row>
    <row r="2025" spans="4:19">
      <c r="D2025" s="104"/>
      <c r="E2025" s="104"/>
      <c r="F2025" s="104"/>
      <c r="G2025" s="104"/>
      <c r="H2025" s="104"/>
      <c r="I2025" s="104"/>
      <c r="J2025" s="104"/>
      <c r="K2025" s="104"/>
      <c r="L2025" s="104"/>
      <c r="M2025" s="104"/>
      <c r="N2025" s="104"/>
      <c r="O2025" s="104"/>
      <c r="P2025" s="104"/>
      <c r="Q2025" s="104"/>
      <c r="R2025" s="104"/>
      <c r="S2025" s="104"/>
    </row>
    <row r="2026" spans="4:19">
      <c r="D2026" s="104"/>
      <c r="E2026" s="104"/>
      <c r="F2026" s="104"/>
      <c r="G2026" s="104"/>
      <c r="H2026" s="104"/>
      <c r="I2026" s="104"/>
      <c r="J2026" s="104"/>
      <c r="K2026" s="104"/>
      <c r="L2026" s="104"/>
      <c r="M2026" s="104"/>
      <c r="N2026" s="104"/>
      <c r="O2026" s="104"/>
      <c r="P2026" s="104"/>
      <c r="Q2026" s="104"/>
      <c r="R2026" s="104"/>
      <c r="S2026" s="104"/>
    </row>
    <row r="2027" spans="4:19">
      <c r="D2027" s="104"/>
      <c r="E2027" s="104"/>
      <c r="F2027" s="104"/>
      <c r="G2027" s="104"/>
      <c r="H2027" s="104"/>
      <c r="I2027" s="104"/>
      <c r="J2027" s="104"/>
      <c r="K2027" s="104"/>
      <c r="L2027" s="104"/>
      <c r="M2027" s="104"/>
      <c r="N2027" s="104"/>
      <c r="O2027" s="104"/>
      <c r="P2027" s="104"/>
      <c r="Q2027" s="104"/>
      <c r="R2027" s="104"/>
      <c r="S2027" s="104"/>
    </row>
    <row r="2028" spans="4:19">
      <c r="D2028" s="104"/>
      <c r="E2028" s="104"/>
      <c r="F2028" s="104"/>
      <c r="G2028" s="104"/>
      <c r="H2028" s="104"/>
      <c r="I2028" s="104"/>
      <c r="J2028" s="104"/>
      <c r="K2028" s="104"/>
      <c r="L2028" s="104"/>
      <c r="M2028" s="104"/>
      <c r="N2028" s="104"/>
      <c r="O2028" s="104"/>
      <c r="P2028" s="104"/>
      <c r="Q2028" s="104"/>
      <c r="R2028" s="104"/>
      <c r="S2028" s="104"/>
    </row>
    <row r="2029" spans="4:19">
      <c r="D2029" s="104"/>
      <c r="E2029" s="104"/>
      <c r="F2029" s="104"/>
      <c r="G2029" s="104"/>
      <c r="H2029" s="104"/>
      <c r="I2029" s="104"/>
      <c r="J2029" s="104"/>
      <c r="K2029" s="104"/>
      <c r="L2029" s="104"/>
      <c r="M2029" s="104"/>
      <c r="N2029" s="104"/>
      <c r="O2029" s="104"/>
      <c r="P2029" s="104"/>
      <c r="Q2029" s="104"/>
      <c r="R2029" s="104"/>
      <c r="S2029" s="104"/>
    </row>
    <row r="2030" spans="4:19">
      <c r="D2030" s="104"/>
      <c r="E2030" s="104"/>
      <c r="F2030" s="104"/>
      <c r="G2030" s="104"/>
      <c r="H2030" s="104"/>
      <c r="I2030" s="104"/>
      <c r="J2030" s="104"/>
      <c r="K2030" s="104"/>
      <c r="L2030" s="104"/>
      <c r="M2030" s="104"/>
      <c r="N2030" s="104"/>
      <c r="O2030" s="104"/>
      <c r="P2030" s="104"/>
      <c r="Q2030" s="104"/>
      <c r="R2030" s="104"/>
      <c r="S2030" s="104"/>
    </row>
    <row r="2031" spans="4:19">
      <c r="D2031" s="104"/>
      <c r="E2031" s="104"/>
      <c r="F2031" s="104"/>
      <c r="G2031" s="104"/>
      <c r="H2031" s="104"/>
      <c r="I2031" s="104"/>
      <c r="J2031" s="104"/>
      <c r="K2031" s="104"/>
      <c r="L2031" s="104"/>
      <c r="M2031" s="104"/>
      <c r="N2031" s="104"/>
      <c r="O2031" s="104"/>
      <c r="P2031" s="104"/>
      <c r="Q2031" s="104"/>
      <c r="R2031" s="104"/>
      <c r="S2031" s="104"/>
    </row>
    <row r="2032" spans="4:19">
      <c r="D2032" s="104"/>
      <c r="E2032" s="104"/>
      <c r="F2032" s="104"/>
      <c r="G2032" s="104"/>
      <c r="H2032" s="104"/>
      <c r="I2032" s="104"/>
      <c r="J2032" s="104"/>
      <c r="K2032" s="104"/>
      <c r="L2032" s="104"/>
      <c r="M2032" s="104"/>
      <c r="N2032" s="104"/>
      <c r="O2032" s="104"/>
      <c r="P2032" s="104"/>
      <c r="Q2032" s="104"/>
      <c r="R2032" s="104"/>
      <c r="S2032" s="104"/>
    </row>
    <row r="2033" spans="4:19">
      <c r="D2033" s="104"/>
      <c r="E2033" s="104"/>
      <c r="F2033" s="104"/>
      <c r="G2033" s="104"/>
      <c r="H2033" s="104"/>
      <c r="I2033" s="104"/>
      <c r="J2033" s="104"/>
      <c r="K2033" s="104"/>
      <c r="L2033" s="104"/>
      <c r="M2033" s="104"/>
      <c r="N2033" s="104"/>
      <c r="O2033" s="104"/>
      <c r="P2033" s="104"/>
      <c r="Q2033" s="104"/>
      <c r="R2033" s="104"/>
      <c r="S2033" s="104"/>
    </row>
    <row r="2034" spans="4:19">
      <c r="D2034" s="104"/>
      <c r="E2034" s="104"/>
      <c r="F2034" s="104"/>
      <c r="G2034" s="104"/>
      <c r="H2034" s="104"/>
      <c r="I2034" s="104"/>
      <c r="J2034" s="104"/>
      <c r="K2034" s="104"/>
      <c r="L2034" s="104"/>
      <c r="M2034" s="104"/>
      <c r="N2034" s="104"/>
      <c r="O2034" s="104"/>
      <c r="P2034" s="104"/>
      <c r="Q2034" s="104"/>
      <c r="R2034" s="104"/>
      <c r="S2034" s="104"/>
    </row>
    <row r="2035" spans="4:19">
      <c r="D2035" s="104"/>
      <c r="E2035" s="104"/>
      <c r="F2035" s="104"/>
      <c r="G2035" s="104"/>
      <c r="H2035" s="104"/>
      <c r="I2035" s="104"/>
      <c r="J2035" s="104"/>
      <c r="K2035" s="104"/>
      <c r="L2035" s="104"/>
      <c r="M2035" s="104"/>
      <c r="N2035" s="104"/>
      <c r="O2035" s="104"/>
      <c r="P2035" s="104"/>
      <c r="Q2035" s="104"/>
      <c r="R2035" s="104"/>
      <c r="S2035" s="104"/>
    </row>
    <row r="2036" spans="4:19">
      <c r="D2036" s="104"/>
      <c r="E2036" s="104"/>
      <c r="F2036" s="104"/>
      <c r="G2036" s="104"/>
      <c r="H2036" s="104"/>
      <c r="I2036" s="104"/>
      <c r="J2036" s="104"/>
      <c r="K2036" s="104"/>
      <c r="L2036" s="104"/>
      <c r="M2036" s="104"/>
      <c r="N2036" s="104"/>
      <c r="O2036" s="104"/>
      <c r="P2036" s="104"/>
      <c r="Q2036" s="104"/>
      <c r="R2036" s="104"/>
      <c r="S2036" s="104"/>
    </row>
    <row r="2037" spans="4:19">
      <c r="D2037" s="104"/>
      <c r="E2037" s="104"/>
      <c r="F2037" s="104"/>
      <c r="G2037" s="104"/>
      <c r="H2037" s="104"/>
      <c r="I2037" s="104"/>
      <c r="J2037" s="104"/>
      <c r="K2037" s="104"/>
      <c r="L2037" s="104"/>
      <c r="M2037" s="104"/>
      <c r="N2037" s="104"/>
      <c r="O2037" s="104"/>
      <c r="P2037" s="104"/>
      <c r="Q2037" s="104"/>
      <c r="R2037" s="104"/>
      <c r="S2037" s="104"/>
    </row>
    <row r="2038" spans="4:19">
      <c r="D2038" s="104"/>
      <c r="E2038" s="104"/>
      <c r="F2038" s="104"/>
      <c r="G2038" s="104"/>
      <c r="H2038" s="104"/>
      <c r="I2038" s="104"/>
      <c r="J2038" s="104"/>
      <c r="K2038" s="104"/>
      <c r="L2038" s="104"/>
      <c r="M2038" s="104"/>
      <c r="N2038" s="104"/>
      <c r="O2038" s="104"/>
      <c r="P2038" s="104"/>
      <c r="Q2038" s="104"/>
      <c r="R2038" s="104"/>
      <c r="S2038" s="104"/>
    </row>
    <row r="2039" spans="4:19">
      <c r="D2039" s="104"/>
      <c r="E2039" s="104"/>
      <c r="F2039" s="104"/>
      <c r="G2039" s="104"/>
      <c r="H2039" s="104"/>
      <c r="I2039" s="104"/>
      <c r="J2039" s="104"/>
      <c r="K2039" s="104"/>
      <c r="L2039" s="104"/>
      <c r="M2039" s="104"/>
      <c r="N2039" s="104"/>
      <c r="O2039" s="104"/>
      <c r="P2039" s="104"/>
      <c r="Q2039" s="104"/>
      <c r="R2039" s="104"/>
      <c r="S2039" s="104"/>
    </row>
    <row r="2040" spans="4:19">
      <c r="D2040" s="104"/>
      <c r="E2040" s="104"/>
      <c r="F2040" s="104"/>
      <c r="G2040" s="104"/>
      <c r="H2040" s="104"/>
      <c r="I2040" s="104"/>
      <c r="J2040" s="104"/>
      <c r="K2040" s="104"/>
      <c r="L2040" s="104"/>
      <c r="M2040" s="104"/>
      <c r="N2040" s="104"/>
      <c r="O2040" s="104"/>
      <c r="P2040" s="104"/>
      <c r="Q2040" s="104"/>
      <c r="R2040" s="104"/>
      <c r="S2040" s="104"/>
    </row>
    <row r="2041" spans="4:19">
      <c r="D2041" s="104"/>
      <c r="E2041" s="104"/>
      <c r="F2041" s="104"/>
      <c r="G2041" s="104"/>
      <c r="H2041" s="104"/>
      <c r="I2041" s="104"/>
      <c r="J2041" s="104"/>
      <c r="K2041" s="104"/>
      <c r="L2041" s="104"/>
      <c r="M2041" s="104"/>
      <c r="N2041" s="104"/>
      <c r="O2041" s="104"/>
      <c r="P2041" s="104"/>
      <c r="Q2041" s="104"/>
      <c r="R2041" s="104"/>
      <c r="S2041" s="104"/>
    </row>
    <row r="2042" spans="4:19">
      <c r="D2042" s="104"/>
      <c r="E2042" s="104"/>
      <c r="F2042" s="104"/>
      <c r="G2042" s="104"/>
      <c r="H2042" s="104"/>
      <c r="I2042" s="104"/>
      <c r="J2042" s="104"/>
      <c r="K2042" s="104"/>
      <c r="L2042" s="104"/>
      <c r="M2042" s="104"/>
      <c r="N2042" s="104"/>
      <c r="O2042" s="104"/>
      <c r="P2042" s="104"/>
      <c r="Q2042" s="104"/>
      <c r="R2042" s="104"/>
      <c r="S2042" s="104"/>
    </row>
    <row r="2043" spans="4:19">
      <c r="D2043" s="104"/>
      <c r="E2043" s="104"/>
      <c r="F2043" s="104"/>
      <c r="G2043" s="104"/>
      <c r="H2043" s="104"/>
      <c r="I2043" s="104"/>
      <c r="J2043" s="104"/>
      <c r="K2043" s="104"/>
      <c r="L2043" s="104"/>
      <c r="M2043" s="104"/>
      <c r="N2043" s="104"/>
      <c r="O2043" s="104"/>
      <c r="P2043" s="104"/>
      <c r="Q2043" s="104"/>
      <c r="R2043" s="104"/>
      <c r="S2043" s="104"/>
    </row>
    <row r="2044" spans="4:19">
      <c r="D2044" s="104"/>
      <c r="E2044" s="104"/>
      <c r="F2044" s="104"/>
      <c r="G2044" s="104"/>
      <c r="H2044" s="104"/>
      <c r="I2044" s="104"/>
      <c r="J2044" s="104"/>
      <c r="K2044" s="104"/>
      <c r="L2044" s="104"/>
      <c r="M2044" s="104"/>
      <c r="N2044" s="104"/>
      <c r="O2044" s="104"/>
      <c r="P2044" s="104"/>
      <c r="Q2044" s="104"/>
      <c r="R2044" s="104"/>
      <c r="S2044" s="104"/>
    </row>
    <row r="2045" spans="4:19">
      <c r="D2045" s="104"/>
      <c r="E2045" s="104"/>
      <c r="F2045" s="104"/>
      <c r="G2045" s="104"/>
      <c r="H2045" s="104"/>
      <c r="I2045" s="104"/>
      <c r="J2045" s="104"/>
      <c r="K2045" s="104"/>
      <c r="L2045" s="104"/>
      <c r="M2045" s="104"/>
      <c r="N2045" s="104"/>
      <c r="O2045" s="104"/>
      <c r="P2045" s="104"/>
      <c r="Q2045" s="104"/>
      <c r="R2045" s="104"/>
      <c r="S2045" s="104"/>
    </row>
    <row r="2046" spans="4:19">
      <c r="D2046" s="104"/>
      <c r="E2046" s="104"/>
      <c r="F2046" s="104"/>
      <c r="G2046" s="104"/>
      <c r="H2046" s="104"/>
      <c r="I2046" s="104"/>
      <c r="J2046" s="104"/>
      <c r="K2046" s="104"/>
      <c r="L2046" s="104"/>
      <c r="M2046" s="104"/>
      <c r="N2046" s="104"/>
      <c r="O2046" s="104"/>
      <c r="P2046" s="104"/>
      <c r="Q2046" s="104"/>
      <c r="R2046" s="104"/>
      <c r="S2046" s="104"/>
    </row>
    <row r="2047" spans="4:19">
      <c r="D2047" s="104"/>
      <c r="E2047" s="104"/>
      <c r="F2047" s="104"/>
      <c r="G2047" s="104"/>
      <c r="H2047" s="104"/>
      <c r="I2047" s="104"/>
      <c r="J2047" s="104"/>
      <c r="K2047" s="104"/>
      <c r="L2047" s="104"/>
      <c r="M2047" s="104"/>
      <c r="N2047" s="104"/>
      <c r="O2047" s="104"/>
      <c r="P2047" s="104"/>
      <c r="Q2047" s="104"/>
      <c r="R2047" s="104"/>
      <c r="S2047" s="104"/>
    </row>
    <row r="2048" spans="4:19">
      <c r="D2048" s="104"/>
      <c r="E2048" s="104"/>
      <c r="F2048" s="104"/>
      <c r="G2048" s="104"/>
      <c r="H2048" s="104"/>
      <c r="I2048" s="104"/>
      <c r="J2048" s="104"/>
      <c r="K2048" s="104"/>
      <c r="L2048" s="104"/>
      <c r="M2048" s="104"/>
      <c r="N2048" s="104"/>
      <c r="O2048" s="104"/>
      <c r="P2048" s="104"/>
      <c r="Q2048" s="104"/>
      <c r="R2048" s="104"/>
      <c r="S2048" s="104"/>
    </row>
    <row r="2049" spans="4:19">
      <c r="D2049" s="104"/>
      <c r="E2049" s="104"/>
      <c r="F2049" s="104"/>
      <c r="G2049" s="104"/>
      <c r="H2049" s="104"/>
      <c r="I2049" s="104"/>
      <c r="J2049" s="104"/>
      <c r="K2049" s="104"/>
      <c r="L2049" s="104"/>
      <c r="M2049" s="104"/>
      <c r="N2049" s="104"/>
      <c r="O2049" s="104"/>
      <c r="P2049" s="104"/>
      <c r="Q2049" s="104"/>
      <c r="R2049" s="104"/>
      <c r="S2049" s="104"/>
    </row>
    <row r="2050" spans="4:19">
      <c r="D2050" s="104"/>
      <c r="E2050" s="104"/>
      <c r="F2050" s="104"/>
      <c r="G2050" s="104"/>
      <c r="H2050" s="104"/>
      <c r="I2050" s="104"/>
      <c r="J2050" s="104"/>
      <c r="K2050" s="104"/>
      <c r="L2050" s="104"/>
      <c r="M2050" s="104"/>
      <c r="N2050" s="104"/>
      <c r="O2050" s="104"/>
      <c r="P2050" s="104"/>
      <c r="Q2050" s="104"/>
      <c r="R2050" s="104"/>
      <c r="S2050" s="104"/>
    </row>
    <row r="2051" spans="4:19">
      <c r="D2051" s="104"/>
      <c r="E2051" s="104"/>
      <c r="F2051" s="104"/>
      <c r="G2051" s="104"/>
      <c r="H2051" s="104"/>
      <c r="I2051" s="104"/>
      <c r="J2051" s="104"/>
      <c r="K2051" s="104"/>
      <c r="L2051" s="104"/>
      <c r="M2051" s="104"/>
      <c r="N2051" s="104"/>
      <c r="O2051" s="104"/>
      <c r="P2051" s="104"/>
      <c r="Q2051" s="104"/>
      <c r="R2051" s="104"/>
      <c r="S2051" s="104"/>
    </row>
    <row r="2052" spans="4:19">
      <c r="D2052" s="104"/>
      <c r="E2052" s="104"/>
      <c r="F2052" s="104"/>
      <c r="G2052" s="104"/>
      <c r="H2052" s="104"/>
      <c r="I2052" s="104"/>
      <c r="J2052" s="104"/>
      <c r="K2052" s="104"/>
      <c r="L2052" s="104"/>
      <c r="M2052" s="104"/>
      <c r="N2052" s="104"/>
      <c r="O2052" s="104"/>
      <c r="P2052" s="104"/>
      <c r="Q2052" s="104"/>
      <c r="R2052" s="104"/>
      <c r="S2052" s="104"/>
    </row>
    <row r="2053" spans="4:19">
      <c r="D2053" s="104"/>
      <c r="E2053" s="104"/>
      <c r="F2053" s="104"/>
      <c r="G2053" s="104"/>
      <c r="H2053" s="104"/>
      <c r="I2053" s="104"/>
      <c r="J2053" s="104"/>
      <c r="K2053" s="104"/>
      <c r="L2053" s="104"/>
      <c r="M2053" s="104"/>
      <c r="N2053" s="104"/>
      <c r="O2053" s="104"/>
      <c r="P2053" s="104"/>
      <c r="Q2053" s="104"/>
      <c r="R2053" s="104"/>
      <c r="S2053" s="104"/>
    </row>
    <row r="2054" spans="4:19">
      <c r="D2054" s="104"/>
      <c r="E2054" s="104"/>
      <c r="F2054" s="104"/>
      <c r="G2054" s="104"/>
      <c r="H2054" s="104"/>
      <c r="I2054" s="104"/>
      <c r="J2054" s="104"/>
      <c r="K2054" s="104"/>
      <c r="L2054" s="104"/>
      <c r="M2054" s="104"/>
      <c r="N2054" s="104"/>
      <c r="O2054" s="104"/>
      <c r="P2054" s="104"/>
      <c r="Q2054" s="104"/>
      <c r="R2054" s="104"/>
      <c r="S2054" s="104"/>
    </row>
    <row r="2055" spans="4:19">
      <c r="D2055" s="104"/>
      <c r="E2055" s="104"/>
      <c r="F2055" s="104"/>
      <c r="G2055" s="104"/>
      <c r="H2055" s="104"/>
      <c r="I2055" s="104"/>
      <c r="J2055" s="104"/>
      <c r="K2055" s="104"/>
      <c r="L2055" s="104"/>
      <c r="M2055" s="104"/>
      <c r="N2055" s="104"/>
      <c r="O2055" s="104"/>
      <c r="P2055" s="104"/>
      <c r="Q2055" s="104"/>
      <c r="R2055" s="104"/>
      <c r="S2055" s="104"/>
    </row>
    <row r="2056" spans="4:19">
      <c r="D2056" s="104"/>
      <c r="E2056" s="104"/>
      <c r="F2056" s="104"/>
      <c r="G2056" s="104"/>
      <c r="H2056" s="104"/>
      <c r="I2056" s="104"/>
      <c r="J2056" s="104"/>
      <c r="K2056" s="104"/>
      <c r="L2056" s="104"/>
      <c r="M2056" s="104"/>
      <c r="N2056" s="104"/>
      <c r="O2056" s="104"/>
      <c r="P2056" s="104"/>
      <c r="Q2056" s="104"/>
      <c r="R2056" s="104"/>
      <c r="S2056" s="104"/>
    </row>
    <row r="2057" spans="4:19">
      <c r="D2057" s="104"/>
      <c r="E2057" s="104"/>
      <c r="F2057" s="104"/>
      <c r="G2057" s="104"/>
      <c r="H2057" s="104"/>
      <c r="I2057" s="104"/>
      <c r="J2057" s="104"/>
      <c r="K2057" s="104"/>
      <c r="L2057" s="104"/>
      <c r="M2057" s="104"/>
      <c r="N2057" s="104"/>
      <c r="O2057" s="104"/>
      <c r="P2057" s="104"/>
      <c r="Q2057" s="104"/>
      <c r="R2057" s="104"/>
      <c r="S2057" s="104"/>
    </row>
    <row r="2058" spans="4:19">
      <c r="D2058" s="104"/>
      <c r="E2058" s="104"/>
      <c r="F2058" s="104"/>
      <c r="G2058" s="104"/>
      <c r="H2058" s="104"/>
      <c r="I2058" s="104"/>
      <c r="J2058" s="104"/>
      <c r="K2058" s="104"/>
      <c r="L2058" s="104"/>
      <c r="M2058" s="104"/>
      <c r="N2058" s="104"/>
      <c r="O2058" s="104"/>
      <c r="P2058" s="104"/>
      <c r="Q2058" s="104"/>
      <c r="R2058" s="104"/>
      <c r="S2058" s="104"/>
    </row>
    <row r="2059" spans="4:19">
      <c r="D2059" s="104"/>
      <c r="E2059" s="104"/>
      <c r="F2059" s="104"/>
      <c r="G2059" s="104"/>
      <c r="H2059" s="104"/>
      <c r="I2059" s="104"/>
      <c r="J2059" s="104"/>
      <c r="K2059" s="104"/>
      <c r="L2059" s="104"/>
      <c r="M2059" s="104"/>
      <c r="N2059" s="104"/>
      <c r="O2059" s="104"/>
      <c r="P2059" s="104"/>
      <c r="Q2059" s="104"/>
      <c r="R2059" s="104"/>
      <c r="S2059" s="104"/>
    </row>
    <row r="2060" spans="4:19">
      <c r="D2060" s="104"/>
      <c r="E2060" s="104"/>
      <c r="F2060" s="104"/>
      <c r="G2060" s="104"/>
      <c r="H2060" s="104"/>
      <c r="I2060" s="104"/>
      <c r="J2060" s="104"/>
      <c r="K2060" s="104"/>
      <c r="L2060" s="104"/>
      <c r="M2060" s="104"/>
      <c r="N2060" s="104"/>
      <c r="O2060" s="104"/>
      <c r="P2060" s="104"/>
      <c r="Q2060" s="104"/>
      <c r="R2060" s="104"/>
      <c r="S2060" s="104"/>
    </row>
    <row r="2061" spans="4:19">
      <c r="D2061" s="104"/>
      <c r="E2061" s="104"/>
      <c r="F2061" s="104"/>
      <c r="G2061" s="104"/>
      <c r="H2061" s="104"/>
      <c r="I2061" s="104"/>
      <c r="J2061" s="104"/>
      <c r="K2061" s="104"/>
      <c r="L2061" s="104"/>
      <c r="M2061" s="104"/>
      <c r="N2061" s="104"/>
      <c r="O2061" s="104"/>
      <c r="P2061" s="104"/>
      <c r="Q2061" s="104"/>
      <c r="R2061" s="104"/>
      <c r="S2061" s="104"/>
    </row>
    <row r="2062" spans="4:19">
      <c r="D2062" s="104"/>
      <c r="E2062" s="104"/>
      <c r="F2062" s="104"/>
      <c r="G2062" s="104"/>
      <c r="H2062" s="104"/>
      <c r="I2062" s="104"/>
      <c r="J2062" s="104"/>
      <c r="K2062" s="104"/>
      <c r="L2062" s="104"/>
      <c r="M2062" s="104"/>
      <c r="N2062" s="104"/>
      <c r="O2062" s="104"/>
      <c r="P2062" s="104"/>
      <c r="Q2062" s="104"/>
      <c r="R2062" s="104"/>
      <c r="S2062" s="104"/>
    </row>
    <row r="2063" spans="4:19">
      <c r="D2063" s="104"/>
      <c r="E2063" s="104"/>
      <c r="F2063" s="104"/>
      <c r="G2063" s="104"/>
      <c r="H2063" s="104"/>
      <c r="I2063" s="104"/>
      <c r="J2063" s="104"/>
      <c r="K2063" s="104"/>
      <c r="L2063" s="104"/>
      <c r="M2063" s="104"/>
      <c r="N2063" s="104"/>
      <c r="O2063" s="104"/>
      <c r="P2063" s="104"/>
      <c r="Q2063" s="104"/>
      <c r="R2063" s="104"/>
      <c r="S2063" s="104"/>
    </row>
    <row r="2064" spans="4:19">
      <c r="D2064" s="104"/>
      <c r="E2064" s="104"/>
      <c r="F2064" s="104"/>
      <c r="G2064" s="104"/>
      <c r="H2064" s="104"/>
      <c r="I2064" s="104"/>
      <c r="J2064" s="104"/>
      <c r="K2064" s="104"/>
      <c r="L2064" s="104"/>
      <c r="M2064" s="104"/>
      <c r="N2064" s="104"/>
      <c r="O2064" s="104"/>
      <c r="P2064" s="104"/>
      <c r="Q2064" s="104"/>
      <c r="R2064" s="104"/>
      <c r="S2064" s="104"/>
    </row>
    <row r="2065" spans="4:19">
      <c r="D2065" s="104"/>
      <c r="E2065" s="104"/>
      <c r="F2065" s="104"/>
      <c r="G2065" s="104"/>
      <c r="H2065" s="104"/>
      <c r="I2065" s="104"/>
      <c r="J2065" s="104"/>
      <c r="K2065" s="104"/>
      <c r="L2065" s="104"/>
      <c r="M2065" s="104"/>
      <c r="N2065" s="104"/>
      <c r="O2065" s="104"/>
      <c r="P2065" s="104"/>
      <c r="Q2065" s="104"/>
      <c r="R2065" s="104"/>
      <c r="S2065" s="104"/>
    </row>
    <row r="2066" spans="4:19">
      <c r="D2066" s="104"/>
      <c r="E2066" s="104"/>
      <c r="F2066" s="104"/>
      <c r="G2066" s="104"/>
      <c r="H2066" s="104"/>
      <c r="I2066" s="104"/>
      <c r="J2066" s="104"/>
      <c r="K2066" s="104"/>
      <c r="L2066" s="104"/>
      <c r="M2066" s="104"/>
      <c r="N2066" s="104"/>
      <c r="O2066" s="104"/>
      <c r="P2066" s="104"/>
      <c r="Q2066" s="104"/>
      <c r="R2066" s="104"/>
      <c r="S2066" s="104"/>
    </row>
    <row r="2067" spans="4:19">
      <c r="D2067" s="104"/>
      <c r="E2067" s="104"/>
      <c r="F2067" s="104"/>
      <c r="G2067" s="104"/>
      <c r="H2067" s="104"/>
      <c r="I2067" s="104"/>
      <c r="J2067" s="104"/>
      <c r="K2067" s="104"/>
      <c r="L2067" s="104"/>
      <c r="M2067" s="104"/>
      <c r="N2067" s="104"/>
      <c r="O2067" s="104"/>
      <c r="P2067" s="104"/>
      <c r="Q2067" s="104"/>
      <c r="R2067" s="104"/>
      <c r="S2067" s="104"/>
    </row>
    <row r="2068" spans="4:19">
      <c r="D2068" s="104"/>
      <c r="E2068" s="104"/>
      <c r="F2068" s="104"/>
      <c r="G2068" s="104"/>
      <c r="H2068" s="104"/>
      <c r="I2068" s="104"/>
      <c r="J2068" s="104"/>
      <c r="K2068" s="104"/>
      <c r="L2068" s="104"/>
      <c r="M2068" s="104"/>
      <c r="N2068" s="104"/>
      <c r="O2068" s="104"/>
      <c r="P2068" s="104"/>
      <c r="Q2068" s="104"/>
      <c r="R2068" s="104"/>
      <c r="S2068" s="104"/>
    </row>
    <row r="2069" spans="4:19">
      <c r="D2069" s="104"/>
      <c r="E2069" s="104"/>
      <c r="F2069" s="104"/>
      <c r="G2069" s="104"/>
      <c r="H2069" s="104"/>
      <c r="I2069" s="104"/>
      <c r="J2069" s="104"/>
      <c r="K2069" s="104"/>
      <c r="L2069" s="104"/>
      <c r="M2069" s="104"/>
      <c r="N2069" s="104"/>
      <c r="O2069" s="104"/>
      <c r="P2069" s="104"/>
      <c r="Q2069" s="104"/>
      <c r="R2069" s="104"/>
      <c r="S2069" s="104"/>
    </row>
    <row r="2070" spans="4:19">
      <c r="D2070" s="104"/>
      <c r="E2070" s="104"/>
      <c r="F2070" s="104"/>
      <c r="G2070" s="104"/>
      <c r="H2070" s="104"/>
      <c r="I2070" s="104"/>
      <c r="J2070" s="104"/>
      <c r="K2070" s="104"/>
      <c r="L2070" s="104"/>
      <c r="M2070" s="104"/>
      <c r="N2070" s="104"/>
      <c r="O2070" s="104"/>
      <c r="P2070" s="104"/>
      <c r="Q2070" s="104"/>
      <c r="R2070" s="104"/>
      <c r="S2070" s="104"/>
    </row>
    <row r="2071" spans="4:19">
      <c r="D2071" s="104"/>
      <c r="E2071" s="104"/>
      <c r="F2071" s="104"/>
      <c r="G2071" s="104"/>
      <c r="H2071" s="104"/>
      <c r="I2071" s="104"/>
      <c r="J2071" s="104"/>
      <c r="K2071" s="104"/>
      <c r="L2071" s="104"/>
      <c r="M2071" s="104"/>
      <c r="N2071" s="104"/>
      <c r="O2071" s="104"/>
      <c r="P2071" s="104"/>
      <c r="Q2071" s="104"/>
      <c r="R2071" s="104"/>
      <c r="S2071" s="104"/>
    </row>
    <row r="2072" spans="4:19">
      <c r="D2072" s="104"/>
      <c r="E2072" s="104"/>
      <c r="F2072" s="104"/>
      <c r="G2072" s="104"/>
      <c r="H2072" s="104"/>
      <c r="I2072" s="104"/>
      <c r="J2072" s="104"/>
      <c r="K2072" s="104"/>
      <c r="L2072" s="104"/>
      <c r="M2072" s="104"/>
      <c r="N2072" s="104"/>
      <c r="O2072" s="104"/>
      <c r="P2072" s="104"/>
      <c r="Q2072" s="104"/>
      <c r="R2072" s="104"/>
      <c r="S2072" s="104"/>
    </row>
    <row r="2073" spans="4:19">
      <c r="D2073" s="104"/>
      <c r="E2073" s="104"/>
      <c r="F2073" s="104"/>
      <c r="G2073" s="104"/>
      <c r="H2073" s="104"/>
      <c r="I2073" s="104"/>
      <c r="J2073" s="104"/>
      <c r="K2073" s="104"/>
      <c r="L2073" s="104"/>
      <c r="M2073" s="104"/>
      <c r="N2073" s="104"/>
      <c r="O2073" s="104"/>
      <c r="P2073" s="104"/>
      <c r="Q2073" s="104"/>
      <c r="R2073" s="104"/>
      <c r="S2073" s="104"/>
    </row>
    <row r="2074" spans="4:19">
      <c r="D2074" s="104"/>
      <c r="E2074" s="104"/>
      <c r="F2074" s="104"/>
      <c r="G2074" s="104"/>
      <c r="H2074" s="104"/>
      <c r="I2074" s="104"/>
      <c r="J2074" s="104"/>
      <c r="K2074" s="104"/>
      <c r="L2074" s="104"/>
      <c r="M2074" s="104"/>
      <c r="N2074" s="104"/>
      <c r="O2074" s="104"/>
      <c r="P2074" s="104"/>
      <c r="Q2074" s="104"/>
      <c r="R2074" s="104"/>
      <c r="S2074" s="104"/>
    </row>
    <row r="2075" spans="4:19">
      <c r="D2075" s="104"/>
      <c r="E2075" s="104"/>
      <c r="F2075" s="104"/>
      <c r="G2075" s="104"/>
      <c r="H2075" s="104"/>
      <c r="I2075" s="104"/>
      <c r="J2075" s="104"/>
      <c r="K2075" s="104"/>
      <c r="L2075" s="104"/>
      <c r="M2075" s="104"/>
      <c r="N2075" s="104"/>
      <c r="O2075" s="104"/>
      <c r="P2075" s="104"/>
      <c r="Q2075" s="104"/>
      <c r="R2075" s="104"/>
      <c r="S2075" s="104"/>
    </row>
    <row r="2076" spans="4:19">
      <c r="D2076" s="104"/>
      <c r="E2076" s="104"/>
      <c r="F2076" s="104"/>
      <c r="G2076" s="104"/>
      <c r="H2076" s="104"/>
      <c r="I2076" s="104"/>
      <c r="J2076" s="104"/>
      <c r="K2076" s="104"/>
      <c r="L2076" s="104"/>
      <c r="M2076" s="104"/>
      <c r="N2076" s="104"/>
      <c r="O2076" s="104"/>
      <c r="P2076" s="104"/>
      <c r="Q2076" s="104"/>
      <c r="R2076" s="104"/>
      <c r="S2076" s="104"/>
    </row>
    <row r="2077" spans="4:19">
      <c r="D2077" s="104"/>
      <c r="E2077" s="104"/>
      <c r="F2077" s="104"/>
      <c r="G2077" s="104"/>
      <c r="H2077" s="104"/>
      <c r="I2077" s="104"/>
      <c r="J2077" s="104"/>
      <c r="K2077" s="104"/>
      <c r="L2077" s="104"/>
      <c r="M2077" s="104"/>
      <c r="N2077" s="104"/>
      <c r="O2077" s="104"/>
      <c r="P2077" s="104"/>
      <c r="Q2077" s="104"/>
      <c r="R2077" s="104"/>
      <c r="S2077" s="104"/>
    </row>
    <row r="2078" spans="4:19">
      <c r="D2078" s="104"/>
      <c r="E2078" s="104"/>
      <c r="F2078" s="104"/>
      <c r="G2078" s="104"/>
      <c r="H2078" s="104"/>
      <c r="I2078" s="104"/>
      <c r="J2078" s="104"/>
      <c r="K2078" s="104"/>
      <c r="L2078" s="104"/>
      <c r="M2078" s="104"/>
      <c r="N2078" s="104"/>
      <c r="O2078" s="104"/>
      <c r="P2078" s="104"/>
      <c r="Q2078" s="104"/>
      <c r="R2078" s="104"/>
      <c r="S2078" s="104"/>
    </row>
    <row r="2079" spans="4:19">
      <c r="D2079" s="104"/>
      <c r="E2079" s="104"/>
      <c r="F2079" s="104"/>
      <c r="G2079" s="104"/>
      <c r="H2079" s="104"/>
      <c r="I2079" s="104"/>
      <c r="J2079" s="104"/>
      <c r="K2079" s="104"/>
      <c r="L2079" s="104"/>
      <c r="M2079" s="104"/>
      <c r="N2079" s="104"/>
      <c r="O2079" s="104"/>
      <c r="P2079" s="104"/>
      <c r="Q2079" s="104"/>
      <c r="R2079" s="104"/>
      <c r="S2079" s="104"/>
    </row>
    <row r="2080" spans="4:19">
      <c r="D2080" s="104"/>
      <c r="E2080" s="104"/>
      <c r="F2080" s="104"/>
      <c r="G2080" s="104"/>
      <c r="H2080" s="104"/>
      <c r="I2080" s="104"/>
      <c r="J2080" s="104"/>
      <c r="K2080" s="104"/>
      <c r="L2080" s="104"/>
      <c r="M2080" s="104"/>
      <c r="N2080" s="104"/>
      <c r="O2080" s="104"/>
      <c r="P2080" s="104"/>
      <c r="Q2080" s="104"/>
      <c r="R2080" s="104"/>
      <c r="S2080" s="104"/>
    </row>
    <row r="2081" spans="4:19">
      <c r="D2081" s="104"/>
      <c r="E2081" s="104"/>
      <c r="F2081" s="104"/>
      <c r="G2081" s="104"/>
      <c r="H2081" s="104"/>
      <c r="I2081" s="104"/>
      <c r="J2081" s="104"/>
      <c r="K2081" s="104"/>
      <c r="L2081" s="104"/>
      <c r="M2081" s="104"/>
      <c r="N2081" s="104"/>
      <c r="O2081" s="104"/>
      <c r="P2081" s="104"/>
      <c r="Q2081" s="104"/>
      <c r="R2081" s="104"/>
      <c r="S2081" s="104"/>
    </row>
    <row r="2082" spans="4:19">
      <c r="D2082" s="104"/>
      <c r="E2082" s="104"/>
      <c r="F2082" s="104"/>
      <c r="G2082" s="104"/>
      <c r="H2082" s="104"/>
      <c r="I2082" s="104"/>
      <c r="J2082" s="104"/>
      <c r="K2082" s="104"/>
      <c r="L2082" s="104"/>
      <c r="M2082" s="104"/>
      <c r="N2082" s="104"/>
      <c r="O2082" s="104"/>
      <c r="P2082" s="104"/>
      <c r="Q2082" s="104"/>
      <c r="R2082" s="104"/>
      <c r="S2082" s="104"/>
    </row>
    <row r="2083" spans="4:19">
      <c r="D2083" s="104"/>
      <c r="E2083" s="104"/>
      <c r="F2083" s="104"/>
      <c r="G2083" s="104"/>
      <c r="H2083" s="104"/>
      <c r="I2083" s="104"/>
      <c r="J2083" s="104"/>
      <c r="K2083" s="104"/>
      <c r="L2083" s="104"/>
      <c r="M2083" s="104"/>
      <c r="N2083" s="104"/>
      <c r="O2083" s="104"/>
      <c r="P2083" s="104"/>
      <c r="Q2083" s="104"/>
      <c r="R2083" s="104"/>
      <c r="S2083" s="104"/>
    </row>
    <row r="2084" spans="4:19">
      <c r="D2084" s="104"/>
      <c r="E2084" s="104"/>
      <c r="F2084" s="104"/>
      <c r="G2084" s="104"/>
      <c r="H2084" s="104"/>
      <c r="I2084" s="104"/>
      <c r="J2084" s="104"/>
      <c r="K2084" s="104"/>
      <c r="L2084" s="104"/>
      <c r="M2084" s="104"/>
      <c r="N2084" s="104"/>
      <c r="O2084" s="104"/>
      <c r="P2084" s="104"/>
      <c r="Q2084" s="104"/>
      <c r="R2084" s="104"/>
      <c r="S2084" s="104"/>
    </row>
    <row r="2085" spans="4:19">
      <c r="D2085" s="104"/>
      <c r="E2085" s="104"/>
      <c r="F2085" s="104"/>
      <c r="G2085" s="104"/>
      <c r="H2085" s="104"/>
      <c r="I2085" s="104"/>
      <c r="J2085" s="104"/>
      <c r="K2085" s="104"/>
      <c r="L2085" s="104"/>
      <c r="M2085" s="104"/>
      <c r="N2085" s="104"/>
      <c r="O2085" s="104"/>
      <c r="P2085" s="104"/>
      <c r="Q2085" s="104"/>
      <c r="R2085" s="104"/>
      <c r="S2085" s="104"/>
    </row>
    <row r="2086" spans="4:19">
      <c r="D2086" s="104"/>
      <c r="E2086" s="104"/>
      <c r="F2086" s="104"/>
      <c r="G2086" s="104"/>
      <c r="H2086" s="104"/>
      <c r="I2086" s="104"/>
      <c r="J2086" s="104"/>
      <c r="K2086" s="104"/>
      <c r="L2086" s="104"/>
      <c r="M2086" s="104"/>
      <c r="N2086" s="104"/>
      <c r="O2086" s="104"/>
      <c r="P2086" s="104"/>
      <c r="Q2086" s="104"/>
      <c r="R2086" s="104"/>
      <c r="S2086" s="104"/>
    </row>
    <row r="2087" spans="4:19">
      <c r="D2087" s="104"/>
      <c r="E2087" s="104"/>
      <c r="F2087" s="104"/>
      <c r="G2087" s="104"/>
      <c r="H2087" s="104"/>
      <c r="I2087" s="104"/>
      <c r="J2087" s="104"/>
      <c r="K2087" s="104"/>
      <c r="L2087" s="104"/>
      <c r="M2087" s="104"/>
      <c r="N2087" s="104"/>
      <c r="O2087" s="104"/>
      <c r="P2087" s="104"/>
      <c r="Q2087" s="104"/>
      <c r="R2087" s="104"/>
      <c r="S2087" s="104"/>
    </row>
    <row r="2088" spans="4:19">
      <c r="D2088" s="104"/>
      <c r="E2088" s="104"/>
      <c r="F2088" s="104"/>
      <c r="G2088" s="104"/>
      <c r="H2088" s="104"/>
      <c r="I2088" s="104"/>
      <c r="J2088" s="104"/>
      <c r="K2088" s="104"/>
      <c r="L2088" s="104"/>
      <c r="M2088" s="104"/>
      <c r="N2088" s="104"/>
      <c r="O2088" s="104"/>
      <c r="P2088" s="104"/>
      <c r="Q2088" s="104"/>
      <c r="R2088" s="104"/>
      <c r="S2088" s="104"/>
    </row>
    <row r="2089" spans="4:19">
      <c r="D2089" s="104"/>
      <c r="E2089" s="104"/>
      <c r="F2089" s="104"/>
      <c r="G2089" s="104"/>
      <c r="H2089" s="104"/>
      <c r="I2089" s="104"/>
      <c r="J2089" s="104"/>
      <c r="K2089" s="104"/>
      <c r="L2089" s="104"/>
      <c r="M2089" s="104"/>
      <c r="N2089" s="104"/>
      <c r="O2089" s="104"/>
      <c r="P2089" s="104"/>
      <c r="Q2089" s="104"/>
      <c r="R2089" s="104"/>
      <c r="S2089" s="104"/>
    </row>
    <row r="2090" spans="4:19">
      <c r="D2090" s="104"/>
      <c r="E2090" s="104"/>
      <c r="F2090" s="104"/>
      <c r="G2090" s="104"/>
      <c r="H2090" s="104"/>
      <c r="I2090" s="104"/>
      <c r="J2090" s="104"/>
      <c r="K2090" s="104"/>
      <c r="L2090" s="104"/>
      <c r="M2090" s="104"/>
      <c r="N2090" s="104"/>
      <c r="O2090" s="104"/>
      <c r="P2090" s="104"/>
      <c r="Q2090" s="104"/>
      <c r="R2090" s="104"/>
      <c r="S2090" s="104"/>
    </row>
    <row r="2091" spans="4:19">
      <c r="D2091" s="104"/>
      <c r="E2091" s="104"/>
      <c r="F2091" s="104"/>
      <c r="G2091" s="104"/>
      <c r="H2091" s="104"/>
      <c r="I2091" s="104"/>
      <c r="J2091" s="104"/>
      <c r="K2091" s="104"/>
      <c r="L2091" s="104"/>
      <c r="M2091" s="104"/>
      <c r="N2091" s="104"/>
      <c r="O2091" s="104"/>
      <c r="P2091" s="104"/>
      <c r="Q2091" s="104"/>
      <c r="R2091" s="104"/>
      <c r="S2091" s="104"/>
    </row>
    <row r="2092" spans="4:19">
      <c r="D2092" s="104"/>
      <c r="E2092" s="104"/>
      <c r="F2092" s="104"/>
      <c r="G2092" s="104"/>
      <c r="H2092" s="104"/>
      <c r="I2092" s="104"/>
      <c r="J2092" s="104"/>
      <c r="K2092" s="104"/>
      <c r="L2092" s="104"/>
      <c r="M2092" s="104"/>
      <c r="N2092" s="104"/>
      <c r="O2092" s="104"/>
      <c r="P2092" s="104"/>
      <c r="Q2092" s="104"/>
      <c r="R2092" s="104"/>
      <c r="S2092" s="104"/>
    </row>
    <row r="2093" spans="4:19">
      <c r="D2093" s="104"/>
      <c r="E2093" s="104"/>
      <c r="F2093" s="104"/>
      <c r="G2093" s="104"/>
      <c r="H2093" s="104"/>
      <c r="I2093" s="104"/>
      <c r="J2093" s="104"/>
      <c r="K2093" s="104"/>
      <c r="L2093" s="104"/>
      <c r="M2093" s="104"/>
      <c r="N2093" s="104"/>
      <c r="O2093" s="104"/>
      <c r="P2093" s="104"/>
      <c r="Q2093" s="104"/>
      <c r="R2093" s="104"/>
      <c r="S2093" s="104"/>
    </row>
    <row r="2094" spans="4:19">
      <c r="D2094" s="104"/>
      <c r="E2094" s="104"/>
      <c r="F2094" s="104"/>
      <c r="G2094" s="104"/>
      <c r="H2094" s="104"/>
      <c r="I2094" s="104"/>
      <c r="J2094" s="104"/>
      <c r="K2094" s="104"/>
      <c r="L2094" s="104"/>
      <c r="M2094" s="104"/>
      <c r="N2094" s="104"/>
      <c r="O2094" s="104"/>
      <c r="P2094" s="104"/>
      <c r="Q2094" s="104"/>
      <c r="R2094" s="104"/>
      <c r="S2094" s="104"/>
    </row>
    <row r="2095" spans="4:19">
      <c r="D2095" s="104"/>
      <c r="E2095" s="104"/>
      <c r="F2095" s="104"/>
      <c r="G2095" s="104"/>
      <c r="H2095" s="104"/>
      <c r="I2095" s="104"/>
      <c r="J2095" s="104"/>
      <c r="K2095" s="104"/>
      <c r="L2095" s="104"/>
      <c r="M2095" s="104"/>
      <c r="N2095" s="104"/>
      <c r="O2095" s="104"/>
      <c r="P2095" s="104"/>
      <c r="Q2095" s="104"/>
      <c r="R2095" s="104"/>
      <c r="S2095" s="104"/>
    </row>
    <row r="2096" spans="4:19">
      <c r="D2096" s="104"/>
      <c r="E2096" s="104"/>
      <c r="F2096" s="104"/>
      <c r="G2096" s="104"/>
      <c r="H2096" s="104"/>
      <c r="I2096" s="104"/>
      <c r="J2096" s="104"/>
      <c r="K2096" s="104"/>
      <c r="L2096" s="104"/>
      <c r="M2096" s="104"/>
      <c r="N2096" s="104"/>
      <c r="O2096" s="104"/>
      <c r="P2096" s="104"/>
      <c r="Q2096" s="104"/>
      <c r="R2096" s="104"/>
      <c r="S2096" s="104"/>
    </row>
    <row r="2097" spans="4:19">
      <c r="D2097" s="104"/>
      <c r="E2097" s="104"/>
      <c r="F2097" s="104"/>
      <c r="G2097" s="104"/>
      <c r="H2097" s="104"/>
      <c r="I2097" s="104"/>
      <c r="J2097" s="104"/>
      <c r="K2097" s="104"/>
      <c r="L2097" s="104"/>
      <c r="M2097" s="104"/>
      <c r="N2097" s="104"/>
      <c r="O2097" s="104"/>
      <c r="P2097" s="104"/>
      <c r="Q2097" s="104"/>
      <c r="R2097" s="104"/>
      <c r="S2097" s="104"/>
    </row>
    <row r="2098" spans="4:19">
      <c r="D2098" s="104"/>
      <c r="E2098" s="104"/>
      <c r="F2098" s="104"/>
      <c r="G2098" s="104"/>
      <c r="H2098" s="104"/>
      <c r="I2098" s="104"/>
      <c r="J2098" s="104"/>
      <c r="K2098" s="104"/>
      <c r="L2098" s="104"/>
      <c r="M2098" s="104"/>
      <c r="N2098" s="104"/>
      <c r="O2098" s="104"/>
      <c r="P2098" s="104"/>
      <c r="Q2098" s="104"/>
      <c r="R2098" s="104"/>
      <c r="S2098" s="104"/>
    </row>
    <row r="2099" spans="4:19">
      <c r="D2099" s="104"/>
      <c r="E2099" s="104"/>
      <c r="F2099" s="104"/>
      <c r="G2099" s="104"/>
      <c r="H2099" s="104"/>
      <c r="I2099" s="104"/>
      <c r="J2099" s="104"/>
      <c r="K2099" s="104"/>
      <c r="L2099" s="104"/>
      <c r="M2099" s="104"/>
      <c r="N2099" s="104"/>
      <c r="O2099" s="104"/>
      <c r="P2099" s="104"/>
      <c r="Q2099" s="104"/>
      <c r="R2099" s="104"/>
      <c r="S2099" s="104"/>
    </row>
    <row r="2100" spans="4:19">
      <c r="D2100" s="104"/>
      <c r="E2100" s="104"/>
      <c r="F2100" s="104"/>
      <c r="G2100" s="104"/>
      <c r="H2100" s="104"/>
      <c r="I2100" s="104"/>
      <c r="J2100" s="104"/>
      <c r="K2100" s="104"/>
      <c r="L2100" s="104"/>
      <c r="M2100" s="104"/>
      <c r="N2100" s="104"/>
      <c r="O2100" s="104"/>
      <c r="P2100" s="104"/>
      <c r="Q2100" s="104"/>
      <c r="R2100" s="104"/>
      <c r="S2100" s="104"/>
    </row>
    <row r="2101" spans="4:19">
      <c r="D2101" s="104"/>
      <c r="E2101" s="104"/>
      <c r="F2101" s="104"/>
      <c r="G2101" s="104"/>
      <c r="H2101" s="104"/>
      <c r="I2101" s="104"/>
      <c r="J2101" s="104"/>
      <c r="K2101" s="104"/>
      <c r="L2101" s="104"/>
      <c r="M2101" s="104"/>
      <c r="N2101" s="104"/>
      <c r="O2101" s="104"/>
      <c r="P2101" s="104"/>
      <c r="Q2101" s="104"/>
      <c r="R2101" s="104"/>
      <c r="S2101" s="104"/>
    </row>
    <row r="2102" spans="4:19">
      <c r="D2102" s="104"/>
      <c r="E2102" s="104"/>
      <c r="F2102" s="104"/>
      <c r="G2102" s="104"/>
      <c r="H2102" s="104"/>
      <c r="I2102" s="104"/>
      <c r="J2102" s="104"/>
      <c r="K2102" s="104"/>
      <c r="L2102" s="104"/>
      <c r="M2102" s="104"/>
      <c r="N2102" s="104"/>
      <c r="O2102" s="104"/>
      <c r="P2102" s="104"/>
      <c r="Q2102" s="104"/>
      <c r="R2102" s="104"/>
      <c r="S2102" s="104"/>
    </row>
    <row r="2103" spans="4:19">
      <c r="D2103" s="104"/>
      <c r="E2103" s="104"/>
      <c r="F2103" s="104"/>
      <c r="G2103" s="104"/>
      <c r="H2103" s="104"/>
      <c r="I2103" s="104"/>
      <c r="J2103" s="104"/>
      <c r="K2103" s="104"/>
      <c r="L2103" s="104"/>
      <c r="M2103" s="104"/>
      <c r="N2103" s="104"/>
      <c r="O2103" s="104"/>
      <c r="P2103" s="104"/>
      <c r="Q2103" s="104"/>
      <c r="R2103" s="104"/>
      <c r="S2103" s="104"/>
    </row>
    <row r="2104" spans="4:19">
      <c r="D2104" s="104"/>
      <c r="E2104" s="104"/>
      <c r="F2104" s="104"/>
      <c r="G2104" s="104"/>
      <c r="H2104" s="104"/>
      <c r="I2104" s="104"/>
      <c r="J2104" s="104"/>
      <c r="K2104" s="104"/>
      <c r="L2104" s="104"/>
      <c r="M2104" s="104"/>
      <c r="N2104" s="104"/>
      <c r="O2104" s="104"/>
      <c r="P2104" s="104"/>
      <c r="Q2104" s="104"/>
      <c r="R2104" s="104"/>
      <c r="S2104" s="104"/>
    </row>
    <row r="2105" spans="4:19">
      <c r="D2105" s="104"/>
      <c r="E2105" s="104"/>
      <c r="F2105" s="104"/>
      <c r="G2105" s="104"/>
      <c r="H2105" s="104"/>
      <c r="I2105" s="104"/>
      <c r="J2105" s="104"/>
      <c r="K2105" s="104"/>
      <c r="L2105" s="104"/>
      <c r="M2105" s="104"/>
      <c r="N2105" s="104"/>
      <c r="O2105" s="104"/>
      <c r="P2105" s="104"/>
      <c r="Q2105" s="104"/>
      <c r="R2105" s="104"/>
      <c r="S2105" s="104"/>
    </row>
    <row r="2106" spans="4:19">
      <c r="D2106" s="104"/>
      <c r="E2106" s="104"/>
      <c r="F2106" s="104"/>
      <c r="G2106" s="104"/>
      <c r="H2106" s="104"/>
      <c r="I2106" s="104"/>
      <c r="J2106" s="104"/>
      <c r="K2106" s="104"/>
      <c r="L2106" s="104"/>
      <c r="M2106" s="104"/>
      <c r="N2106" s="104"/>
      <c r="O2106" s="104"/>
      <c r="P2106" s="104"/>
      <c r="Q2106" s="104"/>
      <c r="R2106" s="104"/>
      <c r="S2106" s="104"/>
    </row>
    <row r="2107" spans="4:19">
      <c r="D2107" s="104"/>
      <c r="E2107" s="104"/>
      <c r="F2107" s="104"/>
      <c r="G2107" s="104"/>
      <c r="H2107" s="104"/>
      <c r="I2107" s="104"/>
      <c r="J2107" s="104"/>
      <c r="K2107" s="104"/>
      <c r="L2107" s="104"/>
      <c r="M2107" s="104"/>
      <c r="N2107" s="104"/>
      <c r="O2107" s="104"/>
      <c r="P2107" s="104"/>
      <c r="Q2107" s="104"/>
      <c r="R2107" s="104"/>
      <c r="S2107" s="104"/>
    </row>
    <row r="2108" spans="4:19">
      <c r="D2108" s="104"/>
      <c r="E2108" s="104"/>
      <c r="F2108" s="104"/>
      <c r="G2108" s="104"/>
      <c r="H2108" s="104"/>
      <c r="I2108" s="104"/>
      <c r="J2108" s="104"/>
      <c r="K2108" s="104"/>
      <c r="L2108" s="104"/>
      <c r="M2108" s="104"/>
      <c r="N2108" s="104"/>
      <c r="O2108" s="104"/>
      <c r="P2108" s="104"/>
      <c r="Q2108" s="104"/>
      <c r="R2108" s="104"/>
      <c r="S2108" s="104"/>
    </row>
    <row r="2109" spans="4:19">
      <c r="D2109" s="104"/>
      <c r="E2109" s="104"/>
      <c r="F2109" s="104"/>
      <c r="G2109" s="104"/>
      <c r="H2109" s="104"/>
      <c r="I2109" s="104"/>
      <c r="J2109" s="104"/>
      <c r="K2109" s="104"/>
      <c r="L2109" s="104"/>
      <c r="M2109" s="104"/>
      <c r="N2109" s="104"/>
      <c r="O2109" s="104"/>
      <c r="P2109" s="104"/>
      <c r="Q2109" s="104"/>
      <c r="R2109" s="104"/>
      <c r="S2109" s="104"/>
    </row>
    <row r="2110" spans="4:19">
      <c r="D2110" s="104"/>
      <c r="E2110" s="104"/>
      <c r="F2110" s="104"/>
      <c r="G2110" s="104"/>
      <c r="H2110" s="104"/>
      <c r="I2110" s="104"/>
      <c r="J2110" s="104"/>
      <c r="K2110" s="104"/>
      <c r="L2110" s="104"/>
      <c r="M2110" s="104"/>
      <c r="N2110" s="104"/>
      <c r="O2110" s="104"/>
      <c r="P2110" s="104"/>
      <c r="Q2110" s="104"/>
      <c r="R2110" s="104"/>
      <c r="S2110" s="104"/>
    </row>
    <row r="2111" spans="4:19">
      <c r="D2111" s="104"/>
      <c r="E2111" s="104"/>
      <c r="F2111" s="104"/>
      <c r="G2111" s="104"/>
      <c r="H2111" s="104"/>
      <c r="I2111" s="104"/>
      <c r="J2111" s="104"/>
      <c r="K2111" s="104"/>
      <c r="L2111" s="104"/>
      <c r="M2111" s="104"/>
      <c r="N2111" s="104"/>
      <c r="O2111" s="104"/>
      <c r="P2111" s="104"/>
      <c r="Q2111" s="104"/>
      <c r="R2111" s="104"/>
      <c r="S2111" s="104"/>
    </row>
    <row r="2112" spans="4:19">
      <c r="D2112" s="104"/>
      <c r="E2112" s="104"/>
      <c r="F2112" s="104"/>
      <c r="G2112" s="104"/>
      <c r="H2112" s="104"/>
      <c r="I2112" s="104"/>
      <c r="J2112" s="104"/>
      <c r="K2112" s="104"/>
      <c r="L2112" s="104"/>
      <c r="M2112" s="104"/>
      <c r="N2112" s="104"/>
      <c r="O2112" s="104"/>
      <c r="P2112" s="104"/>
      <c r="Q2112" s="104"/>
      <c r="R2112" s="104"/>
      <c r="S2112" s="104"/>
    </row>
    <row r="2113" spans="4:19">
      <c r="D2113" s="104"/>
      <c r="E2113" s="104"/>
      <c r="F2113" s="104"/>
      <c r="G2113" s="104"/>
      <c r="H2113" s="104"/>
      <c r="I2113" s="104"/>
      <c r="J2113" s="104"/>
      <c r="K2113" s="104"/>
      <c r="L2113" s="104"/>
      <c r="M2113" s="104"/>
      <c r="N2113" s="104"/>
      <c r="O2113" s="104"/>
      <c r="P2113" s="104"/>
      <c r="Q2113" s="104"/>
      <c r="R2113" s="104"/>
      <c r="S2113" s="104"/>
    </row>
    <row r="2114" spans="4:19">
      <c r="D2114" s="104"/>
      <c r="E2114" s="104"/>
      <c r="F2114" s="104"/>
      <c r="G2114" s="104"/>
      <c r="H2114" s="104"/>
      <c r="I2114" s="104"/>
      <c r="J2114" s="104"/>
      <c r="K2114" s="104"/>
      <c r="L2114" s="104"/>
      <c r="M2114" s="104"/>
      <c r="N2114" s="104"/>
      <c r="O2114" s="104"/>
      <c r="P2114" s="104"/>
      <c r="Q2114" s="104"/>
      <c r="R2114" s="104"/>
      <c r="S2114" s="104"/>
    </row>
    <row r="2115" spans="4:19">
      <c r="D2115" s="104"/>
      <c r="E2115" s="104"/>
      <c r="F2115" s="104"/>
      <c r="G2115" s="104"/>
      <c r="H2115" s="104"/>
      <c r="I2115" s="104"/>
      <c r="J2115" s="104"/>
      <c r="K2115" s="104"/>
      <c r="L2115" s="104"/>
      <c r="M2115" s="104"/>
      <c r="N2115" s="104"/>
      <c r="O2115" s="104"/>
      <c r="P2115" s="104"/>
      <c r="Q2115" s="104"/>
      <c r="R2115" s="104"/>
      <c r="S2115" s="104"/>
    </row>
    <row r="2116" spans="4:19">
      <c r="D2116" s="104"/>
      <c r="E2116" s="104"/>
      <c r="F2116" s="104"/>
      <c r="G2116" s="104"/>
      <c r="H2116" s="104"/>
      <c r="I2116" s="104"/>
      <c r="J2116" s="104"/>
      <c r="K2116" s="104"/>
      <c r="L2116" s="104"/>
      <c r="M2116" s="104"/>
      <c r="N2116" s="104"/>
      <c r="O2116" s="104"/>
      <c r="P2116" s="104"/>
      <c r="Q2116" s="104"/>
      <c r="R2116" s="104"/>
      <c r="S2116" s="104"/>
    </row>
    <row r="2117" spans="4:19">
      <c r="D2117" s="104"/>
      <c r="E2117" s="104"/>
      <c r="F2117" s="104"/>
      <c r="G2117" s="104"/>
      <c r="H2117" s="104"/>
      <c r="I2117" s="104"/>
      <c r="J2117" s="104"/>
      <c r="K2117" s="104"/>
      <c r="L2117" s="104"/>
      <c r="M2117" s="104"/>
      <c r="N2117" s="104"/>
      <c r="O2117" s="104"/>
      <c r="P2117" s="104"/>
      <c r="Q2117" s="104"/>
      <c r="R2117" s="104"/>
      <c r="S2117" s="104"/>
    </row>
    <row r="2118" spans="4:19">
      <c r="D2118" s="104"/>
      <c r="E2118" s="104"/>
      <c r="F2118" s="104"/>
      <c r="G2118" s="104"/>
      <c r="H2118" s="104"/>
      <c r="I2118" s="104"/>
      <c r="J2118" s="104"/>
      <c r="K2118" s="104"/>
      <c r="L2118" s="104"/>
      <c r="M2118" s="104"/>
      <c r="N2118" s="104"/>
      <c r="O2118" s="104"/>
      <c r="P2118" s="104"/>
      <c r="Q2118" s="104"/>
      <c r="R2118" s="104"/>
      <c r="S2118" s="104"/>
    </row>
    <row r="2119" spans="4:19">
      <c r="D2119" s="104"/>
      <c r="E2119" s="104"/>
      <c r="F2119" s="104"/>
      <c r="G2119" s="104"/>
      <c r="H2119" s="104"/>
      <c r="I2119" s="104"/>
      <c r="J2119" s="104"/>
      <c r="K2119" s="104"/>
      <c r="L2119" s="104"/>
      <c r="M2119" s="104"/>
      <c r="N2119" s="104"/>
      <c r="O2119" s="104"/>
      <c r="P2119" s="104"/>
      <c r="Q2119" s="104"/>
      <c r="R2119" s="104"/>
      <c r="S2119" s="104"/>
    </row>
    <row r="2120" spans="4:19">
      <c r="D2120" s="104"/>
      <c r="E2120" s="104"/>
      <c r="F2120" s="104"/>
      <c r="G2120" s="104"/>
      <c r="H2120" s="104"/>
      <c r="I2120" s="104"/>
      <c r="J2120" s="104"/>
      <c r="K2120" s="104"/>
      <c r="L2120" s="104"/>
      <c r="M2120" s="104"/>
      <c r="N2120" s="104"/>
      <c r="O2120" s="104"/>
      <c r="P2120" s="104"/>
      <c r="Q2120" s="104"/>
      <c r="R2120" s="104"/>
      <c r="S2120" s="104"/>
    </row>
    <row r="2121" spans="4:19">
      <c r="D2121" s="104"/>
      <c r="E2121" s="104"/>
      <c r="F2121" s="104"/>
      <c r="G2121" s="104"/>
      <c r="H2121" s="104"/>
      <c r="I2121" s="104"/>
      <c r="J2121" s="104"/>
      <c r="K2121" s="104"/>
      <c r="L2121" s="104"/>
      <c r="M2121" s="104"/>
      <c r="N2121" s="104"/>
      <c r="O2121" s="104"/>
      <c r="P2121" s="104"/>
      <c r="Q2121" s="104"/>
      <c r="R2121" s="104"/>
      <c r="S2121" s="104"/>
    </row>
    <row r="2122" spans="4:19">
      <c r="D2122" s="104"/>
      <c r="E2122" s="104"/>
      <c r="F2122" s="104"/>
      <c r="G2122" s="104"/>
      <c r="H2122" s="104"/>
      <c r="I2122" s="104"/>
      <c r="J2122" s="104"/>
      <c r="K2122" s="104"/>
      <c r="L2122" s="104"/>
      <c r="M2122" s="104"/>
      <c r="N2122" s="104"/>
      <c r="O2122" s="104"/>
      <c r="P2122" s="104"/>
      <c r="Q2122" s="104"/>
      <c r="R2122" s="104"/>
      <c r="S2122" s="104"/>
    </row>
    <row r="2123" spans="4:19">
      <c r="D2123" s="104"/>
      <c r="E2123" s="104"/>
      <c r="F2123" s="104"/>
      <c r="G2123" s="104"/>
      <c r="H2123" s="104"/>
      <c r="I2123" s="104"/>
      <c r="J2123" s="104"/>
      <c r="K2123" s="104"/>
      <c r="L2123" s="104"/>
      <c r="M2123" s="104"/>
      <c r="N2123" s="104"/>
      <c r="O2123" s="104"/>
      <c r="P2123" s="104"/>
      <c r="Q2123" s="104"/>
      <c r="R2123" s="104"/>
      <c r="S2123" s="104"/>
    </row>
    <row r="2124" spans="4:19">
      <c r="D2124" s="104"/>
      <c r="E2124" s="104"/>
      <c r="F2124" s="104"/>
      <c r="G2124" s="104"/>
      <c r="H2124" s="104"/>
      <c r="I2124" s="104"/>
      <c r="J2124" s="104"/>
      <c r="K2124" s="104"/>
      <c r="L2124" s="104"/>
      <c r="M2124" s="104"/>
      <c r="N2124" s="104"/>
      <c r="O2124" s="104"/>
      <c r="P2124" s="104"/>
      <c r="Q2124" s="104"/>
      <c r="R2124" s="104"/>
      <c r="S2124" s="104"/>
    </row>
    <row r="2125" spans="4:19">
      <c r="D2125" s="104"/>
      <c r="E2125" s="104"/>
      <c r="F2125" s="104"/>
      <c r="G2125" s="104"/>
      <c r="H2125" s="104"/>
      <c r="I2125" s="104"/>
      <c r="J2125" s="104"/>
      <c r="K2125" s="104"/>
      <c r="L2125" s="104"/>
      <c r="M2125" s="104"/>
      <c r="N2125" s="104"/>
      <c r="O2125" s="104"/>
      <c r="P2125" s="104"/>
      <c r="Q2125" s="104"/>
      <c r="R2125" s="104"/>
      <c r="S2125" s="104"/>
    </row>
    <row r="2126" spans="4:19">
      <c r="D2126" s="104"/>
      <c r="E2126" s="104"/>
      <c r="F2126" s="104"/>
      <c r="G2126" s="104"/>
      <c r="H2126" s="104"/>
      <c r="I2126" s="104"/>
      <c r="J2126" s="104"/>
      <c r="K2126" s="104"/>
      <c r="L2126" s="104"/>
      <c r="M2126" s="104"/>
      <c r="N2126" s="104"/>
      <c r="O2126" s="104"/>
      <c r="P2126" s="104"/>
      <c r="Q2126" s="104"/>
      <c r="R2126" s="104"/>
      <c r="S2126" s="104"/>
    </row>
    <row r="2127" spans="4:19">
      <c r="D2127" s="104"/>
      <c r="E2127" s="104"/>
      <c r="F2127" s="104"/>
      <c r="G2127" s="104"/>
      <c r="H2127" s="104"/>
      <c r="I2127" s="104"/>
      <c r="J2127" s="104"/>
      <c r="K2127" s="104"/>
      <c r="L2127" s="104"/>
      <c r="M2127" s="104"/>
      <c r="N2127" s="104"/>
      <c r="O2127" s="104"/>
      <c r="P2127" s="104"/>
      <c r="Q2127" s="104"/>
      <c r="R2127" s="104"/>
      <c r="S2127" s="104"/>
    </row>
    <row r="2128" spans="4:19">
      <c r="D2128" s="104"/>
      <c r="E2128" s="104"/>
      <c r="F2128" s="104"/>
      <c r="G2128" s="104"/>
      <c r="H2128" s="104"/>
      <c r="I2128" s="104"/>
      <c r="J2128" s="104"/>
      <c r="K2128" s="104"/>
      <c r="L2128" s="104"/>
      <c r="M2128" s="104"/>
      <c r="N2128" s="104"/>
      <c r="O2128" s="104"/>
      <c r="P2128" s="104"/>
      <c r="Q2128" s="104"/>
      <c r="R2128" s="104"/>
      <c r="S2128" s="104"/>
    </row>
    <row r="2129" spans="4:19">
      <c r="D2129" s="104"/>
      <c r="E2129" s="104"/>
      <c r="F2129" s="104"/>
      <c r="G2129" s="104"/>
      <c r="H2129" s="104"/>
      <c r="I2129" s="104"/>
      <c r="J2129" s="104"/>
      <c r="K2129" s="104"/>
      <c r="L2129" s="104"/>
      <c r="M2129" s="104"/>
      <c r="N2129" s="104"/>
      <c r="O2129" s="104"/>
      <c r="P2129" s="104"/>
      <c r="Q2129" s="104"/>
      <c r="R2129" s="104"/>
      <c r="S2129" s="104"/>
    </row>
    <row r="2130" spans="4:19">
      <c r="D2130" s="104"/>
      <c r="E2130" s="104"/>
      <c r="F2130" s="104"/>
      <c r="G2130" s="104"/>
      <c r="H2130" s="104"/>
      <c r="I2130" s="104"/>
      <c r="J2130" s="104"/>
      <c r="K2130" s="104"/>
      <c r="L2130" s="104"/>
      <c r="M2130" s="104"/>
      <c r="N2130" s="104"/>
      <c r="O2130" s="104"/>
      <c r="P2130" s="104"/>
      <c r="Q2130" s="104"/>
      <c r="R2130" s="104"/>
      <c r="S2130" s="104"/>
    </row>
    <row r="2131" spans="4:19">
      <c r="D2131" s="104"/>
      <c r="E2131" s="104"/>
      <c r="F2131" s="104"/>
      <c r="G2131" s="104"/>
      <c r="H2131" s="104"/>
      <c r="I2131" s="104"/>
      <c r="J2131" s="104"/>
      <c r="K2131" s="104"/>
      <c r="L2131" s="104"/>
      <c r="M2131" s="104"/>
      <c r="N2131" s="104"/>
      <c r="O2131" s="104"/>
      <c r="P2131" s="104"/>
      <c r="Q2131" s="104"/>
      <c r="R2131" s="104"/>
      <c r="S2131" s="104"/>
    </row>
    <row r="2132" spans="4:19">
      <c r="D2132" s="104"/>
      <c r="E2132" s="104"/>
      <c r="F2132" s="104"/>
      <c r="G2132" s="104"/>
      <c r="H2132" s="104"/>
      <c r="I2132" s="104"/>
      <c r="J2132" s="104"/>
      <c r="K2132" s="104"/>
      <c r="L2132" s="104"/>
      <c r="M2132" s="104"/>
      <c r="N2132" s="104"/>
      <c r="O2132" s="104"/>
      <c r="P2132" s="104"/>
      <c r="Q2132" s="104"/>
      <c r="R2132" s="104"/>
      <c r="S2132" s="104"/>
    </row>
    <row r="2133" spans="4:19">
      <c r="D2133" s="104"/>
      <c r="E2133" s="104"/>
      <c r="F2133" s="104"/>
      <c r="G2133" s="104"/>
      <c r="H2133" s="104"/>
      <c r="I2133" s="104"/>
      <c r="J2133" s="104"/>
      <c r="K2133" s="104"/>
      <c r="L2133" s="104"/>
      <c r="M2133" s="104"/>
      <c r="N2133" s="104"/>
      <c r="O2133" s="104"/>
      <c r="P2133" s="104"/>
      <c r="Q2133" s="104"/>
      <c r="R2133" s="104"/>
      <c r="S2133" s="104"/>
    </row>
    <row r="2134" spans="4:19">
      <c r="D2134" s="104"/>
      <c r="E2134" s="104"/>
      <c r="F2134" s="104"/>
      <c r="G2134" s="104"/>
      <c r="H2134" s="104"/>
      <c r="I2134" s="104"/>
      <c r="J2134" s="104"/>
      <c r="K2134" s="104"/>
      <c r="L2134" s="104"/>
      <c r="M2134" s="104"/>
      <c r="N2134" s="104"/>
      <c r="O2134" s="104"/>
      <c r="P2134" s="104"/>
      <c r="Q2134" s="104"/>
      <c r="R2134" s="104"/>
      <c r="S2134" s="104"/>
    </row>
    <row r="2135" spans="4:19">
      <c r="D2135" s="104"/>
      <c r="E2135" s="104"/>
      <c r="F2135" s="104"/>
      <c r="G2135" s="104"/>
      <c r="H2135" s="104"/>
      <c r="I2135" s="104"/>
      <c r="J2135" s="104"/>
      <c r="K2135" s="104"/>
      <c r="L2135" s="104"/>
      <c r="M2135" s="104"/>
      <c r="N2135" s="104"/>
      <c r="O2135" s="104"/>
      <c r="P2135" s="104"/>
      <c r="Q2135" s="104"/>
      <c r="R2135" s="104"/>
      <c r="S2135" s="104"/>
    </row>
    <row r="2136" spans="4:19">
      <c r="D2136" s="104"/>
      <c r="E2136" s="104"/>
      <c r="F2136" s="104"/>
      <c r="G2136" s="104"/>
      <c r="H2136" s="104"/>
      <c r="I2136" s="104"/>
      <c r="J2136" s="104"/>
      <c r="K2136" s="104"/>
      <c r="L2136" s="104"/>
      <c r="M2136" s="104"/>
      <c r="N2136" s="104"/>
      <c r="O2136" s="104"/>
      <c r="P2136" s="104"/>
      <c r="Q2136" s="104"/>
      <c r="R2136" s="104"/>
      <c r="S2136" s="104"/>
    </row>
    <row r="2137" spans="4:19">
      <c r="D2137" s="104"/>
      <c r="E2137" s="104"/>
      <c r="F2137" s="104"/>
      <c r="G2137" s="104"/>
      <c r="H2137" s="104"/>
      <c r="I2137" s="104"/>
      <c r="J2137" s="104"/>
      <c r="K2137" s="104"/>
      <c r="L2137" s="104"/>
      <c r="M2137" s="104"/>
      <c r="N2137" s="104"/>
      <c r="O2137" s="104"/>
      <c r="P2137" s="104"/>
      <c r="Q2137" s="104"/>
      <c r="R2137" s="104"/>
      <c r="S2137" s="104"/>
    </row>
    <row r="2138" spans="4:19">
      <c r="D2138" s="104"/>
      <c r="E2138" s="104"/>
      <c r="F2138" s="104"/>
      <c r="G2138" s="104"/>
      <c r="H2138" s="104"/>
      <c r="I2138" s="104"/>
      <c r="J2138" s="104"/>
      <c r="K2138" s="104"/>
      <c r="L2138" s="104"/>
      <c r="M2138" s="104"/>
      <c r="N2138" s="104"/>
      <c r="O2138" s="104"/>
      <c r="P2138" s="104"/>
      <c r="Q2138" s="104"/>
      <c r="R2138" s="104"/>
      <c r="S2138" s="104"/>
    </row>
    <row r="2139" spans="4:19">
      <c r="D2139" s="104"/>
      <c r="E2139" s="104"/>
      <c r="F2139" s="104"/>
      <c r="G2139" s="104"/>
      <c r="H2139" s="104"/>
      <c r="I2139" s="104"/>
      <c r="J2139" s="104"/>
      <c r="K2139" s="104"/>
      <c r="L2139" s="104"/>
      <c r="M2139" s="104"/>
      <c r="N2139" s="104"/>
      <c r="O2139" s="104"/>
      <c r="P2139" s="104"/>
      <c r="Q2139" s="104"/>
      <c r="R2139" s="104"/>
      <c r="S2139" s="104"/>
    </row>
    <row r="2140" spans="4:19">
      <c r="D2140" s="104"/>
      <c r="E2140" s="104"/>
      <c r="F2140" s="104"/>
      <c r="G2140" s="104"/>
      <c r="H2140" s="104"/>
      <c r="I2140" s="104"/>
      <c r="J2140" s="104"/>
      <c r="K2140" s="104"/>
      <c r="L2140" s="104"/>
      <c r="M2140" s="104"/>
      <c r="N2140" s="104"/>
      <c r="O2140" s="104"/>
      <c r="P2140" s="104"/>
      <c r="Q2140" s="104"/>
      <c r="R2140" s="104"/>
      <c r="S2140" s="104"/>
    </row>
    <row r="2141" spans="4:19">
      <c r="D2141" s="104"/>
      <c r="E2141" s="104"/>
      <c r="F2141" s="104"/>
      <c r="G2141" s="104"/>
      <c r="H2141" s="104"/>
      <c r="I2141" s="104"/>
      <c r="J2141" s="104"/>
      <c r="K2141" s="104"/>
      <c r="L2141" s="104"/>
      <c r="M2141" s="104"/>
      <c r="N2141" s="104"/>
      <c r="O2141" s="104"/>
      <c r="P2141" s="104"/>
      <c r="Q2141" s="104"/>
      <c r="R2141" s="104"/>
      <c r="S2141" s="104"/>
    </row>
    <row r="2142" spans="4:19">
      <c r="D2142" s="104"/>
      <c r="E2142" s="104"/>
      <c r="F2142" s="104"/>
      <c r="G2142" s="104"/>
      <c r="H2142" s="104"/>
      <c r="I2142" s="104"/>
      <c r="J2142" s="104"/>
      <c r="K2142" s="104"/>
      <c r="L2142" s="104"/>
      <c r="M2142" s="104"/>
      <c r="N2142" s="104"/>
      <c r="O2142" s="104"/>
      <c r="P2142" s="104"/>
      <c r="Q2142" s="104"/>
      <c r="R2142" s="104"/>
      <c r="S2142" s="104"/>
    </row>
    <row r="2143" spans="4:19">
      <c r="D2143" s="104"/>
      <c r="E2143" s="104"/>
      <c r="F2143" s="104"/>
      <c r="G2143" s="104"/>
      <c r="H2143" s="104"/>
      <c r="I2143" s="104"/>
      <c r="J2143" s="104"/>
      <c r="K2143" s="104"/>
      <c r="L2143" s="104"/>
      <c r="M2143" s="104"/>
      <c r="N2143" s="104"/>
      <c r="O2143" s="104"/>
      <c r="P2143" s="104"/>
      <c r="Q2143" s="104"/>
      <c r="R2143" s="104"/>
      <c r="S2143" s="104"/>
    </row>
    <row r="2144" spans="4:19">
      <c r="D2144" s="104"/>
      <c r="E2144" s="104"/>
      <c r="F2144" s="104"/>
      <c r="G2144" s="104"/>
      <c r="H2144" s="104"/>
      <c r="I2144" s="104"/>
      <c r="J2144" s="104"/>
      <c r="K2144" s="104"/>
      <c r="L2144" s="104"/>
      <c r="M2144" s="104"/>
      <c r="N2144" s="104"/>
      <c r="O2144" s="104"/>
      <c r="P2144" s="104"/>
      <c r="Q2144" s="104"/>
      <c r="R2144" s="104"/>
      <c r="S2144" s="104"/>
    </row>
    <row r="2145" spans="4:19">
      <c r="D2145" s="104"/>
      <c r="E2145" s="104"/>
      <c r="F2145" s="104"/>
      <c r="G2145" s="104"/>
      <c r="H2145" s="104"/>
      <c r="I2145" s="104"/>
      <c r="J2145" s="104"/>
      <c r="K2145" s="104"/>
      <c r="L2145" s="104"/>
      <c r="M2145" s="104"/>
      <c r="N2145" s="104"/>
      <c r="O2145" s="104"/>
      <c r="P2145" s="104"/>
      <c r="Q2145" s="104"/>
      <c r="R2145" s="104"/>
      <c r="S2145" s="104"/>
    </row>
    <row r="2146" spans="4:19">
      <c r="D2146" s="104"/>
      <c r="E2146" s="104"/>
      <c r="F2146" s="104"/>
      <c r="G2146" s="104"/>
      <c r="H2146" s="104"/>
      <c r="I2146" s="104"/>
      <c r="J2146" s="104"/>
      <c r="K2146" s="104"/>
      <c r="L2146" s="104"/>
      <c r="M2146" s="104"/>
      <c r="N2146" s="104"/>
      <c r="O2146" s="104"/>
      <c r="P2146" s="104"/>
      <c r="Q2146" s="104"/>
      <c r="R2146" s="104"/>
      <c r="S2146" s="104"/>
    </row>
    <row r="2147" spans="4:19">
      <c r="D2147" s="104"/>
      <c r="E2147" s="104"/>
      <c r="F2147" s="104"/>
      <c r="G2147" s="104"/>
      <c r="H2147" s="104"/>
      <c r="I2147" s="104"/>
      <c r="J2147" s="104"/>
      <c r="K2147" s="104"/>
      <c r="L2147" s="104"/>
      <c r="M2147" s="104"/>
      <c r="N2147" s="104"/>
      <c r="O2147" s="104"/>
      <c r="P2147" s="104"/>
      <c r="Q2147" s="104"/>
      <c r="R2147" s="104"/>
      <c r="S2147" s="104"/>
    </row>
    <row r="2148" spans="4:19">
      <c r="D2148" s="104"/>
      <c r="E2148" s="104"/>
      <c r="F2148" s="104"/>
      <c r="G2148" s="104"/>
      <c r="H2148" s="104"/>
      <c r="I2148" s="104"/>
      <c r="J2148" s="104"/>
      <c r="K2148" s="104"/>
      <c r="L2148" s="104"/>
      <c r="M2148" s="104"/>
      <c r="N2148" s="104"/>
      <c r="O2148" s="104"/>
      <c r="P2148" s="104"/>
      <c r="Q2148" s="104"/>
      <c r="R2148" s="104"/>
      <c r="S2148" s="104"/>
    </row>
    <row r="2149" spans="4:19">
      <c r="D2149" s="104"/>
      <c r="E2149" s="104"/>
      <c r="F2149" s="104"/>
      <c r="G2149" s="104"/>
      <c r="H2149" s="104"/>
      <c r="I2149" s="104"/>
      <c r="J2149" s="104"/>
      <c r="K2149" s="104"/>
      <c r="L2149" s="104"/>
      <c r="M2149" s="104"/>
      <c r="N2149" s="104"/>
      <c r="O2149" s="104"/>
      <c r="P2149" s="104"/>
      <c r="Q2149" s="104"/>
      <c r="R2149" s="104"/>
      <c r="S2149" s="104"/>
    </row>
    <row r="2150" spans="4:19">
      <c r="D2150" s="104"/>
      <c r="E2150" s="104"/>
      <c r="F2150" s="104"/>
      <c r="G2150" s="104"/>
      <c r="H2150" s="104"/>
      <c r="I2150" s="104"/>
      <c r="J2150" s="104"/>
      <c r="K2150" s="104"/>
      <c r="L2150" s="104"/>
      <c r="M2150" s="104"/>
      <c r="N2150" s="104"/>
      <c r="O2150" s="104"/>
      <c r="P2150" s="104"/>
      <c r="Q2150" s="104"/>
      <c r="R2150" s="104"/>
      <c r="S2150" s="104"/>
    </row>
    <row r="2151" spans="4:19">
      <c r="D2151" s="104"/>
      <c r="E2151" s="104"/>
      <c r="F2151" s="104"/>
      <c r="G2151" s="104"/>
      <c r="H2151" s="104"/>
      <c r="I2151" s="104"/>
      <c r="J2151" s="104"/>
      <c r="K2151" s="104"/>
      <c r="L2151" s="104"/>
      <c r="M2151" s="104"/>
      <c r="N2151" s="104"/>
      <c r="O2151" s="104"/>
      <c r="P2151" s="104"/>
      <c r="Q2151" s="104"/>
      <c r="R2151" s="104"/>
      <c r="S2151" s="104"/>
    </row>
    <row r="2152" spans="4:19">
      <c r="D2152" s="104"/>
      <c r="E2152" s="104"/>
      <c r="F2152" s="104"/>
      <c r="G2152" s="104"/>
      <c r="H2152" s="104"/>
      <c r="I2152" s="104"/>
      <c r="J2152" s="104"/>
      <c r="K2152" s="104"/>
      <c r="L2152" s="104"/>
      <c r="M2152" s="104"/>
      <c r="N2152" s="104"/>
      <c r="O2152" s="104"/>
      <c r="P2152" s="104"/>
      <c r="Q2152" s="104"/>
      <c r="R2152" s="104"/>
      <c r="S2152" s="104"/>
    </row>
    <row r="2153" spans="4:19">
      <c r="D2153" s="104"/>
      <c r="E2153" s="104"/>
      <c r="F2153" s="104"/>
      <c r="G2153" s="104"/>
      <c r="H2153" s="104"/>
      <c r="I2153" s="104"/>
      <c r="J2153" s="104"/>
      <c r="K2153" s="104"/>
      <c r="L2153" s="104"/>
      <c r="M2153" s="104"/>
      <c r="N2153" s="104"/>
      <c r="O2153" s="104"/>
      <c r="P2153" s="104"/>
      <c r="Q2153" s="104"/>
      <c r="R2153" s="104"/>
      <c r="S2153" s="104"/>
    </row>
    <row r="2154" spans="4:19">
      <c r="D2154" s="104"/>
      <c r="E2154" s="104"/>
      <c r="F2154" s="104"/>
      <c r="G2154" s="104"/>
      <c r="H2154" s="104"/>
      <c r="I2154" s="104"/>
      <c r="J2154" s="104"/>
      <c r="K2154" s="104"/>
      <c r="L2154" s="104"/>
      <c r="M2154" s="104"/>
      <c r="N2154" s="104"/>
      <c r="O2154" s="104"/>
      <c r="P2154" s="104"/>
      <c r="Q2154" s="104"/>
      <c r="R2154" s="104"/>
      <c r="S2154" s="104"/>
    </row>
    <row r="2155" spans="4:19">
      <c r="D2155" s="104"/>
      <c r="E2155" s="104"/>
      <c r="F2155" s="104"/>
      <c r="G2155" s="104"/>
      <c r="H2155" s="104"/>
      <c r="I2155" s="104"/>
      <c r="J2155" s="104"/>
      <c r="K2155" s="104"/>
      <c r="L2155" s="104"/>
      <c r="M2155" s="104"/>
      <c r="N2155" s="104"/>
      <c r="O2155" s="104"/>
      <c r="P2155" s="104"/>
      <c r="Q2155" s="104"/>
      <c r="R2155" s="104"/>
      <c r="S2155" s="104"/>
    </row>
    <row r="2156" spans="4:19">
      <c r="D2156" s="104"/>
      <c r="E2156" s="104"/>
      <c r="F2156" s="104"/>
      <c r="G2156" s="104"/>
      <c r="H2156" s="104"/>
      <c r="I2156" s="104"/>
      <c r="J2156" s="104"/>
      <c r="K2156" s="104"/>
      <c r="L2156" s="104"/>
      <c r="M2156" s="104"/>
      <c r="N2156" s="104"/>
      <c r="O2156" s="104"/>
      <c r="P2156" s="104"/>
      <c r="Q2156" s="104"/>
      <c r="R2156" s="104"/>
      <c r="S2156" s="104"/>
    </row>
    <row r="2157" spans="4:19">
      <c r="D2157" s="104"/>
      <c r="E2157" s="104"/>
      <c r="F2157" s="104"/>
      <c r="G2157" s="104"/>
      <c r="H2157" s="104"/>
      <c r="I2157" s="104"/>
      <c r="J2157" s="104"/>
      <c r="K2157" s="104"/>
      <c r="L2157" s="104"/>
      <c r="M2157" s="104"/>
      <c r="N2157" s="104"/>
      <c r="O2157" s="104"/>
      <c r="P2157" s="104"/>
      <c r="Q2157" s="104"/>
      <c r="R2157" s="104"/>
      <c r="S2157" s="104"/>
    </row>
    <row r="2158" spans="4:19">
      <c r="D2158" s="104"/>
      <c r="E2158" s="104"/>
      <c r="F2158" s="104"/>
      <c r="G2158" s="104"/>
      <c r="H2158" s="104"/>
      <c r="I2158" s="104"/>
      <c r="J2158" s="104"/>
      <c r="K2158" s="104"/>
      <c r="L2158" s="104"/>
      <c r="M2158" s="104"/>
      <c r="N2158" s="104"/>
      <c r="O2158" s="104"/>
      <c r="P2158" s="104"/>
      <c r="Q2158" s="104"/>
      <c r="R2158" s="104"/>
      <c r="S2158" s="104"/>
    </row>
    <row r="2159" spans="4:19">
      <c r="D2159" s="104"/>
      <c r="E2159" s="104"/>
      <c r="F2159" s="104"/>
      <c r="G2159" s="104"/>
      <c r="H2159" s="104"/>
      <c r="I2159" s="104"/>
      <c r="J2159" s="104"/>
      <c r="K2159" s="104"/>
      <c r="L2159" s="104"/>
      <c r="M2159" s="104"/>
      <c r="N2159" s="104"/>
      <c r="O2159" s="104"/>
      <c r="P2159" s="104"/>
      <c r="Q2159" s="104"/>
      <c r="R2159" s="104"/>
      <c r="S2159" s="104"/>
    </row>
    <row r="2160" spans="4:19">
      <c r="D2160" s="104"/>
      <c r="E2160" s="104"/>
      <c r="F2160" s="104"/>
      <c r="G2160" s="104"/>
      <c r="H2160" s="104"/>
      <c r="I2160" s="104"/>
      <c r="J2160" s="104"/>
      <c r="K2160" s="104"/>
      <c r="L2160" s="104"/>
      <c r="M2160" s="104"/>
      <c r="N2160" s="104"/>
      <c r="O2160" s="104"/>
      <c r="P2160" s="104"/>
      <c r="Q2160" s="104"/>
      <c r="R2160" s="104"/>
      <c r="S2160" s="104"/>
    </row>
    <row r="2161" spans="4:19">
      <c r="D2161" s="104"/>
      <c r="E2161" s="104"/>
      <c r="F2161" s="104"/>
      <c r="G2161" s="104"/>
      <c r="H2161" s="104"/>
      <c r="I2161" s="104"/>
      <c r="J2161" s="104"/>
      <c r="K2161" s="104"/>
      <c r="L2161" s="104"/>
      <c r="M2161" s="104"/>
      <c r="N2161" s="104"/>
      <c r="O2161" s="104"/>
      <c r="P2161" s="104"/>
      <c r="Q2161" s="104"/>
      <c r="R2161" s="104"/>
      <c r="S2161" s="104"/>
    </row>
    <row r="2162" spans="4:19">
      <c r="D2162" s="104"/>
      <c r="E2162" s="104"/>
      <c r="F2162" s="104"/>
      <c r="G2162" s="104"/>
      <c r="H2162" s="104"/>
      <c r="I2162" s="104"/>
      <c r="J2162" s="104"/>
      <c r="K2162" s="104"/>
      <c r="L2162" s="104"/>
      <c r="M2162" s="104"/>
      <c r="N2162" s="104"/>
      <c r="O2162" s="104"/>
      <c r="P2162" s="104"/>
      <c r="Q2162" s="104"/>
      <c r="R2162" s="104"/>
      <c r="S2162" s="104"/>
    </row>
    <row r="2163" spans="4:19">
      <c r="D2163" s="104"/>
      <c r="E2163" s="104"/>
      <c r="F2163" s="104"/>
      <c r="G2163" s="104"/>
      <c r="H2163" s="104"/>
      <c r="I2163" s="104"/>
      <c r="J2163" s="104"/>
      <c r="K2163" s="104"/>
      <c r="L2163" s="104"/>
      <c r="M2163" s="104"/>
      <c r="N2163" s="104"/>
      <c r="O2163" s="104"/>
      <c r="P2163" s="104"/>
      <c r="Q2163" s="104"/>
      <c r="R2163" s="104"/>
      <c r="S2163" s="104"/>
    </row>
    <row r="2164" spans="4:19">
      <c r="D2164" s="104"/>
      <c r="E2164" s="104"/>
      <c r="F2164" s="104"/>
      <c r="G2164" s="104"/>
      <c r="H2164" s="104"/>
      <c r="I2164" s="104"/>
      <c r="J2164" s="104"/>
      <c r="K2164" s="104"/>
      <c r="L2164" s="104"/>
      <c r="M2164" s="104"/>
      <c r="N2164" s="104"/>
      <c r="O2164" s="104"/>
      <c r="P2164" s="104"/>
      <c r="Q2164" s="104"/>
      <c r="R2164" s="104"/>
      <c r="S2164" s="104"/>
    </row>
    <row r="2165" spans="4:19">
      <c r="D2165" s="104"/>
      <c r="E2165" s="104"/>
      <c r="F2165" s="104"/>
      <c r="G2165" s="104"/>
      <c r="H2165" s="104"/>
      <c r="I2165" s="104"/>
      <c r="J2165" s="104"/>
      <c r="K2165" s="104"/>
      <c r="L2165" s="104"/>
      <c r="M2165" s="104"/>
      <c r="N2165" s="104"/>
      <c r="O2165" s="104"/>
      <c r="P2165" s="104"/>
      <c r="Q2165" s="104"/>
      <c r="R2165" s="104"/>
      <c r="S2165" s="104"/>
    </row>
    <row r="2166" spans="4:19">
      <c r="D2166" s="104"/>
      <c r="E2166" s="104"/>
      <c r="F2166" s="104"/>
      <c r="G2166" s="104"/>
      <c r="H2166" s="104"/>
      <c r="I2166" s="104"/>
      <c r="J2166" s="104"/>
      <c r="K2166" s="104"/>
      <c r="L2166" s="104"/>
      <c r="M2166" s="104"/>
      <c r="N2166" s="104"/>
      <c r="O2166" s="104"/>
      <c r="P2166" s="104"/>
      <c r="Q2166" s="104"/>
      <c r="R2166" s="104"/>
      <c r="S2166" s="104"/>
    </row>
    <row r="2167" spans="4:19">
      <c r="D2167" s="104"/>
      <c r="E2167" s="104"/>
      <c r="F2167" s="104"/>
      <c r="G2167" s="104"/>
      <c r="H2167" s="104"/>
      <c r="I2167" s="104"/>
      <c r="J2167" s="104"/>
      <c r="K2167" s="104"/>
      <c r="L2167" s="104"/>
      <c r="M2167" s="104"/>
      <c r="N2167" s="104"/>
      <c r="O2167" s="104"/>
      <c r="P2167" s="104"/>
      <c r="Q2167" s="104"/>
      <c r="R2167" s="104"/>
      <c r="S2167" s="104"/>
    </row>
    <row r="2168" spans="4:19">
      <c r="D2168" s="104"/>
      <c r="E2168" s="104"/>
      <c r="F2168" s="104"/>
      <c r="G2168" s="104"/>
      <c r="H2168" s="104"/>
      <c r="I2168" s="104"/>
      <c r="J2168" s="104"/>
      <c r="K2168" s="104"/>
      <c r="L2168" s="104"/>
      <c r="M2168" s="104"/>
      <c r="N2168" s="104"/>
      <c r="O2168" s="104"/>
      <c r="P2168" s="104"/>
      <c r="Q2168" s="104"/>
      <c r="R2168" s="104"/>
      <c r="S2168" s="104"/>
    </row>
    <row r="2169" spans="4:19">
      <c r="D2169" s="104"/>
      <c r="E2169" s="104"/>
      <c r="F2169" s="104"/>
      <c r="G2169" s="104"/>
      <c r="H2169" s="104"/>
      <c r="I2169" s="104"/>
      <c r="J2169" s="104"/>
      <c r="K2169" s="104"/>
      <c r="L2169" s="104"/>
      <c r="M2169" s="104"/>
      <c r="N2169" s="104"/>
      <c r="O2169" s="104"/>
      <c r="P2169" s="104"/>
      <c r="Q2169" s="104"/>
      <c r="R2169" s="104"/>
      <c r="S2169" s="104"/>
    </row>
    <row r="2170" spans="4:19">
      <c r="D2170" s="104"/>
      <c r="E2170" s="104"/>
      <c r="F2170" s="104"/>
      <c r="G2170" s="104"/>
      <c r="H2170" s="104"/>
      <c r="I2170" s="104"/>
      <c r="J2170" s="104"/>
      <c r="K2170" s="104"/>
      <c r="L2170" s="104"/>
      <c r="M2170" s="104"/>
      <c r="N2170" s="104"/>
      <c r="O2170" s="104"/>
      <c r="P2170" s="104"/>
      <c r="Q2170" s="104"/>
      <c r="R2170" s="104"/>
      <c r="S2170" s="104"/>
    </row>
    <row r="2171" spans="4:19">
      <c r="D2171" s="104"/>
      <c r="E2171" s="104"/>
      <c r="F2171" s="104"/>
      <c r="G2171" s="104"/>
      <c r="H2171" s="104"/>
      <c r="I2171" s="104"/>
      <c r="J2171" s="104"/>
      <c r="K2171" s="104"/>
      <c r="L2171" s="104"/>
      <c r="M2171" s="104"/>
      <c r="N2171" s="104"/>
      <c r="O2171" s="104"/>
      <c r="P2171" s="104"/>
      <c r="Q2171" s="104"/>
      <c r="R2171" s="104"/>
      <c r="S2171" s="104"/>
    </row>
    <row r="2172" spans="4:19">
      <c r="D2172" s="104"/>
      <c r="E2172" s="104"/>
      <c r="F2172" s="104"/>
      <c r="G2172" s="104"/>
      <c r="H2172" s="104"/>
      <c r="I2172" s="104"/>
      <c r="J2172" s="104"/>
      <c r="K2172" s="104"/>
      <c r="L2172" s="104"/>
      <c r="M2172" s="104"/>
      <c r="N2172" s="104"/>
      <c r="O2172" s="104"/>
      <c r="P2172" s="104"/>
      <c r="Q2172" s="104"/>
      <c r="R2172" s="104"/>
      <c r="S2172" s="104"/>
    </row>
    <row r="2173" spans="4:19">
      <c r="D2173" s="104"/>
      <c r="E2173" s="104"/>
      <c r="F2173" s="104"/>
      <c r="G2173" s="104"/>
      <c r="H2173" s="104"/>
      <c r="I2173" s="104"/>
      <c r="J2173" s="104"/>
      <c r="K2173" s="104"/>
      <c r="L2173" s="104"/>
      <c r="M2173" s="104"/>
      <c r="N2173" s="104"/>
      <c r="O2173" s="104"/>
      <c r="P2173" s="104"/>
      <c r="Q2173" s="104"/>
      <c r="R2173" s="104"/>
      <c r="S2173" s="104"/>
    </row>
    <row r="2174" spans="4:19">
      <c r="D2174" s="104"/>
      <c r="E2174" s="104"/>
      <c r="F2174" s="104"/>
      <c r="G2174" s="104"/>
      <c r="H2174" s="104"/>
      <c r="I2174" s="104"/>
      <c r="J2174" s="104"/>
      <c r="K2174" s="104"/>
      <c r="L2174" s="104"/>
      <c r="M2174" s="104"/>
      <c r="N2174" s="104"/>
      <c r="O2174" s="104"/>
      <c r="P2174" s="104"/>
      <c r="Q2174" s="104"/>
      <c r="R2174" s="104"/>
      <c r="S2174" s="104"/>
    </row>
    <row r="2175" spans="4:19">
      <c r="D2175" s="104"/>
      <c r="E2175" s="104"/>
      <c r="F2175" s="104"/>
      <c r="G2175" s="104"/>
      <c r="H2175" s="104"/>
      <c r="I2175" s="104"/>
      <c r="J2175" s="104"/>
      <c r="K2175" s="104"/>
      <c r="L2175" s="104"/>
      <c r="M2175" s="104"/>
      <c r="N2175" s="104"/>
      <c r="O2175" s="104"/>
      <c r="P2175" s="104"/>
      <c r="Q2175" s="104"/>
      <c r="R2175" s="104"/>
      <c r="S2175" s="104"/>
    </row>
    <row r="2176" spans="4:19">
      <c r="D2176" s="104"/>
      <c r="E2176" s="104"/>
      <c r="F2176" s="104"/>
      <c r="G2176" s="104"/>
      <c r="H2176" s="104"/>
      <c r="I2176" s="104"/>
      <c r="J2176" s="104"/>
      <c r="K2176" s="104"/>
      <c r="L2176" s="104"/>
      <c r="M2176" s="104"/>
      <c r="N2176" s="104"/>
      <c r="O2176" s="104"/>
      <c r="P2176" s="104"/>
      <c r="Q2176" s="104"/>
      <c r="R2176" s="104"/>
      <c r="S2176" s="104"/>
    </row>
    <row r="2177" spans="4:19">
      <c r="D2177" s="104"/>
      <c r="E2177" s="104"/>
      <c r="F2177" s="104"/>
      <c r="G2177" s="104"/>
      <c r="H2177" s="104"/>
      <c r="I2177" s="104"/>
      <c r="J2177" s="104"/>
      <c r="K2177" s="104"/>
      <c r="L2177" s="104"/>
      <c r="M2177" s="104"/>
      <c r="N2177" s="104"/>
      <c r="O2177" s="104"/>
      <c r="P2177" s="104"/>
      <c r="Q2177" s="104"/>
      <c r="R2177" s="104"/>
      <c r="S2177" s="104"/>
    </row>
    <row r="2178" spans="4:19">
      <c r="D2178" s="104"/>
      <c r="E2178" s="104"/>
      <c r="F2178" s="104"/>
      <c r="G2178" s="104"/>
      <c r="H2178" s="104"/>
      <c r="I2178" s="104"/>
      <c r="J2178" s="104"/>
      <c r="K2178" s="104"/>
      <c r="L2178" s="104"/>
      <c r="M2178" s="104"/>
      <c r="N2178" s="104"/>
      <c r="O2178" s="104"/>
      <c r="P2178" s="104"/>
      <c r="Q2178" s="104"/>
      <c r="R2178" s="104"/>
      <c r="S2178" s="104"/>
    </row>
    <row r="2179" spans="4:19">
      <c r="D2179" s="104"/>
      <c r="E2179" s="104"/>
      <c r="F2179" s="104"/>
      <c r="G2179" s="104"/>
      <c r="H2179" s="104"/>
      <c r="I2179" s="104"/>
      <c r="J2179" s="104"/>
      <c r="K2179" s="104"/>
      <c r="L2179" s="104"/>
      <c r="M2179" s="104"/>
      <c r="N2179" s="104"/>
      <c r="O2179" s="104"/>
      <c r="P2179" s="104"/>
      <c r="Q2179" s="104"/>
      <c r="R2179" s="104"/>
      <c r="S2179" s="104"/>
    </row>
    <row r="2180" spans="4:19">
      <c r="D2180" s="104"/>
      <c r="E2180" s="104"/>
      <c r="F2180" s="104"/>
      <c r="G2180" s="104"/>
      <c r="H2180" s="104"/>
      <c r="I2180" s="104"/>
      <c r="J2180" s="104"/>
      <c r="K2180" s="104"/>
      <c r="L2180" s="104"/>
      <c r="M2180" s="104"/>
      <c r="N2180" s="104"/>
      <c r="O2180" s="104"/>
      <c r="P2180" s="104"/>
      <c r="Q2180" s="104"/>
      <c r="R2180" s="104"/>
      <c r="S2180" s="104"/>
    </row>
    <row r="2181" spans="4:19">
      <c r="D2181" s="104"/>
      <c r="E2181" s="104"/>
      <c r="F2181" s="104"/>
      <c r="G2181" s="104"/>
      <c r="H2181" s="104"/>
      <c r="I2181" s="104"/>
      <c r="J2181" s="104"/>
      <c r="K2181" s="104"/>
      <c r="L2181" s="104"/>
      <c r="M2181" s="104"/>
      <c r="N2181" s="104"/>
      <c r="O2181" s="104"/>
      <c r="P2181" s="104"/>
      <c r="Q2181" s="104"/>
      <c r="R2181" s="104"/>
      <c r="S2181" s="104"/>
    </row>
    <row r="2182" spans="4:19">
      <c r="D2182" s="104"/>
      <c r="E2182" s="104"/>
      <c r="F2182" s="104"/>
      <c r="G2182" s="104"/>
      <c r="H2182" s="104"/>
      <c r="I2182" s="104"/>
      <c r="J2182" s="104"/>
      <c r="K2182" s="104"/>
      <c r="L2182" s="104"/>
      <c r="M2182" s="104"/>
      <c r="N2182" s="104"/>
      <c r="O2182" s="104"/>
      <c r="P2182" s="104"/>
      <c r="Q2182" s="104"/>
      <c r="R2182" s="104"/>
      <c r="S2182" s="104"/>
    </row>
    <row r="2183" spans="4:19">
      <c r="D2183" s="104"/>
      <c r="E2183" s="104"/>
      <c r="F2183" s="104"/>
      <c r="G2183" s="104"/>
      <c r="H2183" s="104"/>
      <c r="I2183" s="104"/>
      <c r="J2183" s="104"/>
      <c r="K2183" s="104"/>
      <c r="L2183" s="104"/>
      <c r="M2183" s="104"/>
      <c r="N2183" s="104"/>
      <c r="O2183" s="104"/>
      <c r="P2183" s="104"/>
      <c r="Q2183" s="104"/>
      <c r="R2183" s="104"/>
      <c r="S2183" s="104"/>
    </row>
    <row r="2184" spans="4:19">
      <c r="D2184" s="104"/>
      <c r="E2184" s="104"/>
      <c r="F2184" s="104"/>
      <c r="G2184" s="104"/>
      <c r="H2184" s="104"/>
      <c r="I2184" s="104"/>
      <c r="J2184" s="104"/>
      <c r="K2184" s="104"/>
      <c r="L2184" s="104"/>
      <c r="M2184" s="104"/>
      <c r="N2184" s="104"/>
      <c r="O2184" s="104"/>
      <c r="P2184" s="104"/>
      <c r="Q2184" s="104"/>
      <c r="R2184" s="104"/>
      <c r="S2184" s="104"/>
    </row>
    <row r="2185" spans="4:19">
      <c r="D2185" s="104"/>
      <c r="E2185" s="104"/>
      <c r="F2185" s="104"/>
      <c r="G2185" s="104"/>
      <c r="H2185" s="104"/>
      <c r="I2185" s="104"/>
      <c r="J2185" s="104"/>
      <c r="K2185" s="104"/>
      <c r="L2185" s="104"/>
      <c r="M2185" s="104"/>
      <c r="N2185" s="104"/>
      <c r="O2185" s="104"/>
      <c r="P2185" s="104"/>
      <c r="Q2185" s="104"/>
      <c r="R2185" s="104"/>
      <c r="S2185" s="104"/>
    </row>
    <row r="2186" spans="4:19">
      <c r="D2186" s="104"/>
      <c r="E2186" s="104"/>
      <c r="F2186" s="104"/>
      <c r="G2186" s="104"/>
      <c r="H2186" s="104"/>
      <c r="I2186" s="104"/>
      <c r="J2186" s="104"/>
      <c r="K2186" s="104"/>
      <c r="L2186" s="104"/>
      <c r="M2186" s="104"/>
      <c r="N2186" s="104"/>
      <c r="O2186" s="104"/>
      <c r="P2186" s="104"/>
      <c r="Q2186" s="104"/>
      <c r="R2186" s="104"/>
      <c r="S2186" s="104"/>
    </row>
    <row r="2187" spans="4:19">
      <c r="D2187" s="104"/>
      <c r="E2187" s="104"/>
      <c r="F2187" s="104"/>
      <c r="G2187" s="104"/>
      <c r="H2187" s="104"/>
      <c r="I2187" s="104"/>
      <c r="J2187" s="104"/>
      <c r="K2187" s="104"/>
      <c r="L2187" s="104"/>
      <c r="M2187" s="104"/>
      <c r="N2187" s="104"/>
      <c r="O2187" s="104"/>
      <c r="P2187" s="104"/>
      <c r="Q2187" s="104"/>
      <c r="R2187" s="104"/>
      <c r="S2187" s="104"/>
    </row>
    <row r="2188" spans="4:19">
      <c r="D2188" s="104"/>
      <c r="E2188" s="104"/>
      <c r="F2188" s="104"/>
      <c r="G2188" s="104"/>
      <c r="H2188" s="104"/>
      <c r="I2188" s="104"/>
      <c r="J2188" s="104"/>
      <c r="K2188" s="104"/>
      <c r="L2188" s="104"/>
      <c r="M2188" s="104"/>
      <c r="N2188" s="104"/>
      <c r="O2188" s="104"/>
      <c r="P2188" s="104"/>
      <c r="Q2188" s="104"/>
      <c r="R2188" s="104"/>
      <c r="S2188" s="104"/>
    </row>
    <row r="2189" spans="4:19">
      <c r="D2189" s="104"/>
      <c r="E2189" s="104"/>
      <c r="F2189" s="104"/>
      <c r="G2189" s="104"/>
      <c r="H2189" s="104"/>
      <c r="I2189" s="104"/>
      <c r="J2189" s="104"/>
      <c r="K2189" s="104"/>
      <c r="L2189" s="104"/>
      <c r="M2189" s="104"/>
      <c r="N2189" s="104"/>
      <c r="O2189" s="104"/>
      <c r="P2189" s="104"/>
      <c r="Q2189" s="104"/>
      <c r="R2189" s="104"/>
      <c r="S2189" s="104"/>
    </row>
    <row r="2190" spans="4:19">
      <c r="D2190" s="104"/>
      <c r="E2190" s="104"/>
      <c r="F2190" s="104"/>
      <c r="G2190" s="104"/>
      <c r="H2190" s="104"/>
      <c r="I2190" s="104"/>
      <c r="J2190" s="104"/>
      <c r="K2190" s="104"/>
      <c r="L2190" s="104"/>
      <c r="M2190" s="104"/>
      <c r="N2190" s="104"/>
      <c r="O2190" s="104"/>
      <c r="P2190" s="104"/>
      <c r="Q2190" s="104"/>
      <c r="R2190" s="104"/>
      <c r="S2190" s="104"/>
    </row>
    <row r="2191" spans="4:19">
      <c r="D2191" s="104"/>
      <c r="E2191" s="104"/>
      <c r="F2191" s="104"/>
      <c r="G2191" s="104"/>
      <c r="H2191" s="104"/>
      <c r="I2191" s="104"/>
      <c r="J2191" s="104"/>
      <c r="K2191" s="104"/>
      <c r="L2191" s="104"/>
      <c r="M2191" s="104"/>
      <c r="N2191" s="104"/>
      <c r="O2191" s="104"/>
      <c r="P2191" s="104"/>
      <c r="Q2191" s="104"/>
      <c r="R2191" s="104"/>
      <c r="S2191" s="104"/>
    </row>
    <row r="2192" spans="4:19">
      <c r="D2192" s="104"/>
      <c r="E2192" s="104"/>
      <c r="F2192" s="104"/>
      <c r="G2192" s="104"/>
      <c r="H2192" s="104"/>
      <c r="I2192" s="104"/>
      <c r="J2192" s="104"/>
      <c r="K2192" s="104"/>
      <c r="L2192" s="104"/>
      <c r="M2192" s="104"/>
      <c r="N2192" s="104"/>
      <c r="O2192" s="104"/>
      <c r="P2192" s="104"/>
      <c r="Q2192" s="104"/>
      <c r="R2192" s="104"/>
      <c r="S2192" s="104"/>
    </row>
    <row r="2193" spans="4:19">
      <c r="D2193" s="104"/>
      <c r="E2193" s="104"/>
      <c r="F2193" s="104"/>
      <c r="G2193" s="104"/>
      <c r="H2193" s="104"/>
      <c r="I2193" s="104"/>
      <c r="J2193" s="104"/>
      <c r="K2193" s="104"/>
      <c r="L2193" s="104"/>
      <c r="M2193" s="104"/>
      <c r="N2193" s="104"/>
      <c r="O2193" s="104"/>
      <c r="P2193" s="104"/>
      <c r="Q2193" s="104"/>
      <c r="R2193" s="104"/>
      <c r="S2193" s="104"/>
    </row>
    <row r="2194" spans="4:19">
      <c r="D2194" s="104"/>
      <c r="E2194" s="104"/>
      <c r="F2194" s="104"/>
      <c r="G2194" s="104"/>
      <c r="H2194" s="104"/>
      <c r="I2194" s="104"/>
      <c r="J2194" s="104"/>
      <c r="K2194" s="104"/>
      <c r="L2194" s="104"/>
      <c r="M2194" s="104"/>
      <c r="N2194" s="104"/>
      <c r="O2194" s="104"/>
      <c r="P2194" s="104"/>
      <c r="Q2194" s="104"/>
      <c r="R2194" s="104"/>
      <c r="S2194" s="104"/>
    </row>
    <row r="2195" spans="4:19">
      <c r="D2195" s="104"/>
      <c r="E2195" s="104"/>
      <c r="F2195" s="104"/>
      <c r="G2195" s="104"/>
      <c r="H2195" s="104"/>
      <c r="I2195" s="104"/>
      <c r="J2195" s="104"/>
      <c r="K2195" s="104"/>
      <c r="L2195" s="104"/>
      <c r="M2195" s="104"/>
      <c r="N2195" s="104"/>
      <c r="O2195" s="104"/>
      <c r="P2195" s="104"/>
      <c r="Q2195" s="104"/>
      <c r="R2195" s="104"/>
      <c r="S2195" s="104"/>
    </row>
    <row r="2196" spans="4:19">
      <c r="D2196" s="104"/>
      <c r="E2196" s="104"/>
      <c r="F2196" s="104"/>
      <c r="G2196" s="104"/>
      <c r="H2196" s="104"/>
      <c r="I2196" s="104"/>
      <c r="J2196" s="104"/>
      <c r="K2196" s="104"/>
      <c r="L2196" s="104"/>
      <c r="M2196" s="104"/>
      <c r="N2196" s="104"/>
      <c r="O2196" s="104"/>
      <c r="P2196" s="104"/>
      <c r="Q2196" s="104"/>
      <c r="R2196" s="104"/>
      <c r="S2196" s="104"/>
    </row>
    <row r="2197" spans="4:19">
      <c r="D2197" s="104"/>
      <c r="E2197" s="104"/>
      <c r="F2197" s="104"/>
      <c r="G2197" s="104"/>
      <c r="H2197" s="104"/>
      <c r="I2197" s="104"/>
      <c r="J2197" s="104"/>
      <c r="K2197" s="104"/>
      <c r="L2197" s="104"/>
      <c r="M2197" s="104"/>
      <c r="N2197" s="104"/>
      <c r="O2197" s="104"/>
      <c r="P2197" s="104"/>
      <c r="Q2197" s="104"/>
      <c r="R2197" s="104"/>
      <c r="S2197" s="104"/>
    </row>
    <row r="2198" spans="4:19">
      <c r="D2198" s="104"/>
      <c r="E2198" s="104"/>
      <c r="F2198" s="104"/>
      <c r="G2198" s="104"/>
      <c r="H2198" s="104"/>
      <c r="I2198" s="104"/>
      <c r="J2198" s="104"/>
      <c r="K2198" s="104"/>
      <c r="L2198" s="104"/>
      <c r="M2198" s="104"/>
      <c r="N2198" s="104"/>
      <c r="O2198" s="104"/>
      <c r="P2198" s="104"/>
      <c r="Q2198" s="104"/>
      <c r="R2198" s="104"/>
      <c r="S2198" s="104"/>
    </row>
    <row r="2199" spans="4:19">
      <c r="D2199" s="104"/>
      <c r="E2199" s="104"/>
      <c r="F2199" s="104"/>
      <c r="G2199" s="104"/>
      <c r="H2199" s="104"/>
      <c r="I2199" s="104"/>
      <c r="J2199" s="104"/>
      <c r="K2199" s="104"/>
      <c r="L2199" s="104"/>
      <c r="M2199" s="104"/>
      <c r="N2199" s="104"/>
      <c r="O2199" s="104"/>
      <c r="P2199" s="104"/>
      <c r="Q2199" s="104"/>
      <c r="R2199" s="104"/>
      <c r="S2199" s="104"/>
    </row>
    <row r="2200" spans="4:19">
      <c r="D2200" s="104"/>
      <c r="E2200" s="104"/>
      <c r="F2200" s="104"/>
      <c r="G2200" s="104"/>
      <c r="H2200" s="104"/>
      <c r="I2200" s="104"/>
      <c r="J2200" s="104"/>
      <c r="K2200" s="104"/>
      <c r="L2200" s="104"/>
      <c r="M2200" s="104"/>
      <c r="N2200" s="104"/>
      <c r="O2200" s="104"/>
      <c r="P2200" s="104"/>
      <c r="Q2200" s="104"/>
      <c r="R2200" s="104"/>
      <c r="S2200" s="104"/>
    </row>
    <row r="2201" spans="4:19">
      <c r="D2201" s="104"/>
      <c r="E2201" s="104"/>
      <c r="F2201" s="104"/>
      <c r="G2201" s="104"/>
      <c r="H2201" s="104"/>
      <c r="I2201" s="104"/>
      <c r="J2201" s="104"/>
      <c r="K2201" s="104"/>
      <c r="L2201" s="104"/>
      <c r="M2201" s="104"/>
      <c r="N2201" s="104"/>
      <c r="O2201" s="104"/>
      <c r="P2201" s="104"/>
      <c r="Q2201" s="104"/>
      <c r="R2201" s="104"/>
      <c r="S2201" s="104"/>
    </row>
    <row r="2202" spans="4:19">
      <c r="D2202" s="104"/>
      <c r="E2202" s="104"/>
      <c r="F2202" s="104"/>
      <c r="G2202" s="104"/>
      <c r="H2202" s="104"/>
      <c r="I2202" s="104"/>
      <c r="J2202" s="104"/>
      <c r="K2202" s="104"/>
      <c r="L2202" s="104"/>
      <c r="M2202" s="104"/>
      <c r="N2202" s="104"/>
      <c r="O2202" s="104"/>
      <c r="P2202" s="104"/>
      <c r="Q2202" s="104"/>
      <c r="R2202" s="104"/>
      <c r="S2202" s="104"/>
    </row>
    <row r="2203" spans="4:19">
      <c r="D2203" s="104"/>
      <c r="E2203" s="104"/>
      <c r="F2203" s="104"/>
      <c r="G2203" s="104"/>
      <c r="H2203" s="104"/>
      <c r="I2203" s="104"/>
      <c r="J2203" s="104"/>
      <c r="K2203" s="104"/>
      <c r="L2203" s="104"/>
      <c r="M2203" s="104"/>
      <c r="N2203" s="104"/>
      <c r="O2203" s="104"/>
      <c r="P2203" s="104"/>
      <c r="Q2203" s="104"/>
      <c r="R2203" s="104"/>
      <c r="S2203" s="104"/>
    </row>
    <row r="2204" spans="4:19">
      <c r="D2204" s="104"/>
      <c r="E2204" s="104"/>
      <c r="F2204" s="104"/>
      <c r="G2204" s="104"/>
      <c r="H2204" s="104"/>
      <c r="I2204" s="104"/>
      <c r="J2204" s="104"/>
      <c r="K2204" s="104"/>
      <c r="L2204" s="104"/>
      <c r="M2204" s="104"/>
      <c r="N2204" s="104"/>
      <c r="O2204" s="104"/>
      <c r="P2204" s="104"/>
      <c r="Q2204" s="104"/>
      <c r="R2204" s="104"/>
      <c r="S2204" s="104"/>
    </row>
    <row r="2205" spans="4:19">
      <c r="D2205" s="104"/>
      <c r="E2205" s="104"/>
      <c r="F2205" s="104"/>
      <c r="G2205" s="104"/>
      <c r="H2205" s="104"/>
      <c r="I2205" s="104"/>
      <c r="J2205" s="104"/>
      <c r="K2205" s="104"/>
      <c r="L2205" s="104"/>
      <c r="M2205" s="104"/>
      <c r="N2205" s="104"/>
      <c r="O2205" s="104"/>
      <c r="P2205" s="104"/>
      <c r="Q2205" s="104"/>
      <c r="R2205" s="104"/>
      <c r="S2205" s="104"/>
    </row>
    <row r="2206" spans="4:19">
      <c r="D2206" s="104"/>
      <c r="E2206" s="104"/>
      <c r="F2206" s="104"/>
      <c r="G2206" s="104"/>
      <c r="H2206" s="104"/>
      <c r="I2206" s="104"/>
      <c r="J2206" s="104"/>
      <c r="K2206" s="104"/>
      <c r="L2206" s="104"/>
      <c r="M2206" s="104"/>
      <c r="N2206" s="104"/>
      <c r="O2206" s="104"/>
      <c r="P2206" s="104"/>
      <c r="Q2206" s="104"/>
      <c r="R2206" s="104"/>
      <c r="S2206" s="104"/>
    </row>
    <row r="2207" spans="4:19">
      <c r="D2207" s="104"/>
      <c r="E2207" s="104"/>
      <c r="F2207" s="104"/>
      <c r="G2207" s="104"/>
      <c r="H2207" s="104"/>
      <c r="I2207" s="104"/>
      <c r="J2207" s="104"/>
      <c r="K2207" s="104"/>
      <c r="L2207" s="104"/>
      <c r="M2207" s="104"/>
      <c r="N2207" s="104"/>
      <c r="O2207" s="104"/>
      <c r="P2207" s="104"/>
      <c r="Q2207" s="104"/>
      <c r="R2207" s="104"/>
      <c r="S2207" s="104"/>
    </row>
    <row r="2208" spans="4:19">
      <c r="D2208" s="104"/>
      <c r="E2208" s="104"/>
      <c r="F2208" s="104"/>
      <c r="G2208" s="104"/>
      <c r="H2208" s="104"/>
      <c r="I2208" s="104"/>
      <c r="J2208" s="104"/>
      <c r="K2208" s="104"/>
      <c r="L2208" s="104"/>
      <c r="M2208" s="104"/>
      <c r="N2208" s="104"/>
      <c r="O2208" s="104"/>
      <c r="P2208" s="104"/>
      <c r="Q2208" s="104"/>
      <c r="R2208" s="104"/>
      <c r="S2208" s="104"/>
    </row>
    <row r="2209" spans="4:19">
      <c r="D2209" s="104"/>
      <c r="E2209" s="104"/>
      <c r="F2209" s="104"/>
      <c r="G2209" s="104"/>
      <c r="H2209" s="104"/>
      <c r="I2209" s="104"/>
      <c r="J2209" s="104"/>
      <c r="K2209" s="104"/>
      <c r="L2209" s="104"/>
      <c r="M2209" s="104"/>
      <c r="N2209" s="104"/>
      <c r="O2209" s="104"/>
      <c r="P2209" s="104"/>
      <c r="Q2209" s="104"/>
      <c r="R2209" s="104"/>
      <c r="S2209" s="104"/>
    </row>
    <row r="2210" spans="4:19">
      <c r="D2210" s="104"/>
      <c r="E2210" s="104"/>
      <c r="F2210" s="104"/>
      <c r="G2210" s="104"/>
      <c r="H2210" s="104"/>
      <c r="I2210" s="104"/>
      <c r="J2210" s="104"/>
      <c r="K2210" s="104"/>
      <c r="L2210" s="104"/>
      <c r="M2210" s="104"/>
      <c r="N2210" s="104"/>
      <c r="O2210" s="104"/>
      <c r="P2210" s="104"/>
      <c r="Q2210" s="104"/>
      <c r="R2210" s="104"/>
      <c r="S2210" s="104"/>
    </row>
    <row r="2211" spans="4:19">
      <c r="D2211" s="104"/>
      <c r="E2211" s="104"/>
      <c r="F2211" s="104"/>
      <c r="G2211" s="104"/>
      <c r="H2211" s="104"/>
      <c r="I2211" s="104"/>
      <c r="J2211" s="104"/>
      <c r="K2211" s="104"/>
      <c r="L2211" s="104"/>
      <c r="M2211" s="104"/>
      <c r="N2211" s="104"/>
      <c r="O2211" s="104"/>
      <c r="P2211" s="104"/>
      <c r="Q2211" s="104"/>
      <c r="R2211" s="104"/>
      <c r="S2211" s="104"/>
    </row>
    <row r="2212" spans="4:19">
      <c r="D2212" s="104"/>
      <c r="E2212" s="104"/>
      <c r="F2212" s="104"/>
      <c r="G2212" s="104"/>
      <c r="H2212" s="104"/>
      <c r="I2212" s="104"/>
      <c r="J2212" s="104"/>
      <c r="K2212" s="104"/>
      <c r="L2212" s="104"/>
      <c r="M2212" s="104"/>
      <c r="N2212" s="104"/>
      <c r="O2212" s="104"/>
      <c r="P2212" s="104"/>
      <c r="Q2212" s="104"/>
      <c r="R2212" s="104"/>
      <c r="S2212" s="104"/>
    </row>
    <row r="2213" spans="4:19">
      <c r="D2213" s="104"/>
      <c r="E2213" s="104"/>
      <c r="F2213" s="104"/>
      <c r="G2213" s="104"/>
      <c r="H2213" s="104"/>
      <c r="I2213" s="104"/>
      <c r="J2213" s="104"/>
      <c r="K2213" s="104"/>
      <c r="L2213" s="104"/>
      <c r="M2213" s="104"/>
      <c r="N2213" s="104"/>
      <c r="O2213" s="104"/>
      <c r="P2213" s="104"/>
      <c r="Q2213" s="104"/>
      <c r="R2213" s="104"/>
      <c r="S2213" s="104"/>
    </row>
    <row r="2214" spans="4:19">
      <c r="D2214" s="104"/>
      <c r="E2214" s="104"/>
      <c r="F2214" s="104"/>
      <c r="G2214" s="104"/>
      <c r="H2214" s="104"/>
      <c r="I2214" s="104"/>
      <c r="J2214" s="104"/>
      <c r="K2214" s="104"/>
      <c r="L2214" s="104"/>
      <c r="M2214" s="104"/>
      <c r="N2214" s="104"/>
      <c r="O2214" s="104"/>
      <c r="P2214" s="104"/>
      <c r="Q2214" s="104"/>
      <c r="R2214" s="104"/>
      <c r="S2214" s="104"/>
    </row>
    <row r="2215" spans="4:19">
      <c r="D2215" s="104"/>
      <c r="E2215" s="104"/>
      <c r="F2215" s="104"/>
      <c r="G2215" s="104"/>
      <c r="H2215" s="104"/>
      <c r="I2215" s="104"/>
      <c r="J2215" s="104"/>
      <c r="K2215" s="104"/>
      <c r="L2215" s="104"/>
      <c r="M2215" s="104"/>
      <c r="N2215" s="104"/>
      <c r="O2215" s="104"/>
      <c r="P2215" s="104"/>
      <c r="Q2215" s="104"/>
      <c r="R2215" s="104"/>
      <c r="S2215" s="104"/>
    </row>
    <row r="2216" spans="4:19">
      <c r="D2216" s="104"/>
      <c r="E2216" s="104"/>
      <c r="F2216" s="104"/>
      <c r="G2216" s="104"/>
      <c r="H2216" s="104"/>
      <c r="I2216" s="104"/>
      <c r="J2216" s="104"/>
      <c r="K2216" s="104"/>
      <c r="L2216" s="104"/>
      <c r="M2216" s="104"/>
      <c r="N2216" s="104"/>
      <c r="O2216" s="104"/>
      <c r="P2216" s="104"/>
      <c r="Q2216" s="104"/>
      <c r="R2216" s="104"/>
      <c r="S2216" s="104"/>
    </row>
    <row r="2217" spans="4:19">
      <c r="D2217" s="104"/>
      <c r="E2217" s="104"/>
      <c r="F2217" s="104"/>
      <c r="G2217" s="104"/>
      <c r="H2217" s="104"/>
      <c r="I2217" s="104"/>
      <c r="J2217" s="104"/>
      <c r="K2217" s="104"/>
      <c r="L2217" s="104"/>
      <c r="M2217" s="104"/>
      <c r="N2217" s="104"/>
      <c r="O2217" s="104"/>
      <c r="P2217" s="104"/>
      <c r="Q2217" s="104"/>
      <c r="R2217" s="104"/>
      <c r="S2217" s="104"/>
    </row>
    <row r="2218" spans="4:19">
      <c r="D2218" s="104"/>
      <c r="E2218" s="104"/>
      <c r="F2218" s="104"/>
      <c r="G2218" s="104"/>
      <c r="H2218" s="104"/>
      <c r="I2218" s="104"/>
      <c r="J2218" s="104"/>
      <c r="K2218" s="104"/>
      <c r="L2218" s="104"/>
      <c r="M2218" s="104"/>
      <c r="N2218" s="104"/>
      <c r="O2218" s="104"/>
      <c r="P2218" s="104"/>
      <c r="Q2218" s="104"/>
      <c r="R2218" s="104"/>
      <c r="S2218" s="104"/>
    </row>
    <row r="2219" spans="4:19">
      <c r="D2219" s="104"/>
      <c r="E2219" s="104"/>
      <c r="F2219" s="104"/>
      <c r="G2219" s="104"/>
      <c r="H2219" s="104"/>
      <c r="I2219" s="104"/>
      <c r="J2219" s="104"/>
      <c r="K2219" s="104"/>
      <c r="L2219" s="104"/>
      <c r="M2219" s="104"/>
      <c r="N2219" s="104"/>
      <c r="O2219" s="104"/>
      <c r="P2219" s="104"/>
      <c r="Q2219" s="104"/>
      <c r="R2219" s="104"/>
      <c r="S2219" s="104"/>
    </row>
    <row r="2220" spans="4:19">
      <c r="D2220" s="104"/>
      <c r="E2220" s="104"/>
      <c r="F2220" s="104"/>
      <c r="G2220" s="104"/>
      <c r="H2220" s="104"/>
      <c r="I2220" s="104"/>
      <c r="J2220" s="104"/>
      <c r="K2220" s="104"/>
      <c r="L2220" s="104"/>
      <c r="M2220" s="104"/>
      <c r="N2220" s="104"/>
      <c r="O2220" s="104"/>
      <c r="P2220" s="104"/>
      <c r="Q2220" s="104"/>
      <c r="R2220" s="104"/>
      <c r="S2220" s="104"/>
    </row>
    <row r="2221" spans="4:19">
      <c r="D2221" s="104"/>
      <c r="E2221" s="104"/>
      <c r="F2221" s="104"/>
      <c r="G2221" s="104"/>
      <c r="H2221" s="104"/>
      <c r="I2221" s="104"/>
      <c r="J2221" s="104"/>
      <c r="K2221" s="104"/>
      <c r="L2221" s="104"/>
      <c r="M2221" s="104"/>
      <c r="N2221" s="104"/>
      <c r="O2221" s="104"/>
      <c r="P2221" s="104"/>
      <c r="Q2221" s="104"/>
      <c r="R2221" s="104"/>
      <c r="S2221" s="104"/>
    </row>
    <row r="2222" spans="4:19">
      <c r="D2222" s="104"/>
      <c r="E2222" s="104"/>
      <c r="F2222" s="104"/>
      <c r="G2222" s="104"/>
      <c r="H2222" s="104"/>
      <c r="I2222" s="104"/>
      <c r="J2222" s="104"/>
      <c r="K2222" s="104"/>
      <c r="L2222" s="104"/>
      <c r="M2222" s="104"/>
      <c r="N2222" s="104"/>
      <c r="O2222" s="104"/>
      <c r="P2222" s="104"/>
      <c r="Q2222" s="104"/>
      <c r="R2222" s="104"/>
      <c r="S2222" s="104"/>
    </row>
    <row r="2223" spans="4:19">
      <c r="D2223" s="104"/>
      <c r="E2223" s="104"/>
      <c r="F2223" s="104"/>
      <c r="G2223" s="104"/>
      <c r="H2223" s="104"/>
      <c r="I2223" s="104"/>
      <c r="J2223" s="104"/>
      <c r="K2223" s="104"/>
      <c r="L2223" s="104"/>
      <c r="M2223" s="104"/>
      <c r="N2223" s="104"/>
      <c r="O2223" s="104"/>
      <c r="P2223" s="104"/>
      <c r="Q2223" s="104"/>
      <c r="R2223" s="104"/>
      <c r="S2223" s="104"/>
    </row>
    <row r="2224" spans="4:19">
      <c r="D2224" s="104"/>
      <c r="E2224" s="104"/>
      <c r="F2224" s="104"/>
      <c r="G2224" s="104"/>
      <c r="H2224" s="104"/>
      <c r="I2224" s="104"/>
      <c r="J2224" s="104"/>
      <c r="K2224" s="104"/>
      <c r="L2224" s="104"/>
      <c r="M2224" s="104"/>
      <c r="N2224" s="104"/>
      <c r="O2224" s="104"/>
      <c r="P2224" s="104"/>
      <c r="Q2224" s="104"/>
      <c r="R2224" s="104"/>
      <c r="S2224" s="104"/>
    </row>
    <row r="2225" spans="4:19">
      <c r="D2225" s="104"/>
      <c r="E2225" s="104"/>
      <c r="F2225" s="104"/>
      <c r="G2225" s="104"/>
      <c r="H2225" s="104"/>
      <c r="I2225" s="104"/>
      <c r="J2225" s="104"/>
      <c r="K2225" s="104"/>
      <c r="L2225" s="104"/>
      <c r="M2225" s="104"/>
      <c r="N2225" s="104"/>
      <c r="O2225" s="104"/>
      <c r="P2225" s="104"/>
      <c r="Q2225" s="104"/>
      <c r="R2225" s="104"/>
      <c r="S2225" s="104"/>
    </row>
    <row r="2226" spans="4:19">
      <c r="D2226" s="104"/>
      <c r="E2226" s="104"/>
      <c r="F2226" s="104"/>
      <c r="G2226" s="104"/>
      <c r="H2226" s="104"/>
      <c r="I2226" s="104"/>
      <c r="J2226" s="104"/>
      <c r="K2226" s="104"/>
      <c r="L2226" s="104"/>
      <c r="M2226" s="104"/>
      <c r="N2226" s="104"/>
      <c r="O2226" s="104"/>
      <c r="P2226" s="104"/>
      <c r="Q2226" s="104"/>
      <c r="R2226" s="104"/>
      <c r="S2226" s="104"/>
    </row>
    <row r="2227" spans="4:19">
      <c r="D2227" s="104"/>
      <c r="E2227" s="104"/>
      <c r="F2227" s="104"/>
      <c r="G2227" s="104"/>
      <c r="H2227" s="104"/>
      <c r="I2227" s="104"/>
      <c r="J2227" s="104"/>
      <c r="K2227" s="104"/>
      <c r="L2227" s="104"/>
      <c r="M2227" s="104"/>
      <c r="N2227" s="104"/>
      <c r="O2227" s="104"/>
      <c r="P2227" s="104"/>
      <c r="Q2227" s="104"/>
      <c r="R2227" s="104"/>
      <c r="S2227" s="104"/>
    </row>
    <row r="2228" spans="4:19">
      <c r="D2228" s="104"/>
      <c r="E2228" s="104"/>
      <c r="F2228" s="104"/>
      <c r="G2228" s="104"/>
      <c r="H2228" s="104"/>
      <c r="I2228" s="104"/>
      <c r="J2228" s="104"/>
      <c r="K2228" s="104"/>
      <c r="L2228" s="104"/>
      <c r="M2228" s="104"/>
      <c r="N2228" s="104"/>
      <c r="O2228" s="104"/>
      <c r="P2228" s="104"/>
      <c r="Q2228" s="104"/>
      <c r="R2228" s="104"/>
      <c r="S2228" s="104"/>
    </row>
    <row r="2229" spans="4:19">
      <c r="D2229" s="104"/>
      <c r="E2229" s="104"/>
      <c r="F2229" s="104"/>
      <c r="G2229" s="104"/>
      <c r="H2229" s="104"/>
      <c r="I2229" s="104"/>
      <c r="J2229" s="104"/>
      <c r="K2229" s="104"/>
      <c r="L2229" s="104"/>
      <c r="M2229" s="104"/>
      <c r="N2229" s="104"/>
      <c r="O2229" s="104"/>
      <c r="P2229" s="104"/>
      <c r="Q2229" s="104"/>
      <c r="R2229" s="104"/>
      <c r="S2229" s="104"/>
    </row>
    <row r="2230" spans="4:19">
      <c r="D2230" s="104"/>
      <c r="E2230" s="104"/>
      <c r="F2230" s="104"/>
      <c r="G2230" s="104"/>
      <c r="H2230" s="104"/>
      <c r="I2230" s="104"/>
      <c r="J2230" s="104"/>
      <c r="K2230" s="104"/>
      <c r="L2230" s="104"/>
      <c r="M2230" s="104"/>
      <c r="N2230" s="104"/>
      <c r="O2230" s="104"/>
      <c r="P2230" s="104"/>
      <c r="Q2230" s="104"/>
      <c r="R2230" s="104"/>
      <c r="S2230" s="104"/>
    </row>
    <row r="2231" spans="4:19">
      <c r="D2231" s="104"/>
      <c r="E2231" s="104"/>
      <c r="F2231" s="104"/>
      <c r="G2231" s="104"/>
      <c r="H2231" s="104"/>
      <c r="I2231" s="104"/>
      <c r="J2231" s="104"/>
      <c r="K2231" s="104"/>
      <c r="L2231" s="104"/>
      <c r="M2231" s="104"/>
      <c r="N2231" s="104"/>
      <c r="O2231" s="104"/>
      <c r="P2231" s="104"/>
      <c r="Q2231" s="104"/>
      <c r="R2231" s="104"/>
      <c r="S2231" s="104"/>
    </row>
    <row r="2232" spans="4:19">
      <c r="D2232" s="104"/>
      <c r="E2232" s="104"/>
      <c r="F2232" s="104"/>
      <c r="G2232" s="104"/>
      <c r="H2232" s="104"/>
      <c r="I2232" s="104"/>
      <c r="J2232" s="104"/>
      <c r="K2232" s="104"/>
      <c r="L2232" s="104"/>
      <c r="M2232" s="104"/>
      <c r="N2232" s="104"/>
      <c r="O2232" s="104"/>
      <c r="P2232" s="104"/>
      <c r="Q2232" s="104"/>
      <c r="R2232" s="104"/>
      <c r="S2232" s="104"/>
    </row>
    <row r="2233" spans="4:19">
      <c r="D2233" s="104"/>
      <c r="E2233" s="104"/>
      <c r="F2233" s="104"/>
      <c r="G2233" s="104"/>
      <c r="H2233" s="104"/>
      <c r="I2233" s="104"/>
      <c r="J2233" s="104"/>
      <c r="K2233" s="104"/>
      <c r="L2233" s="104"/>
      <c r="M2233" s="104"/>
      <c r="N2233" s="104"/>
      <c r="O2233" s="104"/>
      <c r="P2233" s="104"/>
      <c r="Q2233" s="104"/>
      <c r="R2233" s="104"/>
      <c r="S2233" s="104"/>
    </row>
    <row r="2234" spans="4:19">
      <c r="D2234" s="104"/>
      <c r="E2234" s="104"/>
      <c r="F2234" s="104"/>
      <c r="G2234" s="104"/>
      <c r="H2234" s="104"/>
      <c r="I2234" s="104"/>
      <c r="J2234" s="104"/>
      <c r="K2234" s="104"/>
      <c r="L2234" s="104"/>
      <c r="M2234" s="104"/>
      <c r="N2234" s="104"/>
      <c r="O2234" s="104"/>
      <c r="P2234" s="104"/>
      <c r="Q2234" s="104"/>
      <c r="R2234" s="104"/>
      <c r="S2234" s="104"/>
    </row>
    <row r="2235" spans="4:19">
      <c r="D2235" s="104"/>
      <c r="E2235" s="104"/>
      <c r="F2235" s="104"/>
      <c r="G2235" s="104"/>
      <c r="H2235" s="104"/>
      <c r="I2235" s="104"/>
      <c r="J2235" s="104"/>
      <c r="K2235" s="104"/>
      <c r="L2235" s="104"/>
      <c r="M2235" s="104"/>
      <c r="N2235" s="104"/>
      <c r="O2235" s="104"/>
      <c r="P2235" s="104"/>
      <c r="Q2235" s="104"/>
      <c r="R2235" s="104"/>
      <c r="S2235" s="104"/>
    </row>
    <row r="2236" spans="4:19">
      <c r="D2236" s="104"/>
      <c r="E2236" s="104"/>
      <c r="F2236" s="104"/>
      <c r="G2236" s="104"/>
      <c r="H2236" s="104"/>
      <c r="I2236" s="104"/>
      <c r="J2236" s="104"/>
      <c r="K2236" s="104"/>
      <c r="L2236" s="104"/>
      <c r="M2236" s="104"/>
      <c r="N2236" s="104"/>
      <c r="O2236" s="104"/>
      <c r="P2236" s="104"/>
      <c r="Q2236" s="104"/>
      <c r="R2236" s="104"/>
      <c r="S2236" s="104"/>
    </row>
    <row r="2237" spans="4:19">
      <c r="D2237" s="104"/>
      <c r="E2237" s="104"/>
      <c r="F2237" s="104"/>
      <c r="G2237" s="104"/>
      <c r="H2237" s="104"/>
      <c r="I2237" s="104"/>
      <c r="J2237" s="104"/>
      <c r="K2237" s="104"/>
      <c r="L2237" s="104"/>
      <c r="M2237" s="104"/>
      <c r="N2237" s="104"/>
      <c r="O2237" s="104"/>
      <c r="P2237" s="104"/>
      <c r="Q2237" s="104"/>
      <c r="R2237" s="104"/>
      <c r="S2237" s="104"/>
    </row>
    <row r="2238" spans="4:19">
      <c r="D2238" s="104"/>
      <c r="E2238" s="104"/>
      <c r="F2238" s="104"/>
      <c r="G2238" s="104"/>
      <c r="H2238" s="104"/>
      <c r="I2238" s="104"/>
      <c r="J2238" s="104"/>
      <c r="K2238" s="104"/>
      <c r="L2238" s="104"/>
      <c r="M2238" s="104"/>
      <c r="N2238" s="104"/>
      <c r="O2238" s="104"/>
      <c r="P2238" s="104"/>
      <c r="Q2238" s="104"/>
      <c r="R2238" s="104"/>
      <c r="S2238" s="104"/>
    </row>
    <row r="2239" spans="4:19">
      <c r="D2239" s="104"/>
      <c r="E2239" s="104"/>
      <c r="F2239" s="104"/>
      <c r="G2239" s="104"/>
      <c r="H2239" s="104"/>
      <c r="I2239" s="104"/>
      <c r="J2239" s="104"/>
      <c r="K2239" s="104"/>
      <c r="L2239" s="104"/>
      <c r="M2239" s="104"/>
      <c r="N2239" s="104"/>
      <c r="O2239" s="104"/>
      <c r="P2239" s="104"/>
      <c r="Q2239" s="104"/>
      <c r="R2239" s="104"/>
      <c r="S2239" s="104"/>
    </row>
    <row r="2240" spans="4:19">
      <c r="D2240" s="104"/>
      <c r="E2240" s="104"/>
      <c r="F2240" s="104"/>
      <c r="G2240" s="104"/>
      <c r="H2240" s="104"/>
      <c r="I2240" s="104"/>
      <c r="J2240" s="104"/>
      <c r="K2240" s="104"/>
      <c r="L2240" s="104"/>
      <c r="M2240" s="104"/>
      <c r="N2240" s="104"/>
      <c r="O2240" s="104"/>
      <c r="P2240" s="104"/>
      <c r="Q2240" s="104"/>
      <c r="R2240" s="104"/>
      <c r="S2240" s="104"/>
    </row>
    <row r="2241" spans="4:19">
      <c r="D2241" s="104"/>
      <c r="E2241" s="104"/>
      <c r="F2241" s="104"/>
      <c r="G2241" s="104"/>
      <c r="H2241" s="104"/>
      <c r="I2241" s="104"/>
      <c r="J2241" s="104"/>
      <c r="K2241" s="104"/>
      <c r="L2241" s="104"/>
      <c r="M2241" s="104"/>
      <c r="N2241" s="104"/>
      <c r="O2241" s="104"/>
      <c r="P2241" s="104"/>
      <c r="Q2241" s="104"/>
      <c r="R2241" s="104"/>
      <c r="S2241" s="104"/>
    </row>
    <row r="2242" spans="4:19">
      <c r="D2242" s="104"/>
      <c r="E2242" s="104"/>
      <c r="F2242" s="104"/>
      <c r="G2242" s="104"/>
      <c r="H2242" s="104"/>
      <c r="I2242" s="104"/>
      <c r="J2242" s="104"/>
      <c r="K2242" s="104"/>
      <c r="L2242" s="104"/>
      <c r="M2242" s="104"/>
      <c r="N2242" s="104"/>
      <c r="O2242" s="104"/>
      <c r="P2242" s="104"/>
      <c r="Q2242" s="104"/>
      <c r="R2242" s="104"/>
      <c r="S2242" s="104"/>
    </row>
    <row r="2243" spans="4:19">
      <c r="D2243" s="104"/>
      <c r="E2243" s="104"/>
      <c r="F2243" s="104"/>
      <c r="G2243" s="104"/>
      <c r="H2243" s="104"/>
      <c r="I2243" s="104"/>
      <c r="J2243" s="104"/>
      <c r="K2243" s="104"/>
      <c r="L2243" s="104"/>
      <c r="M2243" s="104"/>
      <c r="N2243" s="104"/>
      <c r="O2243" s="104"/>
      <c r="P2243" s="104"/>
      <c r="Q2243" s="104"/>
      <c r="R2243" s="104"/>
      <c r="S2243" s="104"/>
    </row>
    <row r="2244" spans="4:19">
      <c r="D2244" s="104"/>
      <c r="E2244" s="104"/>
      <c r="F2244" s="104"/>
      <c r="G2244" s="104"/>
      <c r="H2244" s="104"/>
      <c r="I2244" s="104"/>
      <c r="J2244" s="104"/>
      <c r="K2244" s="104"/>
      <c r="L2244" s="104"/>
      <c r="M2244" s="104"/>
      <c r="N2244" s="104"/>
      <c r="O2244" s="104"/>
      <c r="P2244" s="104"/>
      <c r="Q2244" s="104"/>
      <c r="R2244" s="104"/>
      <c r="S2244" s="104"/>
    </row>
    <row r="2245" spans="4:19">
      <c r="D2245" s="104"/>
      <c r="E2245" s="104"/>
      <c r="F2245" s="104"/>
      <c r="G2245" s="104"/>
      <c r="H2245" s="104"/>
      <c r="I2245" s="104"/>
      <c r="J2245" s="104"/>
      <c r="K2245" s="104"/>
      <c r="L2245" s="104"/>
      <c r="M2245" s="104"/>
      <c r="N2245" s="104"/>
      <c r="O2245" s="104"/>
      <c r="P2245" s="104"/>
      <c r="Q2245" s="104"/>
      <c r="R2245" s="104"/>
      <c r="S2245" s="104"/>
    </row>
    <row r="2246" spans="4:19">
      <c r="D2246" s="104"/>
      <c r="E2246" s="104"/>
      <c r="F2246" s="104"/>
      <c r="G2246" s="104"/>
      <c r="H2246" s="104"/>
      <c r="I2246" s="104"/>
      <c r="J2246" s="104"/>
      <c r="K2246" s="104"/>
      <c r="L2246" s="104"/>
      <c r="M2246" s="104"/>
      <c r="N2246" s="104"/>
      <c r="O2246" s="104"/>
      <c r="P2246" s="104"/>
      <c r="Q2246" s="104"/>
      <c r="R2246" s="104"/>
      <c r="S2246" s="104"/>
    </row>
    <row r="2247" spans="4:19">
      <c r="D2247" s="104"/>
      <c r="E2247" s="104"/>
      <c r="F2247" s="104"/>
      <c r="G2247" s="104"/>
      <c r="H2247" s="104"/>
      <c r="I2247" s="104"/>
      <c r="J2247" s="104"/>
      <c r="K2247" s="104"/>
      <c r="L2247" s="104"/>
      <c r="M2247" s="104"/>
      <c r="N2247" s="104"/>
      <c r="O2247" s="104"/>
      <c r="P2247" s="104"/>
      <c r="Q2247" s="104"/>
      <c r="R2247" s="104"/>
      <c r="S2247" s="104"/>
    </row>
    <row r="2248" spans="4:19">
      <c r="D2248" s="104"/>
      <c r="E2248" s="104"/>
      <c r="F2248" s="104"/>
      <c r="G2248" s="104"/>
      <c r="H2248" s="104"/>
      <c r="I2248" s="104"/>
      <c r="J2248" s="104"/>
      <c r="K2248" s="104"/>
      <c r="L2248" s="104"/>
      <c r="M2248" s="104"/>
      <c r="N2248" s="104"/>
      <c r="O2248" s="104"/>
      <c r="P2248" s="104"/>
      <c r="Q2248" s="104"/>
      <c r="R2248" s="104"/>
      <c r="S2248" s="104"/>
    </row>
    <row r="2249" spans="4:19">
      <c r="D2249" s="104"/>
      <c r="E2249" s="104"/>
      <c r="F2249" s="104"/>
      <c r="G2249" s="104"/>
      <c r="H2249" s="104"/>
      <c r="I2249" s="104"/>
      <c r="J2249" s="104"/>
      <c r="K2249" s="104"/>
      <c r="L2249" s="104"/>
      <c r="M2249" s="104"/>
      <c r="N2249" s="104"/>
      <c r="O2249" s="104"/>
      <c r="P2249" s="104"/>
      <c r="Q2249" s="104"/>
      <c r="R2249" s="104"/>
      <c r="S2249" s="104"/>
    </row>
    <row r="2250" spans="4:19">
      <c r="D2250" s="104"/>
      <c r="E2250" s="104"/>
      <c r="F2250" s="104"/>
      <c r="G2250" s="104"/>
      <c r="H2250" s="104"/>
      <c r="I2250" s="104"/>
      <c r="J2250" s="104"/>
      <c r="K2250" s="104"/>
      <c r="L2250" s="104"/>
      <c r="M2250" s="104"/>
      <c r="N2250" s="104"/>
      <c r="O2250" s="104"/>
      <c r="P2250" s="104"/>
      <c r="Q2250" s="104"/>
      <c r="R2250" s="104"/>
      <c r="S2250" s="104"/>
    </row>
    <row r="2251" spans="4:19">
      <c r="D2251" s="104"/>
      <c r="E2251" s="104"/>
      <c r="F2251" s="104"/>
      <c r="G2251" s="104"/>
      <c r="H2251" s="104"/>
      <c r="I2251" s="104"/>
      <c r="J2251" s="104"/>
      <c r="K2251" s="104"/>
      <c r="L2251" s="104"/>
      <c r="M2251" s="104"/>
      <c r="N2251" s="104"/>
      <c r="O2251" s="104"/>
      <c r="P2251" s="104"/>
      <c r="Q2251" s="104"/>
      <c r="R2251" s="104"/>
      <c r="S2251" s="104"/>
    </row>
    <row r="2252" spans="4:19">
      <c r="D2252" s="104"/>
      <c r="E2252" s="104"/>
      <c r="F2252" s="104"/>
      <c r="G2252" s="104"/>
      <c r="H2252" s="104"/>
      <c r="I2252" s="104"/>
      <c r="J2252" s="104"/>
      <c r="K2252" s="104"/>
      <c r="L2252" s="104"/>
      <c r="M2252" s="104"/>
      <c r="N2252" s="104"/>
      <c r="O2252" s="104"/>
      <c r="P2252" s="104"/>
      <c r="Q2252" s="104"/>
      <c r="R2252" s="104"/>
      <c r="S2252" s="104"/>
    </row>
    <row r="2253" spans="4:19">
      <c r="D2253" s="104"/>
      <c r="E2253" s="104"/>
      <c r="F2253" s="104"/>
      <c r="G2253" s="104"/>
      <c r="H2253" s="104"/>
      <c r="I2253" s="104"/>
      <c r="J2253" s="104"/>
      <c r="K2253" s="104"/>
      <c r="L2253" s="104"/>
      <c r="M2253" s="104"/>
      <c r="N2253" s="104"/>
      <c r="O2253" s="104"/>
      <c r="P2253" s="104"/>
      <c r="Q2253" s="104"/>
      <c r="R2253" s="104"/>
      <c r="S2253" s="104"/>
    </row>
    <row r="2254" spans="4:19">
      <c r="D2254" s="104"/>
      <c r="E2254" s="104"/>
      <c r="F2254" s="104"/>
      <c r="G2254" s="104"/>
      <c r="H2254" s="104"/>
      <c r="I2254" s="104"/>
      <c r="J2254" s="104"/>
      <c r="K2254" s="104"/>
      <c r="L2254" s="104"/>
      <c r="M2254" s="104"/>
      <c r="N2254" s="104"/>
      <c r="O2254" s="104"/>
      <c r="P2254" s="104"/>
      <c r="Q2254" s="104"/>
      <c r="R2254" s="104"/>
      <c r="S2254" s="104"/>
    </row>
    <row r="2255" spans="4:19">
      <c r="D2255" s="104"/>
      <c r="E2255" s="104"/>
      <c r="F2255" s="104"/>
      <c r="G2255" s="104"/>
      <c r="H2255" s="104"/>
      <c r="I2255" s="104"/>
      <c r="J2255" s="104"/>
      <c r="K2255" s="104"/>
      <c r="L2255" s="104"/>
      <c r="M2255" s="104"/>
      <c r="N2255" s="104"/>
      <c r="O2255" s="104"/>
      <c r="P2255" s="104"/>
      <c r="Q2255" s="104"/>
      <c r="R2255" s="104"/>
      <c r="S2255" s="104"/>
    </row>
    <row r="2256" spans="4:19">
      <c r="D2256" s="104"/>
      <c r="E2256" s="104"/>
      <c r="F2256" s="104"/>
      <c r="G2256" s="104"/>
      <c r="H2256" s="104"/>
      <c r="I2256" s="104"/>
      <c r="J2256" s="104"/>
      <c r="K2256" s="104"/>
      <c r="L2256" s="104"/>
      <c r="M2256" s="104"/>
      <c r="N2256" s="104"/>
      <c r="O2256" s="104"/>
      <c r="P2256" s="104"/>
      <c r="Q2256" s="104"/>
      <c r="R2256" s="104"/>
      <c r="S2256" s="104"/>
    </row>
    <row r="2257" spans="4:19">
      <c r="D2257" s="104"/>
      <c r="E2257" s="104"/>
      <c r="F2257" s="104"/>
      <c r="G2257" s="104"/>
      <c r="H2257" s="104"/>
      <c r="I2257" s="104"/>
      <c r="J2257" s="104"/>
      <c r="K2257" s="104"/>
      <c r="L2257" s="104"/>
      <c r="M2257" s="104"/>
      <c r="N2257" s="104"/>
      <c r="O2257" s="104"/>
      <c r="P2257" s="104"/>
      <c r="Q2257" s="104"/>
      <c r="R2257" s="104"/>
      <c r="S2257" s="104"/>
    </row>
    <row r="2258" spans="4:19">
      <c r="D2258" s="104"/>
      <c r="E2258" s="104"/>
      <c r="F2258" s="104"/>
      <c r="G2258" s="104"/>
      <c r="H2258" s="104"/>
      <c r="I2258" s="104"/>
      <c r="J2258" s="104"/>
      <c r="K2258" s="104"/>
      <c r="L2258" s="104"/>
      <c r="M2258" s="104"/>
      <c r="N2258" s="104"/>
      <c r="O2258" s="104"/>
      <c r="P2258" s="104"/>
      <c r="Q2258" s="104"/>
      <c r="R2258" s="104"/>
      <c r="S2258" s="104"/>
    </row>
    <row r="2259" spans="4:19">
      <c r="D2259" s="104"/>
      <c r="E2259" s="104"/>
      <c r="F2259" s="104"/>
      <c r="G2259" s="104"/>
      <c r="H2259" s="104"/>
      <c r="I2259" s="104"/>
      <c r="J2259" s="104"/>
      <c r="K2259" s="104"/>
      <c r="L2259" s="104"/>
      <c r="M2259" s="104"/>
      <c r="N2259" s="104"/>
      <c r="O2259" s="104"/>
      <c r="P2259" s="104"/>
      <c r="Q2259" s="104"/>
      <c r="R2259" s="104"/>
      <c r="S2259" s="104"/>
    </row>
    <row r="2260" spans="4:19">
      <c r="D2260" s="104"/>
      <c r="E2260" s="104"/>
      <c r="F2260" s="104"/>
      <c r="G2260" s="104"/>
      <c r="H2260" s="104"/>
      <c r="I2260" s="104"/>
      <c r="J2260" s="104"/>
      <c r="K2260" s="104"/>
      <c r="L2260" s="104"/>
      <c r="M2260" s="104"/>
      <c r="N2260" s="104"/>
      <c r="O2260" s="104"/>
      <c r="P2260" s="104"/>
      <c r="Q2260" s="104"/>
      <c r="R2260" s="104"/>
      <c r="S2260" s="104"/>
    </row>
    <row r="2261" spans="4:19">
      <c r="D2261" s="104"/>
      <c r="E2261" s="104"/>
      <c r="F2261" s="104"/>
      <c r="G2261" s="104"/>
      <c r="H2261" s="104"/>
      <c r="I2261" s="104"/>
      <c r="J2261" s="104"/>
      <c r="K2261" s="104"/>
      <c r="L2261" s="104"/>
      <c r="M2261" s="104"/>
      <c r="N2261" s="104"/>
      <c r="O2261" s="104"/>
      <c r="P2261" s="104"/>
      <c r="Q2261" s="104"/>
      <c r="R2261" s="104"/>
      <c r="S2261" s="104"/>
    </row>
    <row r="2262" spans="4:19">
      <c r="D2262" s="104"/>
      <c r="E2262" s="104"/>
      <c r="F2262" s="104"/>
      <c r="G2262" s="104"/>
      <c r="H2262" s="104"/>
      <c r="I2262" s="104"/>
      <c r="J2262" s="104"/>
      <c r="K2262" s="104"/>
      <c r="L2262" s="104"/>
      <c r="M2262" s="104"/>
      <c r="N2262" s="104"/>
      <c r="O2262" s="104"/>
      <c r="P2262" s="104"/>
      <c r="Q2262" s="104"/>
      <c r="R2262" s="104"/>
      <c r="S2262" s="104"/>
    </row>
    <row r="2263" spans="4:19">
      <c r="D2263" s="104"/>
      <c r="E2263" s="104"/>
      <c r="F2263" s="104"/>
      <c r="G2263" s="104"/>
      <c r="H2263" s="104"/>
      <c r="I2263" s="104"/>
      <c r="J2263" s="104"/>
      <c r="K2263" s="104"/>
      <c r="L2263" s="104"/>
      <c r="M2263" s="104"/>
      <c r="N2263" s="104"/>
      <c r="O2263" s="104"/>
      <c r="P2263" s="104"/>
      <c r="Q2263" s="104"/>
      <c r="R2263" s="104"/>
      <c r="S2263" s="104"/>
    </row>
    <row r="2264" spans="4:19">
      <c r="D2264" s="104"/>
      <c r="E2264" s="104"/>
      <c r="F2264" s="104"/>
      <c r="G2264" s="104"/>
      <c r="H2264" s="104"/>
      <c r="I2264" s="104"/>
      <c r="J2264" s="104"/>
      <c r="K2264" s="104"/>
      <c r="L2264" s="104"/>
      <c r="M2264" s="104"/>
      <c r="N2264" s="104"/>
      <c r="O2264" s="104"/>
      <c r="P2264" s="104"/>
      <c r="Q2264" s="104"/>
      <c r="R2264" s="104"/>
      <c r="S2264" s="104"/>
    </row>
    <row r="2265" spans="4:19">
      <c r="D2265" s="104"/>
      <c r="E2265" s="104"/>
      <c r="F2265" s="104"/>
      <c r="G2265" s="104"/>
      <c r="H2265" s="104"/>
      <c r="I2265" s="104"/>
      <c r="J2265" s="104"/>
      <c r="K2265" s="104"/>
      <c r="L2265" s="104"/>
      <c r="M2265" s="104"/>
      <c r="N2265" s="104"/>
      <c r="O2265" s="104"/>
      <c r="P2265" s="104"/>
      <c r="Q2265" s="104"/>
      <c r="R2265" s="104"/>
      <c r="S2265" s="104"/>
    </row>
    <row r="2266" spans="4:19">
      <c r="D2266" s="104"/>
      <c r="E2266" s="104"/>
      <c r="F2266" s="104"/>
      <c r="G2266" s="104"/>
      <c r="H2266" s="104"/>
      <c r="I2266" s="104"/>
      <c r="J2266" s="104"/>
      <c r="K2266" s="104"/>
      <c r="L2266" s="104"/>
      <c r="M2266" s="104"/>
      <c r="N2266" s="104"/>
      <c r="O2266" s="104"/>
      <c r="P2266" s="104"/>
      <c r="Q2266" s="104"/>
      <c r="R2266" s="104"/>
      <c r="S2266" s="104"/>
    </row>
    <row r="2267" spans="4:19">
      <c r="D2267" s="104"/>
      <c r="E2267" s="104"/>
      <c r="F2267" s="104"/>
      <c r="G2267" s="104"/>
      <c r="H2267" s="104"/>
      <c r="I2267" s="104"/>
      <c r="J2267" s="104"/>
      <c r="K2267" s="104"/>
      <c r="L2267" s="104"/>
      <c r="M2267" s="104"/>
      <c r="N2267" s="104"/>
      <c r="O2267" s="104"/>
      <c r="P2267" s="104"/>
      <c r="Q2267" s="104"/>
      <c r="R2267" s="104"/>
      <c r="S2267" s="104"/>
    </row>
    <row r="2268" spans="4:19">
      <c r="D2268" s="104"/>
      <c r="E2268" s="104"/>
      <c r="F2268" s="104"/>
      <c r="G2268" s="104"/>
      <c r="H2268" s="104"/>
      <c r="I2268" s="104"/>
      <c r="J2268" s="104"/>
      <c r="K2268" s="104"/>
      <c r="L2268" s="104"/>
      <c r="M2268" s="104"/>
      <c r="N2268" s="104"/>
      <c r="O2268" s="104"/>
      <c r="P2268" s="104"/>
      <c r="Q2268" s="104"/>
      <c r="R2268" s="104"/>
      <c r="S2268" s="104"/>
    </row>
    <row r="2269" spans="4:19">
      <c r="D2269" s="104"/>
      <c r="E2269" s="104"/>
      <c r="F2269" s="104"/>
      <c r="G2269" s="104"/>
      <c r="H2269" s="104"/>
      <c r="I2269" s="104"/>
      <c r="J2269" s="104"/>
      <c r="K2269" s="104"/>
      <c r="L2269" s="104"/>
      <c r="M2269" s="104"/>
      <c r="N2269" s="104"/>
      <c r="O2269" s="104"/>
      <c r="P2269" s="104"/>
      <c r="Q2269" s="104"/>
      <c r="R2269" s="104"/>
      <c r="S2269" s="104"/>
    </row>
    <row r="2270" spans="4:19">
      <c r="D2270" s="104"/>
      <c r="E2270" s="104"/>
      <c r="F2270" s="104"/>
      <c r="G2270" s="104"/>
      <c r="H2270" s="104"/>
      <c r="I2270" s="104"/>
      <c r="J2270" s="104"/>
      <c r="K2270" s="104"/>
      <c r="L2270" s="104"/>
      <c r="M2270" s="104"/>
      <c r="N2270" s="104"/>
      <c r="O2270" s="104"/>
      <c r="P2270" s="104"/>
      <c r="Q2270" s="104"/>
      <c r="R2270" s="104"/>
      <c r="S2270" s="104"/>
    </row>
    <row r="2271" spans="4:19">
      <c r="D2271" s="104"/>
      <c r="E2271" s="104"/>
      <c r="F2271" s="104"/>
      <c r="G2271" s="104"/>
      <c r="H2271" s="104"/>
      <c r="I2271" s="104"/>
      <c r="J2271" s="104"/>
      <c r="K2271" s="104"/>
      <c r="L2271" s="104"/>
      <c r="M2271" s="104"/>
      <c r="N2271" s="104"/>
      <c r="O2271" s="104"/>
      <c r="P2271" s="104"/>
      <c r="Q2271" s="104"/>
      <c r="R2271" s="104"/>
      <c r="S2271" s="104"/>
    </row>
    <row r="2272" spans="4:19">
      <c r="D2272" s="104"/>
      <c r="E2272" s="104"/>
      <c r="F2272" s="104"/>
      <c r="G2272" s="104"/>
      <c r="H2272" s="104"/>
      <c r="I2272" s="104"/>
      <c r="J2272" s="104"/>
      <c r="K2272" s="104"/>
      <c r="L2272" s="104"/>
      <c r="M2272" s="104"/>
      <c r="N2272" s="104"/>
      <c r="O2272" s="104"/>
      <c r="P2272" s="104"/>
      <c r="Q2272" s="104"/>
      <c r="R2272" s="104"/>
      <c r="S2272" s="104"/>
    </row>
    <row r="2273" spans="4:19">
      <c r="D2273" s="104"/>
      <c r="E2273" s="104"/>
      <c r="F2273" s="104"/>
      <c r="G2273" s="104"/>
      <c r="H2273" s="104"/>
      <c r="I2273" s="104"/>
      <c r="J2273" s="104"/>
      <c r="K2273" s="104"/>
      <c r="L2273" s="104"/>
      <c r="M2273" s="104"/>
      <c r="N2273" s="104"/>
      <c r="O2273" s="104"/>
      <c r="P2273" s="104"/>
      <c r="Q2273" s="104"/>
      <c r="R2273" s="104"/>
      <c r="S2273" s="104"/>
    </row>
    <row r="2274" spans="4:19">
      <c r="D2274" s="104"/>
      <c r="E2274" s="104"/>
      <c r="F2274" s="104"/>
      <c r="G2274" s="104"/>
      <c r="H2274" s="104"/>
      <c r="I2274" s="104"/>
      <c r="J2274" s="104"/>
      <c r="K2274" s="104"/>
      <c r="L2274" s="104"/>
      <c r="M2274" s="104"/>
      <c r="N2274" s="104"/>
      <c r="O2274" s="104"/>
      <c r="P2274" s="104"/>
      <c r="Q2274" s="104"/>
      <c r="R2274" s="104"/>
      <c r="S2274" s="104"/>
    </row>
    <row r="2275" spans="4:19">
      <c r="D2275" s="104"/>
      <c r="E2275" s="104"/>
      <c r="F2275" s="104"/>
      <c r="G2275" s="104"/>
      <c r="H2275" s="104"/>
      <c r="I2275" s="104"/>
      <c r="J2275" s="104"/>
      <c r="K2275" s="104"/>
      <c r="L2275" s="104"/>
      <c r="M2275" s="104"/>
      <c r="N2275" s="104"/>
      <c r="O2275" s="104"/>
      <c r="P2275" s="104"/>
      <c r="Q2275" s="104"/>
      <c r="R2275" s="104"/>
      <c r="S2275" s="104"/>
    </row>
    <row r="2276" spans="4:19">
      <c r="D2276" s="104"/>
      <c r="E2276" s="104"/>
      <c r="F2276" s="104"/>
      <c r="G2276" s="104"/>
      <c r="H2276" s="104"/>
      <c r="I2276" s="104"/>
      <c r="J2276" s="104"/>
      <c r="K2276" s="104"/>
      <c r="L2276" s="104"/>
      <c r="M2276" s="104"/>
      <c r="N2276" s="104"/>
      <c r="O2276" s="104"/>
      <c r="P2276" s="104"/>
      <c r="Q2276" s="104"/>
      <c r="R2276" s="104"/>
      <c r="S2276" s="104"/>
    </row>
    <row r="2277" spans="4:19">
      <c r="D2277" s="104"/>
      <c r="E2277" s="104"/>
      <c r="F2277" s="104"/>
      <c r="G2277" s="104"/>
      <c r="H2277" s="104"/>
      <c r="I2277" s="104"/>
      <c r="J2277" s="104"/>
      <c r="K2277" s="104"/>
      <c r="L2277" s="104"/>
      <c r="M2277" s="104"/>
      <c r="N2277" s="104"/>
      <c r="O2277" s="104"/>
      <c r="P2277" s="104"/>
      <c r="Q2277" s="104"/>
      <c r="R2277" s="104"/>
      <c r="S2277" s="104"/>
    </row>
    <row r="2278" spans="4:19">
      <c r="D2278" s="104"/>
      <c r="E2278" s="104"/>
      <c r="F2278" s="104"/>
      <c r="G2278" s="104"/>
      <c r="H2278" s="104"/>
      <c r="I2278" s="104"/>
      <c r="J2278" s="104"/>
      <c r="K2278" s="104"/>
      <c r="L2278" s="104"/>
      <c r="M2278" s="104"/>
      <c r="N2278" s="104"/>
      <c r="O2278" s="104"/>
      <c r="P2278" s="104"/>
      <c r="Q2278" s="104"/>
      <c r="R2278" s="104"/>
      <c r="S2278" s="104"/>
    </row>
    <row r="2279" spans="4:19">
      <c r="D2279" s="104"/>
      <c r="E2279" s="104"/>
      <c r="F2279" s="104"/>
      <c r="G2279" s="104"/>
      <c r="H2279" s="104"/>
      <c r="I2279" s="104"/>
      <c r="J2279" s="104"/>
      <c r="K2279" s="104"/>
      <c r="L2279" s="104"/>
      <c r="M2279" s="104"/>
      <c r="N2279" s="104"/>
      <c r="O2279" s="104"/>
      <c r="P2279" s="104"/>
      <c r="Q2279" s="104"/>
      <c r="R2279" s="104"/>
      <c r="S2279" s="104"/>
    </row>
    <row r="2280" spans="4:19">
      <c r="D2280" s="104"/>
      <c r="E2280" s="104"/>
      <c r="F2280" s="104"/>
      <c r="G2280" s="104"/>
      <c r="H2280" s="104"/>
      <c r="I2280" s="104"/>
      <c r="J2280" s="104"/>
      <c r="K2280" s="104"/>
      <c r="L2280" s="104"/>
      <c r="M2280" s="104"/>
      <c r="N2280" s="104"/>
      <c r="O2280" s="104"/>
      <c r="P2280" s="104"/>
      <c r="Q2280" s="104"/>
      <c r="R2280" s="104"/>
      <c r="S2280" s="104"/>
    </row>
    <row r="2281" spans="4:19">
      <c r="D2281" s="104"/>
      <c r="E2281" s="104"/>
      <c r="F2281" s="104"/>
      <c r="G2281" s="104"/>
      <c r="H2281" s="104"/>
      <c r="I2281" s="104"/>
      <c r="J2281" s="104"/>
      <c r="K2281" s="104"/>
      <c r="L2281" s="104"/>
      <c r="M2281" s="104"/>
      <c r="N2281" s="104"/>
      <c r="O2281" s="104"/>
      <c r="P2281" s="104"/>
      <c r="Q2281" s="104"/>
      <c r="R2281" s="104"/>
      <c r="S2281" s="104"/>
    </row>
    <row r="2282" spans="4:19">
      <c r="D2282" s="104"/>
      <c r="E2282" s="104"/>
      <c r="F2282" s="104"/>
      <c r="G2282" s="104"/>
      <c r="H2282" s="104"/>
      <c r="I2282" s="104"/>
      <c r="J2282" s="104"/>
      <c r="K2282" s="104"/>
      <c r="L2282" s="104"/>
      <c r="M2282" s="104"/>
      <c r="N2282" s="104"/>
      <c r="O2282" s="104"/>
      <c r="P2282" s="104"/>
      <c r="Q2282" s="104"/>
      <c r="R2282" s="104"/>
      <c r="S2282" s="104"/>
    </row>
    <row r="2283" spans="4:19">
      <c r="D2283" s="104"/>
      <c r="E2283" s="104"/>
      <c r="F2283" s="104"/>
      <c r="G2283" s="104"/>
      <c r="H2283" s="104"/>
      <c r="I2283" s="104"/>
      <c r="J2283" s="104"/>
      <c r="K2283" s="104"/>
      <c r="L2283" s="104"/>
      <c r="M2283" s="104"/>
      <c r="N2283" s="104"/>
      <c r="O2283" s="104"/>
      <c r="P2283" s="104"/>
      <c r="Q2283" s="104"/>
      <c r="R2283" s="104"/>
      <c r="S2283" s="104"/>
    </row>
    <row r="2284" spans="4:19">
      <c r="D2284" s="104"/>
      <c r="E2284" s="104"/>
      <c r="F2284" s="104"/>
      <c r="G2284" s="104"/>
      <c r="H2284" s="104"/>
      <c r="I2284" s="104"/>
      <c r="J2284" s="104"/>
      <c r="K2284" s="104"/>
      <c r="L2284" s="104"/>
      <c r="M2284" s="104"/>
      <c r="N2284" s="104"/>
      <c r="O2284" s="104"/>
      <c r="P2284" s="104"/>
      <c r="Q2284" s="104"/>
      <c r="R2284" s="104"/>
      <c r="S2284" s="104"/>
    </row>
    <row r="2285" spans="4:19">
      <c r="D2285" s="104"/>
      <c r="E2285" s="104"/>
      <c r="F2285" s="104"/>
      <c r="G2285" s="104"/>
      <c r="H2285" s="104"/>
      <c r="I2285" s="104"/>
      <c r="J2285" s="104"/>
      <c r="K2285" s="104"/>
      <c r="L2285" s="104"/>
      <c r="M2285" s="104"/>
      <c r="N2285" s="104"/>
      <c r="O2285" s="104"/>
      <c r="P2285" s="104"/>
      <c r="Q2285" s="104"/>
      <c r="R2285" s="104"/>
      <c r="S2285" s="104"/>
    </row>
    <row r="2286" spans="4:19">
      <c r="D2286" s="104"/>
      <c r="E2286" s="104"/>
      <c r="F2286" s="104"/>
      <c r="G2286" s="104"/>
      <c r="H2286" s="104"/>
      <c r="I2286" s="104"/>
      <c r="J2286" s="104"/>
      <c r="K2286" s="104"/>
      <c r="L2286" s="104"/>
      <c r="M2286" s="104"/>
      <c r="N2286" s="104"/>
      <c r="O2286" s="104"/>
      <c r="P2286" s="104"/>
      <c r="Q2286" s="104"/>
      <c r="R2286" s="104"/>
      <c r="S2286" s="104"/>
    </row>
    <row r="2287" spans="4:19">
      <c r="D2287" s="104"/>
      <c r="E2287" s="104"/>
      <c r="F2287" s="104"/>
      <c r="G2287" s="104"/>
      <c r="H2287" s="104"/>
      <c r="I2287" s="104"/>
      <c r="J2287" s="104"/>
      <c r="K2287" s="104"/>
      <c r="L2287" s="104"/>
      <c r="M2287" s="104"/>
      <c r="N2287" s="104"/>
      <c r="O2287" s="104"/>
      <c r="P2287" s="104"/>
      <c r="Q2287" s="104"/>
      <c r="R2287" s="104"/>
      <c r="S2287" s="104"/>
    </row>
    <row r="2288" spans="4:19">
      <c r="D2288" s="104"/>
      <c r="E2288" s="104"/>
      <c r="F2288" s="104"/>
      <c r="G2288" s="104"/>
      <c r="H2288" s="104"/>
      <c r="I2288" s="104"/>
      <c r="J2288" s="104"/>
      <c r="K2288" s="104"/>
      <c r="L2288" s="104"/>
      <c r="M2288" s="104"/>
      <c r="N2288" s="104"/>
      <c r="O2288" s="104"/>
      <c r="P2288" s="104"/>
      <c r="Q2288" s="104"/>
      <c r="R2288" s="104"/>
      <c r="S2288" s="104"/>
    </row>
    <row r="2289" spans="4:19">
      <c r="D2289" s="104"/>
      <c r="E2289" s="104"/>
      <c r="F2289" s="104"/>
      <c r="G2289" s="104"/>
      <c r="H2289" s="104"/>
      <c r="I2289" s="104"/>
      <c r="J2289" s="104"/>
      <c r="K2289" s="104"/>
      <c r="L2289" s="104"/>
      <c r="M2289" s="104"/>
      <c r="N2289" s="104"/>
      <c r="O2289" s="104"/>
      <c r="P2289" s="104"/>
      <c r="Q2289" s="104"/>
      <c r="R2289" s="104"/>
      <c r="S2289" s="104"/>
    </row>
    <row r="2290" spans="4:19">
      <c r="D2290" s="104"/>
      <c r="E2290" s="104"/>
      <c r="F2290" s="104"/>
      <c r="G2290" s="104"/>
      <c r="H2290" s="104"/>
      <c r="I2290" s="104"/>
      <c r="J2290" s="104"/>
      <c r="K2290" s="104"/>
      <c r="L2290" s="104"/>
      <c r="M2290" s="104"/>
      <c r="N2290" s="104"/>
      <c r="O2290" s="104"/>
      <c r="P2290" s="104"/>
      <c r="Q2290" s="104"/>
      <c r="R2290" s="104"/>
      <c r="S2290" s="104"/>
    </row>
    <row r="2291" spans="4:19">
      <c r="D2291" s="104"/>
      <c r="E2291" s="104"/>
      <c r="F2291" s="104"/>
      <c r="G2291" s="104"/>
      <c r="H2291" s="104"/>
      <c r="I2291" s="104"/>
      <c r="J2291" s="104"/>
      <c r="K2291" s="104"/>
      <c r="L2291" s="104"/>
      <c r="M2291" s="104"/>
      <c r="N2291" s="104"/>
      <c r="O2291" s="104"/>
      <c r="P2291" s="104"/>
      <c r="Q2291" s="104"/>
      <c r="R2291" s="104"/>
      <c r="S2291" s="104"/>
    </row>
    <row r="2292" spans="4:19">
      <c r="D2292" s="104"/>
      <c r="E2292" s="104"/>
      <c r="F2292" s="104"/>
      <c r="G2292" s="104"/>
      <c r="H2292" s="104"/>
      <c r="I2292" s="104"/>
      <c r="J2292" s="104"/>
      <c r="K2292" s="104"/>
      <c r="L2292" s="104"/>
      <c r="M2292" s="104"/>
      <c r="N2292" s="104"/>
      <c r="O2292" s="104"/>
      <c r="P2292" s="104"/>
      <c r="Q2292" s="104"/>
      <c r="R2292" s="104"/>
      <c r="S2292" s="104"/>
    </row>
    <row r="2293" spans="4:19">
      <c r="D2293" s="104"/>
      <c r="E2293" s="104"/>
      <c r="F2293" s="104"/>
      <c r="G2293" s="104"/>
      <c r="H2293" s="104"/>
      <c r="I2293" s="104"/>
      <c r="J2293" s="104"/>
      <c r="K2293" s="104"/>
      <c r="L2293" s="104"/>
      <c r="M2293" s="104"/>
      <c r="N2293" s="104"/>
      <c r="O2293" s="104"/>
      <c r="P2293" s="104"/>
      <c r="Q2293" s="104"/>
      <c r="R2293" s="104"/>
      <c r="S2293" s="104"/>
    </row>
    <row r="2294" spans="4:19">
      <c r="D2294" s="104"/>
      <c r="E2294" s="104"/>
      <c r="F2294" s="104"/>
      <c r="G2294" s="104"/>
      <c r="H2294" s="104"/>
      <c r="I2294" s="104"/>
      <c r="J2294" s="104"/>
      <c r="K2294" s="104"/>
      <c r="L2294" s="104"/>
      <c r="M2294" s="104"/>
      <c r="N2294" s="104"/>
      <c r="O2294" s="104"/>
      <c r="P2294" s="104"/>
      <c r="Q2294" s="104"/>
      <c r="R2294" s="104"/>
      <c r="S2294" s="104"/>
    </row>
    <row r="2295" spans="4:19">
      <c r="D2295" s="104"/>
      <c r="E2295" s="104"/>
      <c r="F2295" s="104"/>
      <c r="G2295" s="104"/>
      <c r="H2295" s="104"/>
      <c r="I2295" s="104"/>
      <c r="J2295" s="104"/>
      <c r="K2295" s="104"/>
      <c r="L2295" s="104"/>
      <c r="M2295" s="104"/>
      <c r="N2295" s="104"/>
      <c r="O2295" s="104"/>
      <c r="P2295" s="104"/>
      <c r="Q2295" s="104"/>
      <c r="R2295" s="104"/>
      <c r="S2295" s="104"/>
    </row>
    <row r="2296" spans="4:19">
      <c r="D2296" s="104"/>
      <c r="E2296" s="104"/>
      <c r="F2296" s="104"/>
      <c r="G2296" s="104"/>
      <c r="H2296" s="104"/>
      <c r="I2296" s="104"/>
      <c r="J2296" s="104"/>
      <c r="K2296" s="104"/>
      <c r="L2296" s="104"/>
      <c r="M2296" s="104"/>
      <c r="N2296" s="104"/>
      <c r="O2296" s="104"/>
      <c r="P2296" s="104"/>
      <c r="Q2296" s="104"/>
      <c r="R2296" s="104"/>
      <c r="S2296" s="104"/>
    </row>
    <row r="2297" spans="4:19">
      <c r="D2297" s="104"/>
      <c r="E2297" s="104"/>
      <c r="F2297" s="104"/>
      <c r="G2297" s="104"/>
      <c r="H2297" s="104"/>
      <c r="I2297" s="104"/>
      <c r="J2297" s="104"/>
      <c r="K2297" s="104"/>
      <c r="L2297" s="104"/>
      <c r="M2297" s="104"/>
      <c r="N2297" s="104"/>
      <c r="O2297" s="104"/>
      <c r="P2297" s="104"/>
      <c r="Q2297" s="104"/>
      <c r="R2297" s="104"/>
      <c r="S2297" s="104"/>
    </row>
    <row r="2298" spans="4:19">
      <c r="D2298" s="104"/>
      <c r="E2298" s="104"/>
      <c r="F2298" s="104"/>
      <c r="G2298" s="104"/>
      <c r="H2298" s="104"/>
      <c r="I2298" s="104"/>
      <c r="J2298" s="104"/>
      <c r="K2298" s="104"/>
      <c r="L2298" s="104"/>
      <c r="M2298" s="104"/>
      <c r="N2298" s="104"/>
      <c r="O2298" s="104"/>
      <c r="P2298" s="104"/>
      <c r="Q2298" s="104"/>
      <c r="R2298" s="104"/>
      <c r="S2298" s="104"/>
    </row>
    <row r="2299" spans="4:19">
      <c r="D2299" s="104"/>
      <c r="E2299" s="104"/>
      <c r="F2299" s="104"/>
      <c r="G2299" s="104"/>
      <c r="H2299" s="104"/>
      <c r="I2299" s="104"/>
      <c r="J2299" s="104"/>
      <c r="K2299" s="104"/>
      <c r="L2299" s="104"/>
      <c r="M2299" s="104"/>
      <c r="N2299" s="104"/>
      <c r="O2299" s="104"/>
      <c r="P2299" s="104"/>
      <c r="Q2299" s="104"/>
      <c r="R2299" s="104"/>
      <c r="S2299" s="104"/>
    </row>
    <row r="2300" spans="4:19">
      <c r="D2300" s="104"/>
      <c r="E2300" s="104"/>
      <c r="F2300" s="104"/>
      <c r="G2300" s="104"/>
      <c r="H2300" s="104"/>
      <c r="I2300" s="104"/>
      <c r="J2300" s="104"/>
      <c r="K2300" s="104"/>
      <c r="L2300" s="104"/>
      <c r="M2300" s="104"/>
      <c r="N2300" s="104"/>
      <c r="O2300" s="104"/>
      <c r="P2300" s="104"/>
      <c r="Q2300" s="104"/>
      <c r="R2300" s="104"/>
      <c r="S2300" s="104"/>
    </row>
    <row r="2301" spans="4:19">
      <c r="D2301" s="104"/>
      <c r="E2301" s="104"/>
      <c r="F2301" s="104"/>
      <c r="G2301" s="104"/>
      <c r="H2301" s="104"/>
      <c r="I2301" s="104"/>
      <c r="J2301" s="104"/>
      <c r="K2301" s="104"/>
      <c r="L2301" s="104"/>
      <c r="M2301" s="104"/>
      <c r="N2301" s="104"/>
      <c r="O2301" s="104"/>
      <c r="P2301" s="104"/>
      <c r="Q2301" s="104"/>
      <c r="R2301" s="104"/>
      <c r="S2301" s="104"/>
    </row>
    <row r="2302" spans="4:19">
      <c r="D2302" s="104"/>
      <c r="E2302" s="104"/>
      <c r="F2302" s="104"/>
      <c r="G2302" s="104"/>
      <c r="H2302" s="104"/>
      <c r="I2302" s="104"/>
      <c r="J2302" s="104"/>
      <c r="K2302" s="104"/>
      <c r="L2302" s="104"/>
      <c r="M2302" s="104"/>
      <c r="N2302" s="104"/>
      <c r="O2302" s="104"/>
      <c r="P2302" s="104"/>
      <c r="Q2302" s="104"/>
      <c r="R2302" s="104"/>
      <c r="S2302" s="104"/>
    </row>
    <row r="2303" spans="4:19">
      <c r="D2303" s="104"/>
      <c r="E2303" s="104"/>
      <c r="F2303" s="104"/>
      <c r="G2303" s="104"/>
      <c r="H2303" s="104"/>
      <c r="I2303" s="104"/>
      <c r="J2303" s="104"/>
      <c r="K2303" s="104"/>
      <c r="L2303" s="104"/>
      <c r="M2303" s="104"/>
      <c r="N2303" s="104"/>
      <c r="O2303" s="104"/>
      <c r="P2303" s="104"/>
      <c r="Q2303" s="104"/>
      <c r="R2303" s="104"/>
      <c r="S2303" s="104"/>
    </row>
    <row r="2304" spans="4:19">
      <c r="D2304" s="104"/>
      <c r="E2304" s="104"/>
      <c r="F2304" s="104"/>
      <c r="G2304" s="104"/>
      <c r="H2304" s="104"/>
      <c r="I2304" s="104"/>
      <c r="J2304" s="104"/>
      <c r="K2304" s="104"/>
      <c r="L2304" s="104"/>
      <c r="M2304" s="104"/>
      <c r="N2304" s="104"/>
      <c r="O2304" s="104"/>
      <c r="P2304" s="104"/>
      <c r="Q2304" s="104"/>
      <c r="R2304" s="104"/>
      <c r="S2304" s="104"/>
    </row>
    <row r="2305" spans="4:19">
      <c r="D2305" s="104"/>
      <c r="E2305" s="104"/>
      <c r="F2305" s="104"/>
      <c r="G2305" s="104"/>
      <c r="H2305" s="104"/>
      <c r="I2305" s="104"/>
      <c r="J2305" s="104"/>
      <c r="K2305" s="104"/>
      <c r="L2305" s="104"/>
      <c r="M2305" s="104"/>
      <c r="N2305" s="104"/>
      <c r="O2305" s="104"/>
      <c r="P2305" s="104"/>
      <c r="Q2305" s="104"/>
      <c r="R2305" s="104"/>
      <c r="S2305" s="104"/>
    </row>
    <row r="2306" spans="4:19">
      <c r="D2306" s="104"/>
      <c r="E2306" s="104"/>
      <c r="F2306" s="104"/>
      <c r="G2306" s="104"/>
      <c r="H2306" s="104"/>
      <c r="I2306" s="104"/>
      <c r="J2306" s="104"/>
      <c r="K2306" s="104"/>
      <c r="L2306" s="104"/>
      <c r="M2306" s="104"/>
      <c r="N2306" s="104"/>
      <c r="O2306" s="104"/>
      <c r="P2306" s="104"/>
      <c r="Q2306" s="104"/>
      <c r="R2306" s="104"/>
      <c r="S2306" s="104"/>
    </row>
    <row r="2307" spans="4:19">
      <c r="D2307" s="104"/>
      <c r="E2307" s="104"/>
      <c r="F2307" s="104"/>
      <c r="G2307" s="104"/>
      <c r="H2307" s="104"/>
      <c r="I2307" s="104"/>
      <c r="J2307" s="104"/>
      <c r="K2307" s="104"/>
      <c r="L2307" s="104"/>
      <c r="M2307" s="104"/>
      <c r="N2307" s="104"/>
      <c r="O2307" s="104"/>
      <c r="P2307" s="104"/>
      <c r="Q2307" s="104"/>
      <c r="R2307" s="104"/>
      <c r="S2307" s="104"/>
    </row>
    <row r="2308" spans="4:19">
      <c r="D2308" s="104"/>
      <c r="E2308" s="104"/>
      <c r="F2308" s="104"/>
      <c r="G2308" s="104"/>
      <c r="H2308" s="104"/>
      <c r="I2308" s="104"/>
      <c r="J2308" s="104"/>
      <c r="K2308" s="104"/>
      <c r="L2308" s="104"/>
      <c r="M2308" s="104"/>
      <c r="N2308" s="104"/>
      <c r="O2308" s="104"/>
      <c r="P2308" s="104"/>
      <c r="Q2308" s="104"/>
      <c r="R2308" s="104"/>
      <c r="S2308" s="104"/>
    </row>
    <row r="2309" spans="4:19">
      <c r="D2309" s="104"/>
      <c r="E2309" s="104"/>
      <c r="F2309" s="104"/>
      <c r="G2309" s="104"/>
      <c r="H2309" s="104"/>
      <c r="I2309" s="104"/>
      <c r="J2309" s="104"/>
      <c r="K2309" s="104"/>
      <c r="L2309" s="104"/>
      <c r="M2309" s="104"/>
      <c r="N2309" s="104"/>
      <c r="O2309" s="104"/>
      <c r="P2309" s="104"/>
      <c r="Q2309" s="104"/>
      <c r="R2309" s="104"/>
      <c r="S2309" s="104"/>
    </row>
    <row r="2310" spans="4:19">
      <c r="D2310" s="104"/>
      <c r="E2310" s="104"/>
      <c r="F2310" s="104"/>
      <c r="G2310" s="104"/>
      <c r="H2310" s="104"/>
      <c r="I2310" s="104"/>
      <c r="J2310" s="104"/>
      <c r="K2310" s="104"/>
      <c r="L2310" s="104"/>
      <c r="M2310" s="104"/>
      <c r="N2310" s="104"/>
      <c r="O2310" s="104"/>
      <c r="P2310" s="104"/>
      <c r="Q2310" s="104"/>
      <c r="R2310" s="104"/>
      <c r="S2310" s="104"/>
    </row>
    <row r="2311" spans="4:19">
      <c r="D2311" s="104"/>
      <c r="E2311" s="104"/>
      <c r="F2311" s="104"/>
      <c r="G2311" s="104"/>
      <c r="H2311" s="104"/>
      <c r="I2311" s="104"/>
      <c r="J2311" s="104"/>
      <c r="K2311" s="104"/>
      <c r="L2311" s="104"/>
      <c r="M2311" s="104"/>
      <c r="N2311" s="104"/>
      <c r="O2311" s="104"/>
      <c r="P2311" s="104"/>
      <c r="Q2311" s="104"/>
      <c r="R2311" s="104"/>
      <c r="S2311" s="104"/>
    </row>
    <row r="2312" spans="4:19">
      <c r="D2312" s="104"/>
      <c r="E2312" s="104"/>
      <c r="F2312" s="104"/>
      <c r="G2312" s="104"/>
      <c r="H2312" s="104"/>
      <c r="I2312" s="104"/>
      <c r="J2312" s="104"/>
      <c r="K2312" s="104"/>
      <c r="L2312" s="104"/>
      <c r="M2312" s="104"/>
      <c r="N2312" s="104"/>
      <c r="O2312" s="104"/>
      <c r="P2312" s="104"/>
      <c r="Q2312" s="104"/>
      <c r="R2312" s="104"/>
      <c r="S2312" s="104"/>
    </row>
    <row r="2313" spans="4:19">
      <c r="D2313" s="104"/>
      <c r="E2313" s="104"/>
      <c r="F2313" s="104"/>
      <c r="G2313" s="104"/>
      <c r="H2313" s="104"/>
      <c r="I2313" s="104"/>
      <c r="J2313" s="104"/>
      <c r="K2313" s="104"/>
      <c r="L2313" s="104"/>
      <c r="M2313" s="104"/>
      <c r="N2313" s="104"/>
      <c r="O2313" s="104"/>
      <c r="P2313" s="104"/>
      <c r="Q2313" s="104"/>
      <c r="R2313" s="104"/>
      <c r="S2313" s="104"/>
    </row>
    <row r="2314" spans="4:19">
      <c r="D2314" s="104"/>
      <c r="E2314" s="104"/>
      <c r="F2314" s="104"/>
      <c r="G2314" s="104"/>
      <c r="H2314" s="104"/>
      <c r="I2314" s="104"/>
      <c r="J2314" s="104"/>
      <c r="K2314" s="104"/>
      <c r="L2314" s="104"/>
      <c r="M2314" s="104"/>
      <c r="N2314" s="104"/>
      <c r="O2314" s="104"/>
      <c r="P2314" s="104"/>
      <c r="Q2314" s="104"/>
      <c r="R2314" s="104"/>
      <c r="S2314" s="104"/>
    </row>
    <row r="2315" spans="4:19">
      <c r="D2315" s="104"/>
      <c r="E2315" s="104"/>
      <c r="F2315" s="104"/>
      <c r="G2315" s="104"/>
      <c r="H2315" s="104"/>
      <c r="I2315" s="104"/>
      <c r="J2315" s="104"/>
      <c r="K2315" s="104"/>
      <c r="L2315" s="104"/>
      <c r="M2315" s="104"/>
      <c r="N2315" s="104"/>
      <c r="O2315" s="104"/>
      <c r="P2315" s="104"/>
      <c r="Q2315" s="104"/>
      <c r="R2315" s="104"/>
      <c r="S2315" s="104"/>
    </row>
    <row r="2316" spans="4:19">
      <c r="D2316" s="104"/>
      <c r="E2316" s="104"/>
      <c r="F2316" s="104"/>
      <c r="G2316" s="104"/>
      <c r="H2316" s="104"/>
      <c r="I2316" s="104"/>
      <c r="J2316" s="104"/>
      <c r="K2316" s="104"/>
      <c r="L2316" s="104"/>
      <c r="M2316" s="104"/>
      <c r="N2316" s="104"/>
      <c r="O2316" s="104"/>
      <c r="P2316" s="104"/>
      <c r="Q2316" s="104"/>
      <c r="R2316" s="104"/>
      <c r="S2316" s="104"/>
    </row>
    <row r="2317" spans="4:19">
      <c r="D2317" s="104"/>
      <c r="E2317" s="104"/>
      <c r="F2317" s="104"/>
      <c r="G2317" s="104"/>
      <c r="H2317" s="104"/>
      <c r="I2317" s="104"/>
      <c r="J2317" s="104"/>
      <c r="K2317" s="104"/>
      <c r="L2317" s="104"/>
      <c r="M2317" s="104"/>
      <c r="N2317" s="104"/>
      <c r="O2317" s="104"/>
      <c r="P2317" s="104"/>
      <c r="Q2317" s="104"/>
      <c r="R2317" s="104"/>
      <c r="S2317" s="104"/>
    </row>
    <row r="2318" spans="4:19">
      <c r="D2318" s="104"/>
      <c r="E2318" s="104"/>
      <c r="F2318" s="104"/>
      <c r="G2318" s="104"/>
      <c r="H2318" s="104"/>
      <c r="I2318" s="104"/>
      <c r="J2318" s="104"/>
      <c r="K2318" s="104"/>
      <c r="L2318" s="104"/>
      <c r="M2318" s="104"/>
      <c r="N2318" s="104"/>
      <c r="O2318" s="104"/>
      <c r="P2318" s="104"/>
      <c r="Q2318" s="104"/>
      <c r="R2318" s="104"/>
      <c r="S2318" s="104"/>
    </row>
    <row r="2319" spans="4:19">
      <c r="D2319" s="104"/>
      <c r="E2319" s="104"/>
      <c r="F2319" s="104"/>
      <c r="G2319" s="104"/>
      <c r="H2319" s="104"/>
      <c r="I2319" s="104"/>
      <c r="J2319" s="104"/>
      <c r="K2319" s="104"/>
      <c r="L2319" s="104"/>
      <c r="M2319" s="104"/>
      <c r="N2319" s="104"/>
      <c r="O2319" s="104"/>
      <c r="P2319" s="104"/>
      <c r="Q2319" s="104"/>
      <c r="R2319" s="104"/>
      <c r="S2319" s="104"/>
    </row>
    <row r="2320" spans="4:19">
      <c r="D2320" s="104"/>
      <c r="E2320" s="104"/>
      <c r="F2320" s="104"/>
      <c r="G2320" s="104"/>
      <c r="H2320" s="104"/>
      <c r="I2320" s="104"/>
      <c r="J2320" s="104"/>
      <c r="K2320" s="104"/>
      <c r="L2320" s="104"/>
      <c r="M2320" s="104"/>
      <c r="N2320" s="104"/>
      <c r="O2320" s="104"/>
      <c r="P2320" s="104"/>
      <c r="Q2320" s="104"/>
      <c r="R2320" s="104"/>
      <c r="S2320" s="104"/>
    </row>
    <row r="2321" spans="4:19">
      <c r="D2321" s="104"/>
      <c r="E2321" s="104"/>
      <c r="F2321" s="104"/>
      <c r="G2321" s="104"/>
      <c r="H2321" s="104"/>
      <c r="I2321" s="104"/>
      <c r="J2321" s="104"/>
      <c r="K2321" s="104"/>
      <c r="L2321" s="104"/>
      <c r="M2321" s="104"/>
      <c r="N2321" s="104"/>
      <c r="O2321" s="104"/>
      <c r="P2321" s="104"/>
      <c r="Q2321" s="104"/>
      <c r="R2321" s="104"/>
      <c r="S2321" s="104"/>
    </row>
    <row r="2322" spans="4:19">
      <c r="D2322" s="104"/>
      <c r="E2322" s="104"/>
      <c r="F2322" s="104"/>
      <c r="G2322" s="104"/>
      <c r="H2322" s="104"/>
      <c r="I2322" s="104"/>
      <c r="J2322" s="104"/>
      <c r="K2322" s="104"/>
      <c r="L2322" s="104"/>
      <c r="M2322" s="104"/>
      <c r="N2322" s="104"/>
      <c r="O2322" s="104"/>
      <c r="P2322" s="104"/>
      <c r="Q2322" s="104"/>
      <c r="R2322" s="104"/>
      <c r="S2322" s="104"/>
    </row>
    <row r="2323" spans="4:19">
      <c r="D2323" s="104"/>
      <c r="E2323" s="104"/>
      <c r="F2323" s="104"/>
      <c r="G2323" s="104"/>
      <c r="H2323" s="104"/>
      <c r="I2323" s="104"/>
      <c r="J2323" s="104"/>
      <c r="K2323" s="104"/>
      <c r="L2323" s="104"/>
      <c r="M2323" s="104"/>
      <c r="N2323" s="104"/>
      <c r="O2323" s="104"/>
      <c r="P2323" s="104"/>
      <c r="Q2323" s="104"/>
      <c r="R2323" s="104"/>
      <c r="S2323" s="104"/>
    </row>
    <row r="2324" spans="4:19">
      <c r="D2324" s="104"/>
      <c r="E2324" s="104"/>
      <c r="F2324" s="104"/>
      <c r="G2324" s="104"/>
      <c r="H2324" s="104"/>
      <c r="I2324" s="104"/>
      <c r="J2324" s="104"/>
      <c r="K2324" s="104"/>
      <c r="L2324" s="104"/>
      <c r="M2324" s="104"/>
      <c r="N2324" s="104"/>
      <c r="O2324" s="104"/>
      <c r="P2324" s="104"/>
      <c r="Q2324" s="104"/>
      <c r="R2324" s="104"/>
      <c r="S2324" s="104"/>
    </row>
    <row r="2325" spans="4:19">
      <c r="D2325" s="104"/>
      <c r="E2325" s="104"/>
      <c r="F2325" s="104"/>
      <c r="G2325" s="104"/>
      <c r="H2325" s="104"/>
      <c r="I2325" s="104"/>
      <c r="J2325" s="104"/>
      <c r="K2325" s="104"/>
      <c r="L2325" s="104"/>
      <c r="M2325" s="104"/>
      <c r="N2325" s="104"/>
      <c r="O2325" s="104"/>
      <c r="P2325" s="104"/>
      <c r="Q2325" s="104"/>
      <c r="R2325" s="104"/>
      <c r="S2325" s="104"/>
    </row>
    <row r="2326" spans="4:19">
      <c r="D2326" s="104"/>
      <c r="E2326" s="104"/>
      <c r="F2326" s="104"/>
      <c r="G2326" s="104"/>
      <c r="H2326" s="104"/>
      <c r="I2326" s="104"/>
      <c r="J2326" s="104"/>
      <c r="K2326" s="104"/>
      <c r="L2326" s="104"/>
      <c r="M2326" s="104"/>
      <c r="N2326" s="104"/>
      <c r="O2326" s="104"/>
      <c r="P2326" s="104"/>
      <c r="Q2326" s="104"/>
      <c r="R2326" s="104"/>
      <c r="S2326" s="104"/>
    </row>
    <row r="2327" spans="4:19">
      <c r="D2327" s="104"/>
      <c r="E2327" s="104"/>
      <c r="F2327" s="104"/>
      <c r="G2327" s="104"/>
      <c r="H2327" s="104"/>
      <c r="I2327" s="104"/>
      <c r="J2327" s="104"/>
      <c r="K2327" s="104"/>
      <c r="L2327" s="104"/>
      <c r="M2327" s="104"/>
      <c r="N2327" s="104"/>
      <c r="O2327" s="104"/>
      <c r="P2327" s="104"/>
      <c r="Q2327" s="104"/>
      <c r="R2327" s="104"/>
      <c r="S2327" s="104"/>
    </row>
    <row r="2328" spans="4:19">
      <c r="D2328" s="104"/>
      <c r="E2328" s="104"/>
      <c r="F2328" s="104"/>
      <c r="G2328" s="104"/>
      <c r="H2328" s="104"/>
      <c r="I2328" s="104"/>
      <c r="J2328" s="104"/>
      <c r="K2328" s="104"/>
      <c r="L2328" s="104"/>
      <c r="M2328" s="104"/>
      <c r="N2328" s="104"/>
      <c r="O2328" s="104"/>
      <c r="P2328" s="104"/>
      <c r="Q2328" s="104"/>
      <c r="R2328" s="104"/>
      <c r="S2328" s="104"/>
    </row>
    <row r="2329" spans="4:19">
      <c r="D2329" s="104"/>
      <c r="E2329" s="104"/>
      <c r="F2329" s="104"/>
      <c r="G2329" s="104"/>
      <c r="H2329" s="104"/>
      <c r="I2329" s="104"/>
      <c r="J2329" s="104"/>
      <c r="K2329" s="104"/>
      <c r="L2329" s="104"/>
      <c r="M2329" s="104"/>
      <c r="N2329" s="104"/>
      <c r="O2329" s="104"/>
      <c r="P2329" s="104"/>
      <c r="Q2329" s="104"/>
      <c r="R2329" s="104"/>
      <c r="S2329" s="104"/>
    </row>
    <row r="2330" spans="4:19">
      <c r="D2330" s="104"/>
      <c r="E2330" s="104"/>
      <c r="F2330" s="104"/>
      <c r="G2330" s="104"/>
      <c r="H2330" s="104"/>
      <c r="I2330" s="104"/>
      <c r="J2330" s="104"/>
      <c r="K2330" s="104"/>
      <c r="L2330" s="104"/>
      <c r="M2330" s="104"/>
      <c r="N2330" s="104"/>
      <c r="O2330" s="104"/>
      <c r="P2330" s="104"/>
      <c r="Q2330" s="104"/>
      <c r="R2330" s="104"/>
      <c r="S2330" s="104"/>
    </row>
    <row r="2331" spans="4:19">
      <c r="D2331" s="104"/>
      <c r="E2331" s="104"/>
      <c r="F2331" s="104"/>
      <c r="G2331" s="104"/>
      <c r="H2331" s="104"/>
      <c r="I2331" s="104"/>
      <c r="J2331" s="104"/>
      <c r="K2331" s="104"/>
      <c r="L2331" s="104"/>
      <c r="M2331" s="104"/>
      <c r="N2331" s="104"/>
      <c r="O2331" s="104"/>
      <c r="P2331" s="104"/>
      <c r="Q2331" s="104"/>
      <c r="R2331" s="104"/>
      <c r="S2331" s="104"/>
    </row>
    <row r="2332" spans="4:19">
      <c r="D2332" s="104"/>
      <c r="E2332" s="104"/>
      <c r="F2332" s="104"/>
      <c r="G2332" s="104"/>
      <c r="H2332" s="104"/>
      <c r="I2332" s="104"/>
      <c r="J2332" s="104"/>
      <c r="K2332" s="104"/>
      <c r="L2332" s="104"/>
      <c r="M2332" s="104"/>
      <c r="N2332" s="104"/>
      <c r="O2332" s="104"/>
      <c r="P2332" s="104"/>
      <c r="Q2332" s="104"/>
      <c r="R2332" s="104"/>
      <c r="S2332" s="104"/>
    </row>
    <row r="2333" spans="4:19">
      <c r="D2333" s="104"/>
      <c r="E2333" s="104"/>
      <c r="F2333" s="104"/>
      <c r="G2333" s="104"/>
      <c r="H2333" s="104"/>
      <c r="I2333" s="104"/>
      <c r="J2333" s="104"/>
      <c r="K2333" s="104"/>
      <c r="L2333" s="104"/>
      <c r="M2333" s="104"/>
      <c r="N2333" s="104"/>
      <c r="O2333" s="104"/>
      <c r="P2333" s="104"/>
      <c r="Q2333" s="104"/>
      <c r="R2333" s="104"/>
      <c r="S2333" s="104"/>
    </row>
    <row r="2334" spans="4:19">
      <c r="D2334" s="104"/>
      <c r="E2334" s="104"/>
      <c r="F2334" s="104"/>
      <c r="G2334" s="104"/>
      <c r="H2334" s="104"/>
      <c r="I2334" s="104"/>
      <c r="J2334" s="104"/>
      <c r="K2334" s="104"/>
      <c r="L2334" s="104"/>
      <c r="M2334" s="104"/>
      <c r="N2334" s="104"/>
      <c r="O2334" s="104"/>
      <c r="P2334" s="104"/>
      <c r="Q2334" s="104"/>
      <c r="R2334" s="104"/>
      <c r="S2334" s="104"/>
    </row>
    <row r="2335" spans="4:19">
      <c r="D2335" s="104"/>
      <c r="E2335" s="104"/>
      <c r="F2335" s="104"/>
      <c r="G2335" s="104"/>
      <c r="H2335" s="104"/>
      <c r="I2335" s="104"/>
      <c r="J2335" s="104"/>
      <c r="K2335" s="104"/>
      <c r="L2335" s="104"/>
      <c r="M2335" s="104"/>
      <c r="N2335" s="104"/>
      <c r="O2335" s="104"/>
      <c r="P2335" s="104"/>
      <c r="Q2335" s="104"/>
      <c r="R2335" s="104"/>
      <c r="S2335" s="104"/>
    </row>
    <row r="2336" spans="4:19">
      <c r="D2336" s="104"/>
      <c r="E2336" s="104"/>
      <c r="F2336" s="104"/>
      <c r="G2336" s="104"/>
      <c r="H2336" s="104"/>
      <c r="I2336" s="104"/>
      <c r="J2336" s="104"/>
      <c r="K2336" s="104"/>
      <c r="L2336" s="104"/>
      <c r="M2336" s="104"/>
      <c r="N2336" s="104"/>
      <c r="O2336" s="104"/>
      <c r="P2336" s="104"/>
      <c r="Q2336" s="104"/>
      <c r="R2336" s="104"/>
      <c r="S2336" s="104"/>
    </row>
    <row r="2337" spans="4:19">
      <c r="D2337" s="104"/>
      <c r="E2337" s="104"/>
      <c r="F2337" s="104"/>
      <c r="G2337" s="104"/>
      <c r="H2337" s="104"/>
      <c r="I2337" s="104"/>
      <c r="J2337" s="104"/>
      <c r="K2337" s="104"/>
      <c r="L2337" s="104"/>
      <c r="M2337" s="104"/>
      <c r="N2337" s="104"/>
      <c r="O2337" s="104"/>
      <c r="P2337" s="104"/>
      <c r="Q2337" s="104"/>
      <c r="R2337" s="104"/>
      <c r="S2337" s="104"/>
    </row>
    <row r="2338" spans="4:19">
      <c r="D2338" s="104"/>
      <c r="E2338" s="104"/>
      <c r="F2338" s="104"/>
      <c r="G2338" s="104"/>
      <c r="H2338" s="104"/>
      <c r="I2338" s="104"/>
      <c r="J2338" s="104"/>
      <c r="K2338" s="104"/>
      <c r="L2338" s="104"/>
      <c r="M2338" s="104"/>
      <c r="N2338" s="104"/>
      <c r="O2338" s="104"/>
      <c r="P2338" s="104"/>
      <c r="Q2338" s="104"/>
      <c r="R2338" s="104"/>
      <c r="S2338" s="104"/>
    </row>
    <row r="2339" spans="4:19">
      <c r="D2339" s="104"/>
      <c r="E2339" s="104"/>
      <c r="F2339" s="104"/>
      <c r="G2339" s="104"/>
      <c r="H2339" s="104"/>
      <c r="I2339" s="104"/>
      <c r="J2339" s="104"/>
      <c r="K2339" s="104"/>
      <c r="L2339" s="104"/>
      <c r="M2339" s="104"/>
      <c r="N2339" s="104"/>
      <c r="O2339" s="104"/>
      <c r="P2339" s="104"/>
      <c r="Q2339" s="104"/>
      <c r="R2339" s="104"/>
      <c r="S2339" s="104"/>
    </row>
    <row r="2340" spans="4:19">
      <c r="D2340" s="104"/>
      <c r="E2340" s="104"/>
      <c r="F2340" s="104"/>
      <c r="G2340" s="104"/>
      <c r="H2340" s="104"/>
      <c r="I2340" s="104"/>
      <c r="J2340" s="104"/>
      <c r="K2340" s="104"/>
      <c r="L2340" s="104"/>
      <c r="M2340" s="104"/>
      <c r="N2340" s="104"/>
      <c r="O2340" s="104"/>
      <c r="P2340" s="104"/>
      <c r="Q2340" s="104"/>
      <c r="R2340" s="104"/>
      <c r="S2340" s="104"/>
    </row>
    <row r="2341" spans="4:19">
      <c r="D2341" s="104"/>
      <c r="E2341" s="104"/>
      <c r="F2341" s="104"/>
      <c r="G2341" s="104"/>
      <c r="H2341" s="104"/>
      <c r="I2341" s="104"/>
      <c r="J2341" s="104"/>
      <c r="K2341" s="104"/>
      <c r="L2341" s="104"/>
      <c r="M2341" s="104"/>
      <c r="N2341" s="104"/>
      <c r="O2341" s="104"/>
      <c r="P2341" s="104"/>
      <c r="Q2341" s="104"/>
      <c r="R2341" s="104"/>
      <c r="S2341" s="104"/>
    </row>
    <row r="2342" spans="4:19">
      <c r="D2342" s="104"/>
      <c r="E2342" s="104"/>
      <c r="F2342" s="104"/>
      <c r="G2342" s="104"/>
      <c r="H2342" s="104"/>
      <c r="I2342" s="104"/>
      <c r="J2342" s="104"/>
      <c r="K2342" s="104"/>
      <c r="L2342" s="104"/>
      <c r="M2342" s="104"/>
      <c r="N2342" s="104"/>
      <c r="O2342" s="104"/>
      <c r="P2342" s="104"/>
      <c r="Q2342" s="104"/>
      <c r="R2342" s="104"/>
      <c r="S2342" s="104"/>
    </row>
    <row r="2343" spans="4:19">
      <c r="D2343" s="104"/>
      <c r="E2343" s="104"/>
      <c r="F2343" s="104"/>
      <c r="G2343" s="104"/>
      <c r="H2343" s="104"/>
      <c r="I2343" s="104"/>
      <c r="J2343" s="104"/>
      <c r="K2343" s="104"/>
      <c r="L2343" s="104"/>
      <c r="M2343" s="104"/>
      <c r="N2343" s="104"/>
      <c r="O2343" s="104"/>
      <c r="P2343" s="104"/>
      <c r="Q2343" s="104"/>
      <c r="R2343" s="104"/>
      <c r="S2343" s="104"/>
    </row>
    <row r="2344" spans="4:19">
      <c r="D2344" s="104"/>
      <c r="E2344" s="104"/>
      <c r="F2344" s="104"/>
      <c r="G2344" s="104"/>
      <c r="H2344" s="104"/>
      <c r="I2344" s="104"/>
      <c r="J2344" s="104"/>
      <c r="K2344" s="104"/>
      <c r="L2344" s="104"/>
      <c r="M2344" s="104"/>
      <c r="N2344" s="104"/>
      <c r="O2344" s="104"/>
      <c r="P2344" s="104"/>
      <c r="Q2344" s="104"/>
      <c r="R2344" s="104"/>
      <c r="S2344" s="104"/>
    </row>
    <row r="2345" spans="4:19">
      <c r="D2345" s="104"/>
      <c r="E2345" s="104"/>
      <c r="F2345" s="104"/>
      <c r="G2345" s="104"/>
      <c r="H2345" s="104"/>
      <c r="I2345" s="104"/>
      <c r="J2345" s="104"/>
      <c r="K2345" s="104"/>
      <c r="L2345" s="104"/>
      <c r="M2345" s="104"/>
      <c r="N2345" s="104"/>
      <c r="O2345" s="104"/>
      <c r="P2345" s="104"/>
      <c r="Q2345" s="104"/>
      <c r="R2345" s="104"/>
      <c r="S2345" s="104"/>
    </row>
    <row r="2346" spans="4:19">
      <c r="D2346" s="104"/>
      <c r="E2346" s="104"/>
      <c r="F2346" s="104"/>
      <c r="G2346" s="104"/>
      <c r="H2346" s="104"/>
      <c r="I2346" s="104"/>
      <c r="J2346" s="104"/>
      <c r="K2346" s="104"/>
      <c r="L2346" s="104"/>
      <c r="M2346" s="104"/>
      <c r="N2346" s="104"/>
      <c r="O2346" s="104"/>
      <c r="P2346" s="104"/>
      <c r="Q2346" s="104"/>
      <c r="R2346" s="104"/>
      <c r="S2346" s="104"/>
    </row>
    <row r="2347" spans="4:19">
      <c r="D2347" s="104"/>
      <c r="E2347" s="104"/>
      <c r="F2347" s="104"/>
      <c r="G2347" s="104"/>
      <c r="H2347" s="104"/>
      <c r="I2347" s="104"/>
      <c r="J2347" s="104"/>
      <c r="K2347" s="104"/>
      <c r="L2347" s="104"/>
      <c r="M2347" s="104"/>
      <c r="N2347" s="104"/>
      <c r="O2347" s="104"/>
      <c r="P2347" s="104"/>
      <c r="Q2347" s="104"/>
      <c r="R2347" s="104"/>
      <c r="S2347" s="104"/>
    </row>
    <row r="2348" spans="4:19">
      <c r="D2348" s="104"/>
      <c r="E2348" s="104"/>
      <c r="F2348" s="104"/>
      <c r="G2348" s="104"/>
      <c r="H2348" s="104"/>
      <c r="I2348" s="104"/>
      <c r="J2348" s="104"/>
      <c r="K2348" s="104"/>
      <c r="L2348" s="104"/>
      <c r="M2348" s="104"/>
      <c r="N2348" s="104"/>
      <c r="O2348" s="104"/>
      <c r="P2348" s="104"/>
      <c r="Q2348" s="104"/>
      <c r="R2348" s="104"/>
      <c r="S2348" s="104"/>
    </row>
    <row r="2349" spans="4:19">
      <c r="D2349" s="104"/>
      <c r="E2349" s="104"/>
      <c r="F2349" s="104"/>
      <c r="G2349" s="104"/>
      <c r="H2349" s="104"/>
      <c r="I2349" s="104"/>
      <c r="J2349" s="104"/>
      <c r="K2349" s="104"/>
      <c r="L2349" s="104"/>
      <c r="M2349" s="104"/>
      <c r="N2349" s="104"/>
      <c r="O2349" s="104"/>
      <c r="P2349" s="104"/>
      <c r="Q2349" s="104"/>
      <c r="R2349" s="104"/>
      <c r="S2349" s="104"/>
    </row>
    <row r="2350" spans="4:19">
      <c r="D2350" s="104"/>
      <c r="E2350" s="104"/>
      <c r="F2350" s="104"/>
      <c r="G2350" s="104"/>
      <c r="H2350" s="104"/>
      <c r="I2350" s="104"/>
      <c r="J2350" s="104"/>
      <c r="K2350" s="104"/>
      <c r="L2350" s="104"/>
      <c r="M2350" s="104"/>
      <c r="N2350" s="104"/>
      <c r="O2350" s="104"/>
      <c r="P2350" s="104"/>
      <c r="Q2350" s="104"/>
      <c r="R2350" s="104"/>
      <c r="S2350" s="104"/>
    </row>
    <row r="2351" spans="4:19">
      <c r="D2351" s="104"/>
      <c r="E2351" s="104"/>
      <c r="F2351" s="104"/>
      <c r="G2351" s="104"/>
      <c r="H2351" s="104"/>
      <c r="I2351" s="104"/>
      <c r="J2351" s="104"/>
      <c r="K2351" s="104"/>
      <c r="L2351" s="104"/>
      <c r="M2351" s="104"/>
      <c r="N2351" s="104"/>
      <c r="O2351" s="104"/>
      <c r="P2351" s="104"/>
      <c r="Q2351" s="104"/>
      <c r="R2351" s="104"/>
      <c r="S2351" s="104"/>
    </row>
    <row r="2352" spans="4:19">
      <c r="D2352" s="104"/>
      <c r="E2352" s="104"/>
      <c r="F2352" s="104"/>
      <c r="G2352" s="104"/>
      <c r="H2352" s="104"/>
      <c r="I2352" s="104"/>
      <c r="J2352" s="104"/>
      <c r="K2352" s="104"/>
      <c r="L2352" s="104"/>
      <c r="M2352" s="104"/>
      <c r="N2352" s="104"/>
      <c r="O2352" s="104"/>
      <c r="P2352" s="104"/>
      <c r="Q2352" s="104"/>
      <c r="R2352" s="104"/>
      <c r="S2352" s="104"/>
    </row>
    <row r="2353" spans="4:19">
      <c r="D2353" s="104"/>
      <c r="E2353" s="104"/>
      <c r="F2353" s="104"/>
      <c r="G2353" s="104"/>
      <c r="H2353" s="104"/>
      <c r="I2353" s="104"/>
      <c r="J2353" s="104"/>
      <c r="K2353" s="104"/>
      <c r="L2353" s="104"/>
      <c r="M2353" s="104"/>
      <c r="N2353" s="104"/>
      <c r="O2353" s="104"/>
      <c r="P2353" s="104"/>
      <c r="Q2353" s="104"/>
      <c r="R2353" s="104"/>
      <c r="S2353" s="104"/>
    </row>
    <row r="2354" spans="4:19">
      <c r="D2354" s="104"/>
      <c r="E2354" s="104"/>
      <c r="F2354" s="104"/>
      <c r="G2354" s="104"/>
      <c r="H2354" s="104"/>
      <c r="I2354" s="104"/>
      <c r="J2354" s="104"/>
      <c r="K2354" s="104"/>
      <c r="L2354" s="104"/>
      <c r="M2354" s="104"/>
      <c r="N2354" s="104"/>
      <c r="O2354" s="104"/>
      <c r="P2354" s="104"/>
      <c r="Q2354" s="104"/>
      <c r="R2354" s="104"/>
      <c r="S2354" s="104"/>
    </row>
    <row r="2355" spans="4:19">
      <c r="D2355" s="104"/>
      <c r="E2355" s="104"/>
      <c r="F2355" s="104"/>
      <c r="G2355" s="104"/>
      <c r="H2355" s="104"/>
      <c r="I2355" s="104"/>
      <c r="J2355" s="104"/>
      <c r="K2355" s="104"/>
      <c r="L2355" s="104"/>
      <c r="M2355" s="104"/>
      <c r="N2355" s="104"/>
      <c r="O2355" s="104"/>
      <c r="P2355" s="104"/>
      <c r="Q2355" s="104"/>
      <c r="R2355" s="104"/>
      <c r="S2355" s="104"/>
    </row>
    <row r="2356" spans="4:19">
      <c r="D2356" s="104"/>
      <c r="E2356" s="104"/>
      <c r="F2356" s="104"/>
      <c r="G2356" s="104"/>
      <c r="H2356" s="104"/>
      <c r="I2356" s="104"/>
      <c r="J2356" s="104"/>
      <c r="K2356" s="104"/>
      <c r="L2356" s="104"/>
      <c r="M2356" s="104"/>
      <c r="N2356" s="104"/>
      <c r="O2356" s="104"/>
      <c r="P2356" s="104"/>
      <c r="Q2356" s="104"/>
      <c r="R2356" s="104"/>
      <c r="S2356" s="104"/>
    </row>
    <row r="2357" spans="4:19">
      <c r="D2357" s="104"/>
      <c r="E2357" s="104"/>
      <c r="F2357" s="104"/>
      <c r="G2357" s="104"/>
      <c r="H2357" s="104"/>
      <c r="I2357" s="104"/>
      <c r="J2357" s="104"/>
      <c r="K2357" s="104"/>
      <c r="L2357" s="104"/>
      <c r="M2357" s="104"/>
      <c r="N2357" s="104"/>
      <c r="O2357" s="104"/>
      <c r="P2357" s="104"/>
      <c r="Q2357" s="104"/>
      <c r="R2357" s="104"/>
      <c r="S2357" s="104"/>
    </row>
    <row r="2358" spans="4:19">
      <c r="D2358" s="104"/>
      <c r="E2358" s="104"/>
      <c r="F2358" s="104"/>
      <c r="G2358" s="104"/>
      <c r="H2358" s="104"/>
      <c r="I2358" s="104"/>
      <c r="J2358" s="104"/>
      <c r="K2358" s="104"/>
      <c r="L2358" s="104"/>
      <c r="M2358" s="104"/>
      <c r="N2358" s="104"/>
      <c r="O2358" s="104"/>
      <c r="P2358" s="104"/>
      <c r="Q2358" s="104"/>
      <c r="R2358" s="104"/>
      <c r="S2358" s="104"/>
    </row>
    <row r="2359" spans="4:19">
      <c r="D2359" s="104"/>
      <c r="E2359" s="104"/>
      <c r="F2359" s="104"/>
      <c r="G2359" s="104"/>
      <c r="H2359" s="104"/>
      <c r="I2359" s="104"/>
      <c r="J2359" s="104"/>
      <c r="K2359" s="104"/>
      <c r="L2359" s="104"/>
      <c r="M2359" s="104"/>
      <c r="N2359" s="104"/>
      <c r="O2359" s="104"/>
      <c r="P2359" s="104"/>
      <c r="Q2359" s="104"/>
      <c r="R2359" s="104"/>
      <c r="S2359" s="104"/>
    </row>
    <row r="2360" spans="4:19">
      <c r="D2360" s="104"/>
      <c r="E2360" s="104"/>
      <c r="F2360" s="104"/>
      <c r="G2360" s="104"/>
      <c r="H2360" s="104"/>
      <c r="I2360" s="104"/>
      <c r="J2360" s="104"/>
      <c r="K2360" s="104"/>
      <c r="L2360" s="104"/>
      <c r="M2360" s="104"/>
      <c r="N2360" s="104"/>
      <c r="O2360" s="104"/>
      <c r="P2360" s="104"/>
      <c r="Q2360" s="104"/>
      <c r="R2360" s="104"/>
      <c r="S2360" s="104"/>
    </row>
    <row r="2361" spans="4:19">
      <c r="D2361" s="104"/>
      <c r="E2361" s="104"/>
      <c r="F2361" s="104"/>
      <c r="G2361" s="104"/>
      <c r="H2361" s="104"/>
      <c r="I2361" s="104"/>
      <c r="J2361" s="104"/>
      <c r="K2361" s="104"/>
      <c r="L2361" s="104"/>
      <c r="M2361" s="104"/>
      <c r="N2361" s="104"/>
      <c r="O2361" s="104"/>
      <c r="P2361" s="104"/>
      <c r="Q2361" s="104"/>
      <c r="R2361" s="104"/>
      <c r="S2361" s="104"/>
    </row>
    <row r="2362" spans="4:19">
      <c r="D2362" s="104"/>
      <c r="E2362" s="104"/>
      <c r="F2362" s="104"/>
      <c r="G2362" s="104"/>
      <c r="H2362" s="104"/>
      <c r="I2362" s="104"/>
      <c r="J2362" s="104"/>
      <c r="K2362" s="104"/>
      <c r="L2362" s="104"/>
      <c r="M2362" s="104"/>
      <c r="N2362" s="104"/>
      <c r="O2362" s="104"/>
      <c r="P2362" s="104"/>
      <c r="Q2362" s="104"/>
      <c r="R2362" s="104"/>
      <c r="S2362" s="104"/>
    </row>
    <row r="2363" spans="4:19">
      <c r="D2363" s="104"/>
      <c r="E2363" s="104"/>
      <c r="F2363" s="104"/>
      <c r="G2363" s="104"/>
      <c r="H2363" s="104"/>
      <c r="I2363" s="104"/>
      <c r="J2363" s="104"/>
      <c r="K2363" s="104"/>
      <c r="L2363" s="104"/>
      <c r="M2363" s="104"/>
      <c r="N2363" s="104"/>
      <c r="O2363" s="104"/>
      <c r="P2363" s="104"/>
      <c r="Q2363" s="104"/>
      <c r="R2363" s="104"/>
      <c r="S2363" s="104"/>
    </row>
    <row r="2364" spans="4:19">
      <c r="D2364" s="104"/>
      <c r="E2364" s="104"/>
      <c r="F2364" s="104"/>
      <c r="G2364" s="104"/>
      <c r="H2364" s="104"/>
      <c r="I2364" s="104"/>
      <c r="J2364" s="104"/>
      <c r="K2364" s="104"/>
      <c r="L2364" s="104"/>
      <c r="M2364" s="104"/>
      <c r="N2364" s="104"/>
      <c r="O2364" s="104"/>
      <c r="P2364" s="104"/>
      <c r="Q2364" s="104"/>
      <c r="R2364" s="104"/>
      <c r="S2364" s="104"/>
    </row>
    <row r="2365" spans="4:19">
      <c r="D2365" s="104"/>
      <c r="E2365" s="104"/>
      <c r="F2365" s="104"/>
      <c r="G2365" s="104"/>
      <c r="H2365" s="104"/>
      <c r="I2365" s="104"/>
      <c r="J2365" s="104"/>
      <c r="K2365" s="104"/>
      <c r="L2365" s="104"/>
      <c r="M2365" s="104"/>
      <c r="N2365" s="104"/>
      <c r="O2365" s="104"/>
      <c r="P2365" s="104"/>
      <c r="Q2365" s="104"/>
      <c r="R2365" s="104"/>
      <c r="S2365" s="104"/>
    </row>
    <row r="2366" spans="4:19">
      <c r="D2366" s="104"/>
      <c r="E2366" s="104"/>
      <c r="F2366" s="104"/>
      <c r="G2366" s="104"/>
      <c r="H2366" s="104"/>
      <c r="I2366" s="104"/>
      <c r="J2366" s="104"/>
      <c r="K2366" s="104"/>
      <c r="L2366" s="104"/>
      <c r="M2366" s="104"/>
      <c r="N2366" s="104"/>
      <c r="O2366" s="104"/>
      <c r="P2366" s="104"/>
      <c r="Q2366" s="104"/>
      <c r="R2366" s="104"/>
      <c r="S2366" s="104"/>
    </row>
    <row r="2367" spans="4:19">
      <c r="D2367" s="104"/>
      <c r="E2367" s="104"/>
      <c r="F2367" s="104"/>
      <c r="G2367" s="104"/>
      <c r="H2367" s="104"/>
      <c r="I2367" s="104"/>
      <c r="J2367" s="104"/>
      <c r="K2367" s="104"/>
      <c r="L2367" s="104"/>
      <c r="M2367" s="104"/>
      <c r="N2367" s="104"/>
      <c r="O2367" s="104"/>
      <c r="P2367" s="104"/>
      <c r="Q2367" s="104"/>
      <c r="R2367" s="104"/>
      <c r="S2367" s="104"/>
    </row>
    <row r="2368" spans="4:19">
      <c r="D2368" s="104"/>
      <c r="E2368" s="104"/>
      <c r="F2368" s="104"/>
      <c r="G2368" s="104"/>
      <c r="H2368" s="104"/>
      <c r="I2368" s="104"/>
      <c r="J2368" s="104"/>
      <c r="K2368" s="104"/>
      <c r="L2368" s="104"/>
      <c r="M2368" s="104"/>
      <c r="N2368" s="104"/>
      <c r="O2368" s="104"/>
      <c r="P2368" s="104"/>
      <c r="Q2368" s="104"/>
      <c r="R2368" s="104"/>
      <c r="S2368" s="104"/>
    </row>
    <row r="2369" spans="4:19">
      <c r="D2369" s="104"/>
      <c r="E2369" s="104"/>
      <c r="F2369" s="104"/>
      <c r="G2369" s="104"/>
      <c r="H2369" s="104"/>
      <c r="I2369" s="104"/>
      <c r="J2369" s="104"/>
      <c r="K2369" s="104"/>
      <c r="L2369" s="104"/>
      <c r="M2369" s="104"/>
      <c r="N2369" s="104"/>
      <c r="O2369" s="104"/>
      <c r="P2369" s="104"/>
      <c r="Q2369" s="104"/>
      <c r="R2369" s="104"/>
      <c r="S2369" s="104"/>
    </row>
    <row r="2370" spans="4:19">
      <c r="D2370" s="104"/>
      <c r="E2370" s="104"/>
      <c r="F2370" s="104"/>
      <c r="G2370" s="104"/>
      <c r="H2370" s="104"/>
      <c r="I2370" s="104"/>
      <c r="J2370" s="104"/>
      <c r="K2370" s="104"/>
      <c r="L2370" s="104"/>
      <c r="M2370" s="104"/>
      <c r="N2370" s="104"/>
      <c r="O2370" s="104"/>
      <c r="P2370" s="104"/>
      <c r="Q2370" s="104"/>
      <c r="R2370" s="104"/>
      <c r="S2370" s="104"/>
    </row>
    <row r="2371" spans="4:19">
      <c r="D2371" s="104"/>
      <c r="E2371" s="104"/>
      <c r="F2371" s="104"/>
      <c r="G2371" s="104"/>
      <c r="H2371" s="104"/>
      <c r="I2371" s="104"/>
      <c r="J2371" s="104"/>
      <c r="K2371" s="104"/>
      <c r="L2371" s="104"/>
      <c r="M2371" s="104"/>
      <c r="N2371" s="104"/>
      <c r="O2371" s="104"/>
      <c r="P2371" s="104"/>
      <c r="Q2371" s="104"/>
      <c r="R2371" s="104"/>
      <c r="S2371" s="104"/>
    </row>
    <row r="2372" spans="4:19">
      <c r="D2372" s="104"/>
      <c r="E2372" s="104"/>
      <c r="F2372" s="104"/>
      <c r="G2372" s="104"/>
      <c r="H2372" s="104"/>
      <c r="I2372" s="104"/>
      <c r="J2372" s="104"/>
      <c r="K2372" s="104"/>
      <c r="L2372" s="104"/>
      <c r="M2372" s="104"/>
      <c r="N2372" s="104"/>
      <c r="O2372" s="104"/>
      <c r="P2372" s="104"/>
      <c r="Q2372" s="104"/>
      <c r="R2372" s="104"/>
      <c r="S2372" s="104"/>
    </row>
    <row r="2373" spans="4:19">
      <c r="D2373" s="104"/>
      <c r="E2373" s="104"/>
      <c r="F2373" s="104"/>
      <c r="G2373" s="104"/>
      <c r="H2373" s="104"/>
      <c r="I2373" s="104"/>
      <c r="J2373" s="104"/>
      <c r="K2373" s="104"/>
      <c r="L2373" s="104"/>
      <c r="M2373" s="104"/>
      <c r="N2373" s="104"/>
      <c r="O2373" s="104"/>
      <c r="P2373" s="104"/>
      <c r="Q2373" s="104"/>
      <c r="R2373" s="104"/>
      <c r="S2373" s="104"/>
    </row>
    <row r="2374" spans="4:19">
      <c r="D2374" s="104"/>
      <c r="E2374" s="104"/>
      <c r="F2374" s="104"/>
      <c r="G2374" s="104"/>
      <c r="H2374" s="104"/>
      <c r="I2374" s="104"/>
      <c r="J2374" s="104"/>
      <c r="K2374" s="104"/>
      <c r="L2374" s="104"/>
      <c r="M2374" s="104"/>
      <c r="N2374" s="104"/>
      <c r="O2374" s="104"/>
      <c r="P2374" s="104"/>
      <c r="Q2374" s="104"/>
      <c r="R2374" s="104"/>
      <c r="S2374" s="104"/>
    </row>
    <row r="2375" spans="4:19">
      <c r="D2375" s="104"/>
      <c r="E2375" s="104"/>
      <c r="F2375" s="104"/>
      <c r="G2375" s="104"/>
      <c r="H2375" s="104"/>
      <c r="I2375" s="104"/>
      <c r="J2375" s="104"/>
      <c r="K2375" s="104"/>
      <c r="L2375" s="104"/>
      <c r="M2375" s="104"/>
      <c r="N2375" s="104"/>
      <c r="O2375" s="104"/>
      <c r="P2375" s="104"/>
      <c r="Q2375" s="104"/>
      <c r="R2375" s="104"/>
      <c r="S2375" s="104"/>
    </row>
    <row r="2376" spans="4:19">
      <c r="D2376" s="104"/>
      <c r="E2376" s="104"/>
      <c r="F2376" s="104"/>
      <c r="G2376" s="104"/>
      <c r="H2376" s="104"/>
      <c r="I2376" s="104"/>
      <c r="J2376" s="104"/>
      <c r="K2376" s="104"/>
      <c r="L2376" s="104"/>
      <c r="M2376" s="104"/>
      <c r="N2376" s="104"/>
      <c r="O2376" s="104"/>
      <c r="P2376" s="104"/>
      <c r="Q2376" s="104"/>
      <c r="R2376" s="104"/>
      <c r="S2376" s="104"/>
    </row>
    <row r="2377" spans="4:19">
      <c r="D2377" s="104"/>
      <c r="E2377" s="104"/>
      <c r="F2377" s="104"/>
      <c r="G2377" s="104"/>
      <c r="H2377" s="104"/>
      <c r="I2377" s="104"/>
      <c r="J2377" s="104"/>
      <c r="K2377" s="104"/>
      <c r="L2377" s="104"/>
      <c r="M2377" s="104"/>
      <c r="N2377" s="104"/>
      <c r="O2377" s="104"/>
      <c r="P2377" s="104"/>
      <c r="Q2377" s="104"/>
      <c r="R2377" s="104"/>
      <c r="S2377" s="104"/>
    </row>
    <row r="2378" spans="4:19">
      <c r="D2378" s="104"/>
      <c r="E2378" s="104"/>
      <c r="F2378" s="104"/>
      <c r="G2378" s="104"/>
      <c r="H2378" s="104"/>
      <c r="I2378" s="104"/>
      <c r="J2378" s="104"/>
      <c r="K2378" s="104"/>
      <c r="L2378" s="104"/>
      <c r="M2378" s="104"/>
      <c r="N2378" s="104"/>
      <c r="O2378" s="104"/>
      <c r="P2378" s="104"/>
      <c r="Q2378" s="104"/>
      <c r="R2378" s="104"/>
      <c r="S2378" s="104"/>
    </row>
    <row r="2379" spans="4:19">
      <c r="D2379" s="104"/>
      <c r="E2379" s="104"/>
      <c r="F2379" s="104"/>
      <c r="G2379" s="104"/>
      <c r="H2379" s="104"/>
      <c r="I2379" s="104"/>
      <c r="J2379" s="104"/>
      <c r="K2379" s="104"/>
      <c r="L2379" s="104"/>
      <c r="M2379" s="104"/>
      <c r="N2379" s="104"/>
      <c r="O2379" s="104"/>
      <c r="P2379" s="104"/>
      <c r="Q2379" s="104"/>
      <c r="R2379" s="104"/>
      <c r="S2379" s="104"/>
    </row>
    <row r="2380" spans="4:19">
      <c r="D2380" s="104"/>
      <c r="E2380" s="104"/>
      <c r="F2380" s="104"/>
      <c r="G2380" s="104"/>
      <c r="H2380" s="104"/>
      <c r="I2380" s="104"/>
      <c r="J2380" s="104"/>
      <c r="K2380" s="104"/>
      <c r="L2380" s="104"/>
      <c r="M2380" s="104"/>
      <c r="N2380" s="104"/>
      <c r="O2380" s="104"/>
      <c r="P2380" s="104"/>
      <c r="Q2380" s="104"/>
      <c r="R2380" s="104"/>
      <c r="S2380" s="104"/>
    </row>
    <row r="2381" spans="4:19">
      <c r="D2381" s="104"/>
      <c r="E2381" s="104"/>
      <c r="F2381" s="104"/>
      <c r="G2381" s="104"/>
      <c r="H2381" s="104"/>
      <c r="I2381" s="104"/>
      <c r="J2381" s="104"/>
      <c r="K2381" s="104"/>
      <c r="L2381" s="104"/>
      <c r="M2381" s="104"/>
      <c r="N2381" s="104"/>
      <c r="O2381" s="104"/>
      <c r="P2381" s="104"/>
      <c r="Q2381" s="104"/>
      <c r="R2381" s="104"/>
      <c r="S2381" s="104"/>
    </row>
    <row r="2382" spans="4:19">
      <c r="D2382" s="104"/>
      <c r="E2382" s="104"/>
      <c r="F2382" s="104"/>
      <c r="G2382" s="104"/>
      <c r="H2382" s="104"/>
      <c r="I2382" s="104"/>
      <c r="J2382" s="104"/>
      <c r="K2382" s="104"/>
      <c r="L2382" s="104"/>
      <c r="M2382" s="104"/>
      <c r="N2382" s="104"/>
      <c r="O2382" s="104"/>
      <c r="P2382" s="104"/>
      <c r="Q2382" s="104"/>
      <c r="R2382" s="104"/>
      <c r="S2382" s="104"/>
    </row>
    <row r="2383" spans="4:19">
      <c r="D2383" s="104"/>
      <c r="E2383" s="104"/>
      <c r="F2383" s="104"/>
      <c r="G2383" s="104"/>
      <c r="H2383" s="104"/>
      <c r="I2383" s="104"/>
      <c r="J2383" s="104"/>
      <c r="K2383" s="104"/>
      <c r="L2383" s="104"/>
      <c r="M2383" s="104"/>
      <c r="N2383" s="104"/>
      <c r="O2383" s="104"/>
      <c r="P2383" s="104"/>
      <c r="Q2383" s="104"/>
      <c r="R2383" s="104"/>
      <c r="S2383" s="104"/>
    </row>
    <row r="2384" spans="4:19">
      <c r="D2384" s="104"/>
      <c r="E2384" s="104"/>
      <c r="F2384" s="104"/>
      <c r="G2384" s="104"/>
      <c r="H2384" s="104"/>
      <c r="I2384" s="104"/>
      <c r="J2384" s="104"/>
      <c r="K2384" s="104"/>
      <c r="L2384" s="104"/>
      <c r="M2384" s="104"/>
      <c r="N2384" s="104"/>
      <c r="O2384" s="104"/>
      <c r="P2384" s="104"/>
      <c r="Q2384" s="104"/>
      <c r="R2384" s="104"/>
      <c r="S2384" s="104"/>
    </row>
    <row r="2385" spans="4:19">
      <c r="D2385" s="104"/>
      <c r="E2385" s="104"/>
      <c r="F2385" s="104"/>
      <c r="G2385" s="104"/>
      <c r="H2385" s="104"/>
      <c r="I2385" s="104"/>
      <c r="J2385" s="104"/>
      <c r="K2385" s="104"/>
      <c r="L2385" s="104"/>
      <c r="M2385" s="104"/>
      <c r="N2385" s="104"/>
      <c r="O2385" s="104"/>
      <c r="P2385" s="104"/>
      <c r="Q2385" s="104"/>
      <c r="R2385" s="104"/>
      <c r="S2385" s="104"/>
    </row>
    <row r="2386" spans="4:19">
      <c r="D2386" s="104"/>
      <c r="E2386" s="104"/>
      <c r="F2386" s="104"/>
      <c r="G2386" s="104"/>
      <c r="H2386" s="104"/>
      <c r="I2386" s="104"/>
      <c r="J2386" s="104"/>
      <c r="K2386" s="104"/>
      <c r="L2386" s="104"/>
      <c r="M2386" s="104"/>
      <c r="N2386" s="104"/>
      <c r="O2386" s="104"/>
      <c r="P2386" s="104"/>
      <c r="Q2386" s="104"/>
      <c r="R2386" s="104"/>
      <c r="S2386" s="104"/>
    </row>
    <row r="2387" spans="4:19">
      <c r="D2387" s="104"/>
      <c r="E2387" s="104"/>
      <c r="F2387" s="104"/>
      <c r="G2387" s="104"/>
      <c r="H2387" s="104"/>
      <c r="I2387" s="104"/>
      <c r="J2387" s="104"/>
      <c r="K2387" s="104"/>
      <c r="L2387" s="104"/>
      <c r="M2387" s="104"/>
      <c r="N2387" s="104"/>
      <c r="O2387" s="104"/>
      <c r="P2387" s="104"/>
      <c r="Q2387" s="104"/>
      <c r="R2387" s="104"/>
      <c r="S2387" s="104"/>
    </row>
    <row r="2388" spans="4:19">
      <c r="D2388" s="104"/>
      <c r="E2388" s="104"/>
      <c r="F2388" s="104"/>
      <c r="G2388" s="104"/>
      <c r="H2388" s="104"/>
      <c r="I2388" s="104"/>
      <c r="J2388" s="104"/>
      <c r="K2388" s="104"/>
      <c r="L2388" s="104"/>
      <c r="M2388" s="104"/>
      <c r="N2388" s="104"/>
      <c r="O2388" s="104"/>
      <c r="P2388" s="104"/>
      <c r="Q2388" s="104"/>
      <c r="R2388" s="104"/>
      <c r="S2388" s="104"/>
    </row>
    <row r="2389" spans="4:19">
      <c r="D2389" s="104"/>
      <c r="E2389" s="104"/>
      <c r="F2389" s="104"/>
      <c r="G2389" s="104"/>
      <c r="H2389" s="104"/>
      <c r="I2389" s="104"/>
      <c r="J2389" s="104"/>
      <c r="K2389" s="104"/>
      <c r="L2389" s="104"/>
      <c r="M2389" s="104"/>
      <c r="N2389" s="104"/>
      <c r="O2389" s="104"/>
      <c r="P2389" s="104"/>
      <c r="Q2389" s="104"/>
      <c r="R2389" s="104"/>
      <c r="S2389" s="104"/>
    </row>
    <row r="2390" spans="4:19">
      <c r="D2390" s="104"/>
      <c r="E2390" s="104"/>
      <c r="F2390" s="104"/>
      <c r="G2390" s="104"/>
      <c r="H2390" s="104"/>
      <c r="I2390" s="104"/>
      <c r="J2390" s="104"/>
      <c r="K2390" s="104"/>
      <c r="L2390" s="104"/>
      <c r="M2390" s="104"/>
      <c r="N2390" s="104"/>
      <c r="O2390" s="104"/>
      <c r="P2390" s="104"/>
      <c r="Q2390" s="104"/>
      <c r="R2390" s="104"/>
      <c r="S2390" s="104"/>
    </row>
    <row r="2391" spans="4:19">
      <c r="D2391" s="104"/>
      <c r="E2391" s="104"/>
      <c r="F2391" s="104"/>
      <c r="G2391" s="104"/>
      <c r="H2391" s="104"/>
      <c r="I2391" s="104"/>
      <c r="J2391" s="104"/>
      <c r="K2391" s="104"/>
      <c r="L2391" s="104"/>
      <c r="M2391" s="104"/>
      <c r="N2391" s="104"/>
      <c r="O2391" s="104"/>
      <c r="P2391" s="104"/>
      <c r="Q2391" s="104"/>
      <c r="R2391" s="104"/>
      <c r="S2391" s="104"/>
    </row>
    <row r="2392" spans="4:19">
      <c r="D2392" s="104"/>
      <c r="E2392" s="104"/>
      <c r="F2392" s="104"/>
      <c r="G2392" s="104"/>
      <c r="H2392" s="104"/>
      <c r="I2392" s="104"/>
      <c r="J2392" s="104"/>
      <c r="K2392" s="104"/>
      <c r="L2392" s="104"/>
      <c r="M2392" s="104"/>
      <c r="N2392" s="104"/>
      <c r="O2392" s="104"/>
      <c r="P2392" s="104"/>
      <c r="Q2392" s="104"/>
      <c r="R2392" s="104"/>
      <c r="S2392" s="104"/>
    </row>
    <row r="2393" spans="4:19">
      <c r="D2393" s="104"/>
      <c r="E2393" s="104"/>
      <c r="F2393" s="104"/>
      <c r="G2393" s="104"/>
      <c r="H2393" s="104"/>
      <c r="I2393" s="104"/>
      <c r="J2393" s="104"/>
      <c r="K2393" s="104"/>
      <c r="L2393" s="104"/>
      <c r="M2393" s="104"/>
      <c r="N2393" s="104"/>
      <c r="O2393" s="104"/>
      <c r="P2393" s="104"/>
      <c r="Q2393" s="104"/>
      <c r="R2393" s="104"/>
      <c r="S2393" s="104"/>
    </row>
    <row r="2394" spans="4:19">
      <c r="D2394" s="104"/>
      <c r="E2394" s="104"/>
      <c r="F2394" s="104"/>
      <c r="G2394" s="104"/>
      <c r="H2394" s="104"/>
      <c r="I2394" s="104"/>
      <c r="J2394" s="104"/>
      <c r="K2394" s="104"/>
      <c r="L2394" s="104"/>
      <c r="M2394" s="104"/>
      <c r="N2394" s="104"/>
      <c r="O2394" s="104"/>
      <c r="P2394" s="104"/>
      <c r="Q2394" s="104"/>
      <c r="R2394" s="104"/>
      <c r="S2394" s="104"/>
    </row>
    <row r="2395" spans="4:19">
      <c r="D2395" s="104"/>
      <c r="E2395" s="104"/>
      <c r="F2395" s="104"/>
      <c r="G2395" s="104"/>
      <c r="H2395" s="104"/>
      <c r="I2395" s="104"/>
      <c r="J2395" s="104"/>
      <c r="K2395" s="104"/>
      <c r="L2395" s="104"/>
      <c r="M2395" s="104"/>
      <c r="N2395" s="104"/>
      <c r="O2395" s="104"/>
      <c r="P2395" s="104"/>
      <c r="Q2395" s="104"/>
      <c r="R2395" s="104"/>
      <c r="S2395" s="104"/>
    </row>
    <row r="2396" spans="4:19">
      <c r="D2396" s="104"/>
      <c r="E2396" s="104"/>
      <c r="F2396" s="104"/>
      <c r="G2396" s="104"/>
      <c r="H2396" s="104"/>
      <c r="I2396" s="104"/>
      <c r="J2396" s="104"/>
      <c r="K2396" s="104"/>
      <c r="L2396" s="104"/>
      <c r="M2396" s="104"/>
      <c r="N2396" s="104"/>
      <c r="O2396" s="104"/>
      <c r="P2396" s="104"/>
      <c r="Q2396" s="104"/>
      <c r="R2396" s="104"/>
      <c r="S2396" s="104"/>
    </row>
    <row r="2397" spans="4:19">
      <c r="D2397" s="104"/>
      <c r="E2397" s="104"/>
      <c r="F2397" s="104"/>
      <c r="G2397" s="104"/>
      <c r="H2397" s="104"/>
      <c r="I2397" s="104"/>
      <c r="J2397" s="104"/>
      <c r="K2397" s="104"/>
      <c r="L2397" s="104"/>
      <c r="M2397" s="104"/>
      <c r="N2397" s="104"/>
      <c r="O2397" s="104"/>
      <c r="P2397" s="104"/>
      <c r="Q2397" s="104"/>
      <c r="R2397" s="104"/>
      <c r="S2397" s="104"/>
    </row>
    <row r="2398" spans="4:19">
      <c r="D2398" s="104"/>
      <c r="E2398" s="104"/>
      <c r="F2398" s="104"/>
      <c r="G2398" s="104"/>
      <c r="H2398" s="104"/>
      <c r="I2398" s="104"/>
      <c r="J2398" s="104"/>
      <c r="K2398" s="104"/>
      <c r="L2398" s="104"/>
      <c r="M2398" s="104"/>
      <c r="N2398" s="104"/>
      <c r="O2398" s="104"/>
      <c r="P2398" s="104"/>
      <c r="Q2398" s="104"/>
      <c r="R2398" s="104"/>
      <c r="S2398" s="104"/>
    </row>
    <row r="2399" spans="4:19">
      <c r="D2399" s="104"/>
      <c r="E2399" s="104"/>
      <c r="F2399" s="104"/>
      <c r="G2399" s="104"/>
      <c r="H2399" s="104"/>
      <c r="I2399" s="104"/>
      <c r="J2399" s="104"/>
      <c r="K2399" s="104"/>
      <c r="L2399" s="104"/>
      <c r="M2399" s="104"/>
      <c r="N2399" s="104"/>
      <c r="O2399" s="104"/>
      <c r="P2399" s="104"/>
      <c r="Q2399" s="104"/>
      <c r="R2399" s="104"/>
      <c r="S2399" s="104"/>
    </row>
    <row r="2400" spans="4:19">
      <c r="D2400" s="104"/>
      <c r="E2400" s="104"/>
      <c r="F2400" s="104"/>
      <c r="G2400" s="104"/>
      <c r="H2400" s="104"/>
      <c r="I2400" s="104"/>
      <c r="J2400" s="104"/>
      <c r="K2400" s="104"/>
      <c r="L2400" s="104"/>
      <c r="M2400" s="104"/>
      <c r="N2400" s="104"/>
      <c r="O2400" s="104"/>
      <c r="P2400" s="104"/>
      <c r="Q2400" s="104"/>
      <c r="R2400" s="104"/>
      <c r="S2400" s="104"/>
    </row>
    <row r="2401" spans="4:19">
      <c r="D2401" s="104"/>
      <c r="E2401" s="104"/>
      <c r="F2401" s="104"/>
      <c r="G2401" s="104"/>
      <c r="H2401" s="104"/>
      <c r="I2401" s="104"/>
      <c r="J2401" s="104"/>
      <c r="K2401" s="104"/>
      <c r="L2401" s="104"/>
      <c r="M2401" s="104"/>
      <c r="N2401" s="104"/>
      <c r="O2401" s="104"/>
      <c r="P2401" s="104"/>
      <c r="Q2401" s="104"/>
      <c r="R2401" s="104"/>
      <c r="S2401" s="104"/>
    </row>
    <row r="2402" spans="4:19">
      <c r="D2402" s="104"/>
      <c r="E2402" s="104"/>
      <c r="F2402" s="104"/>
      <c r="G2402" s="104"/>
      <c r="H2402" s="104"/>
      <c r="I2402" s="104"/>
      <c r="J2402" s="104"/>
      <c r="K2402" s="104"/>
      <c r="L2402" s="104"/>
      <c r="M2402" s="104"/>
      <c r="N2402" s="104"/>
      <c r="O2402" s="104"/>
      <c r="P2402" s="104"/>
      <c r="Q2402" s="104"/>
      <c r="R2402" s="104"/>
      <c r="S2402" s="104"/>
    </row>
    <row r="2403" spans="4:19">
      <c r="D2403" s="104"/>
      <c r="E2403" s="104"/>
      <c r="F2403" s="104"/>
      <c r="G2403" s="104"/>
      <c r="H2403" s="104"/>
      <c r="I2403" s="104"/>
      <c r="J2403" s="104"/>
      <c r="K2403" s="104"/>
      <c r="L2403" s="104"/>
      <c r="M2403" s="104"/>
      <c r="N2403" s="104"/>
      <c r="O2403" s="104"/>
      <c r="P2403" s="104"/>
      <c r="Q2403" s="104"/>
      <c r="R2403" s="104"/>
      <c r="S2403" s="104"/>
    </row>
    <row r="2404" spans="4:19">
      <c r="D2404" s="104"/>
      <c r="E2404" s="104"/>
      <c r="F2404" s="104"/>
      <c r="G2404" s="104"/>
      <c r="H2404" s="104"/>
      <c r="I2404" s="104"/>
      <c r="J2404" s="104"/>
      <c r="K2404" s="104"/>
      <c r="L2404" s="104"/>
      <c r="M2404" s="104"/>
      <c r="N2404" s="104"/>
      <c r="O2404" s="104"/>
      <c r="P2404" s="104"/>
      <c r="Q2404" s="104"/>
      <c r="R2404" s="104"/>
      <c r="S2404" s="104"/>
    </row>
    <row r="2405" spans="4:19">
      <c r="D2405" s="104"/>
      <c r="E2405" s="104"/>
      <c r="F2405" s="104"/>
      <c r="G2405" s="104"/>
      <c r="H2405" s="104"/>
      <c r="I2405" s="104"/>
      <c r="J2405" s="104"/>
      <c r="K2405" s="104"/>
      <c r="L2405" s="104"/>
      <c r="M2405" s="104"/>
      <c r="N2405" s="104"/>
      <c r="O2405" s="104"/>
      <c r="P2405" s="104"/>
      <c r="Q2405" s="104"/>
      <c r="R2405" s="104"/>
      <c r="S2405" s="104"/>
    </row>
    <row r="2406" spans="4:19">
      <c r="D2406" s="104"/>
      <c r="E2406" s="104"/>
      <c r="F2406" s="104"/>
      <c r="G2406" s="104"/>
      <c r="H2406" s="104"/>
      <c r="I2406" s="104"/>
      <c r="J2406" s="104"/>
      <c r="K2406" s="104"/>
      <c r="L2406" s="104"/>
      <c r="M2406" s="104"/>
      <c r="N2406" s="104"/>
      <c r="O2406" s="104"/>
      <c r="P2406" s="104"/>
      <c r="Q2406" s="104"/>
      <c r="R2406" s="104"/>
      <c r="S2406" s="104"/>
    </row>
    <row r="2407" spans="4:19">
      <c r="D2407" s="104"/>
      <c r="E2407" s="104"/>
      <c r="F2407" s="104"/>
      <c r="G2407" s="104"/>
      <c r="H2407" s="104"/>
      <c r="I2407" s="104"/>
      <c r="J2407" s="104"/>
      <c r="K2407" s="104"/>
      <c r="L2407" s="104"/>
      <c r="M2407" s="104"/>
      <c r="N2407" s="104"/>
      <c r="O2407" s="104"/>
      <c r="P2407" s="104"/>
      <c r="Q2407" s="104"/>
      <c r="R2407" s="104"/>
      <c r="S2407" s="104"/>
    </row>
    <row r="2408" spans="4:19">
      <c r="D2408" s="104"/>
      <c r="E2408" s="104"/>
      <c r="F2408" s="104"/>
      <c r="G2408" s="104"/>
      <c r="H2408" s="104"/>
      <c r="I2408" s="104"/>
      <c r="J2408" s="104"/>
      <c r="K2408" s="104"/>
      <c r="L2408" s="104"/>
      <c r="M2408" s="104"/>
      <c r="N2408" s="104"/>
      <c r="O2408" s="104"/>
      <c r="P2408" s="104"/>
      <c r="Q2408" s="104"/>
      <c r="R2408" s="104"/>
      <c r="S2408" s="104"/>
    </row>
    <row r="2409" spans="4:19">
      <c r="D2409" s="104"/>
      <c r="E2409" s="104"/>
      <c r="F2409" s="104"/>
      <c r="G2409" s="104"/>
      <c r="H2409" s="104"/>
      <c r="I2409" s="104"/>
      <c r="J2409" s="104"/>
      <c r="K2409" s="104"/>
      <c r="L2409" s="104"/>
      <c r="M2409" s="104"/>
      <c r="N2409" s="104"/>
      <c r="O2409" s="104"/>
      <c r="P2409" s="104"/>
      <c r="Q2409" s="104"/>
      <c r="R2409" s="104"/>
      <c r="S2409" s="104"/>
    </row>
    <row r="2410" spans="4:19">
      <c r="D2410" s="104"/>
      <c r="E2410" s="104"/>
      <c r="F2410" s="104"/>
      <c r="G2410" s="104"/>
      <c r="H2410" s="104"/>
      <c r="I2410" s="104"/>
      <c r="J2410" s="104"/>
      <c r="K2410" s="104"/>
      <c r="L2410" s="104"/>
      <c r="M2410" s="104"/>
      <c r="N2410" s="104"/>
      <c r="O2410" s="104"/>
      <c r="P2410" s="104"/>
      <c r="Q2410" s="104"/>
      <c r="R2410" s="104"/>
      <c r="S2410" s="104"/>
    </row>
    <row r="2411" spans="4:19">
      <c r="D2411" s="104"/>
      <c r="E2411" s="104"/>
      <c r="F2411" s="104"/>
      <c r="G2411" s="104"/>
      <c r="H2411" s="104"/>
      <c r="I2411" s="104"/>
      <c r="J2411" s="104"/>
      <c r="K2411" s="104"/>
      <c r="L2411" s="104"/>
      <c r="M2411" s="104"/>
      <c r="N2411" s="104"/>
      <c r="O2411" s="104"/>
      <c r="P2411" s="104"/>
      <c r="Q2411" s="104"/>
      <c r="R2411" s="104"/>
      <c r="S2411" s="104"/>
    </row>
    <row r="2412" spans="4:19">
      <c r="D2412" s="104"/>
      <c r="E2412" s="104"/>
      <c r="F2412" s="104"/>
      <c r="G2412" s="104"/>
      <c r="H2412" s="104"/>
      <c r="I2412" s="104"/>
      <c r="J2412" s="104"/>
      <c r="K2412" s="104"/>
      <c r="L2412" s="104"/>
      <c r="M2412" s="104"/>
      <c r="N2412" s="104"/>
      <c r="O2412" s="104"/>
      <c r="P2412" s="104"/>
      <c r="Q2412" s="104"/>
      <c r="R2412" s="104"/>
      <c r="S2412" s="104"/>
    </row>
    <row r="2413" spans="4:19">
      <c r="D2413" s="104"/>
      <c r="E2413" s="104"/>
      <c r="F2413" s="104"/>
      <c r="G2413" s="104"/>
      <c r="H2413" s="104"/>
      <c r="I2413" s="104"/>
      <c r="J2413" s="104"/>
      <c r="K2413" s="104"/>
      <c r="L2413" s="104"/>
      <c r="M2413" s="104"/>
      <c r="N2413" s="104"/>
      <c r="O2413" s="104"/>
      <c r="P2413" s="104"/>
      <c r="Q2413" s="104"/>
      <c r="R2413" s="104"/>
      <c r="S2413" s="104"/>
    </row>
    <row r="2414" spans="4:19">
      <c r="D2414" s="104"/>
      <c r="E2414" s="104"/>
      <c r="F2414" s="104"/>
      <c r="G2414" s="104"/>
      <c r="H2414" s="104"/>
      <c r="I2414" s="104"/>
      <c r="J2414" s="104"/>
      <c r="K2414" s="104"/>
      <c r="L2414" s="104"/>
      <c r="M2414" s="104"/>
      <c r="N2414" s="104"/>
      <c r="O2414" s="104"/>
      <c r="P2414" s="104"/>
      <c r="Q2414" s="104"/>
      <c r="R2414" s="104"/>
      <c r="S2414" s="104"/>
    </row>
    <row r="2415" spans="4:19">
      <c r="D2415" s="104"/>
      <c r="E2415" s="104"/>
      <c r="F2415" s="104"/>
      <c r="G2415" s="104"/>
      <c r="H2415" s="104"/>
      <c r="I2415" s="104"/>
      <c r="J2415" s="104"/>
      <c r="K2415" s="104"/>
      <c r="L2415" s="104"/>
      <c r="M2415" s="104"/>
      <c r="N2415" s="104"/>
      <c r="O2415" s="104"/>
      <c r="P2415" s="104"/>
      <c r="Q2415" s="104"/>
      <c r="R2415" s="104"/>
      <c r="S2415" s="104"/>
    </row>
    <row r="2416" spans="4:19">
      <c r="D2416" s="104"/>
      <c r="E2416" s="104"/>
      <c r="F2416" s="104"/>
      <c r="G2416" s="104"/>
      <c r="H2416" s="104"/>
      <c r="I2416" s="104"/>
      <c r="J2416" s="104"/>
      <c r="K2416" s="104"/>
      <c r="L2416" s="104"/>
      <c r="M2416" s="104"/>
      <c r="N2416" s="104"/>
      <c r="O2416" s="104"/>
      <c r="P2416" s="104"/>
      <c r="Q2416" s="104"/>
      <c r="R2416" s="104"/>
      <c r="S2416" s="104"/>
    </row>
    <row r="2417" spans="4:19">
      <c r="D2417" s="104"/>
      <c r="E2417" s="104"/>
      <c r="F2417" s="104"/>
      <c r="G2417" s="104"/>
      <c r="H2417" s="104"/>
      <c r="I2417" s="104"/>
      <c r="J2417" s="104"/>
      <c r="K2417" s="104"/>
      <c r="L2417" s="104"/>
      <c r="M2417" s="104"/>
      <c r="N2417" s="104"/>
      <c r="O2417" s="104"/>
      <c r="P2417" s="104"/>
      <c r="Q2417" s="104"/>
      <c r="R2417" s="104"/>
      <c r="S2417" s="104"/>
    </row>
    <row r="2418" spans="4:19">
      <c r="D2418" s="104"/>
      <c r="E2418" s="104"/>
      <c r="F2418" s="104"/>
      <c r="G2418" s="104"/>
      <c r="H2418" s="104"/>
      <c r="I2418" s="104"/>
      <c r="J2418" s="104"/>
      <c r="K2418" s="104"/>
      <c r="L2418" s="104"/>
      <c r="M2418" s="104"/>
      <c r="N2418" s="104"/>
      <c r="O2418" s="104"/>
      <c r="P2418" s="104"/>
      <c r="Q2418" s="104"/>
      <c r="R2418" s="104"/>
      <c r="S2418" s="104"/>
    </row>
    <row r="2419" spans="4:19">
      <c r="D2419" s="104"/>
      <c r="E2419" s="104"/>
      <c r="F2419" s="104"/>
      <c r="G2419" s="104"/>
      <c r="H2419" s="104"/>
      <c r="I2419" s="104"/>
      <c r="J2419" s="104"/>
      <c r="K2419" s="104"/>
      <c r="L2419" s="104"/>
      <c r="M2419" s="104"/>
      <c r="N2419" s="104"/>
      <c r="O2419" s="104"/>
      <c r="P2419" s="104"/>
      <c r="Q2419" s="104"/>
      <c r="R2419" s="104"/>
      <c r="S2419" s="104"/>
    </row>
    <row r="2420" spans="4:19">
      <c r="D2420" s="104"/>
      <c r="E2420" s="104"/>
      <c r="F2420" s="104"/>
      <c r="G2420" s="104"/>
      <c r="H2420" s="104"/>
      <c r="I2420" s="104"/>
      <c r="J2420" s="104"/>
      <c r="K2420" s="104"/>
      <c r="L2420" s="104"/>
      <c r="M2420" s="104"/>
      <c r="N2420" s="104"/>
      <c r="O2420" s="104"/>
      <c r="P2420" s="104"/>
      <c r="Q2420" s="104"/>
      <c r="R2420" s="104"/>
      <c r="S2420" s="104"/>
    </row>
    <row r="2421" spans="4:19">
      <c r="D2421" s="104"/>
      <c r="E2421" s="104"/>
      <c r="F2421" s="104"/>
      <c r="G2421" s="104"/>
      <c r="H2421" s="104"/>
      <c r="I2421" s="104"/>
      <c r="J2421" s="104"/>
      <c r="K2421" s="104"/>
      <c r="L2421" s="104"/>
      <c r="M2421" s="104"/>
      <c r="N2421" s="104"/>
      <c r="O2421" s="104"/>
      <c r="P2421" s="104"/>
      <c r="Q2421" s="104"/>
      <c r="R2421" s="104"/>
      <c r="S2421" s="104"/>
    </row>
    <row r="2422" spans="4:19">
      <c r="D2422" s="104"/>
      <c r="E2422" s="104"/>
      <c r="F2422" s="104"/>
      <c r="G2422" s="104"/>
      <c r="H2422" s="104"/>
      <c r="I2422" s="104"/>
      <c r="J2422" s="104"/>
      <c r="K2422" s="104"/>
      <c r="L2422" s="104"/>
      <c r="M2422" s="104"/>
      <c r="N2422" s="104"/>
      <c r="O2422" s="104"/>
      <c r="P2422" s="104"/>
      <c r="Q2422" s="104"/>
      <c r="R2422" s="104"/>
      <c r="S2422" s="104"/>
    </row>
    <row r="2423" spans="4:19">
      <c r="D2423" s="104"/>
      <c r="E2423" s="104"/>
      <c r="F2423" s="104"/>
      <c r="G2423" s="104"/>
      <c r="H2423" s="104"/>
      <c r="I2423" s="104"/>
      <c r="J2423" s="104"/>
      <c r="K2423" s="104"/>
      <c r="L2423" s="104"/>
      <c r="M2423" s="104"/>
      <c r="N2423" s="104"/>
      <c r="O2423" s="104"/>
      <c r="P2423" s="104"/>
      <c r="Q2423" s="104"/>
      <c r="R2423" s="104"/>
      <c r="S2423" s="104"/>
    </row>
    <row r="2424" spans="4:19">
      <c r="D2424" s="104"/>
      <c r="E2424" s="104"/>
      <c r="F2424" s="104"/>
      <c r="G2424" s="104"/>
      <c r="H2424" s="104"/>
      <c r="I2424" s="104"/>
      <c r="J2424" s="104"/>
      <c r="K2424" s="104"/>
      <c r="L2424" s="104"/>
      <c r="M2424" s="104"/>
      <c r="N2424" s="104"/>
      <c r="O2424" s="104"/>
      <c r="P2424" s="104"/>
      <c r="Q2424" s="104"/>
      <c r="R2424" s="104"/>
      <c r="S2424" s="104"/>
    </row>
    <row r="2425" spans="4:19">
      <c r="D2425" s="104"/>
      <c r="E2425" s="104"/>
      <c r="F2425" s="104"/>
      <c r="G2425" s="104"/>
      <c r="H2425" s="104"/>
      <c r="I2425" s="104"/>
      <c r="J2425" s="104"/>
      <c r="K2425" s="104"/>
      <c r="L2425" s="104"/>
      <c r="M2425" s="104"/>
      <c r="N2425" s="104"/>
      <c r="O2425" s="104"/>
      <c r="P2425" s="104"/>
      <c r="Q2425" s="104"/>
      <c r="R2425" s="104"/>
      <c r="S2425" s="104"/>
    </row>
    <row r="2426" spans="4:19">
      <c r="D2426" s="104"/>
      <c r="E2426" s="104"/>
      <c r="F2426" s="104"/>
      <c r="G2426" s="104"/>
      <c r="H2426" s="104"/>
      <c r="I2426" s="104"/>
      <c r="J2426" s="104"/>
      <c r="K2426" s="104"/>
      <c r="L2426" s="104"/>
      <c r="M2426" s="104"/>
      <c r="N2426" s="104"/>
      <c r="O2426" s="104"/>
      <c r="P2426" s="104"/>
      <c r="Q2426" s="104"/>
      <c r="R2426" s="104"/>
      <c r="S2426" s="104"/>
    </row>
    <row r="2427" spans="4:19">
      <c r="D2427" s="104"/>
      <c r="E2427" s="104"/>
      <c r="F2427" s="104"/>
      <c r="G2427" s="104"/>
      <c r="H2427" s="104"/>
      <c r="I2427" s="104"/>
      <c r="J2427" s="104"/>
      <c r="K2427" s="104"/>
      <c r="L2427" s="104"/>
      <c r="M2427" s="104"/>
      <c r="N2427" s="104"/>
      <c r="O2427" s="104"/>
      <c r="P2427" s="104"/>
      <c r="Q2427" s="104"/>
      <c r="R2427" s="104"/>
      <c r="S2427" s="104"/>
    </row>
    <row r="2428" spans="4:19">
      <c r="D2428" s="104"/>
      <c r="E2428" s="104"/>
      <c r="F2428" s="104"/>
      <c r="G2428" s="104"/>
      <c r="H2428" s="104"/>
      <c r="I2428" s="104"/>
      <c r="J2428" s="104"/>
      <c r="K2428" s="104"/>
      <c r="L2428" s="104"/>
      <c r="M2428" s="104"/>
      <c r="N2428" s="104"/>
      <c r="O2428" s="104"/>
      <c r="P2428" s="104"/>
      <c r="Q2428" s="104"/>
      <c r="R2428" s="104"/>
      <c r="S2428" s="104"/>
    </row>
    <row r="2429" spans="4:19">
      <c r="D2429" s="104"/>
      <c r="E2429" s="104"/>
      <c r="F2429" s="104"/>
      <c r="G2429" s="104"/>
      <c r="H2429" s="104"/>
      <c r="I2429" s="104"/>
      <c r="J2429" s="104"/>
      <c r="K2429" s="104"/>
      <c r="L2429" s="104"/>
      <c r="M2429" s="104"/>
      <c r="N2429" s="104"/>
      <c r="O2429" s="104"/>
      <c r="P2429" s="104"/>
      <c r="Q2429" s="104"/>
      <c r="R2429" s="104"/>
      <c r="S2429" s="104"/>
    </row>
    <row r="2430" spans="4:19">
      <c r="D2430" s="104"/>
      <c r="E2430" s="104"/>
      <c r="F2430" s="104"/>
      <c r="G2430" s="104"/>
      <c r="H2430" s="104"/>
      <c r="I2430" s="104"/>
      <c r="J2430" s="104"/>
      <c r="K2430" s="104"/>
      <c r="L2430" s="104"/>
      <c r="M2430" s="104"/>
      <c r="N2430" s="104"/>
      <c r="O2430" s="104"/>
      <c r="P2430" s="104"/>
      <c r="Q2430" s="104"/>
      <c r="R2430" s="104"/>
      <c r="S2430" s="104"/>
    </row>
    <row r="2431" spans="4:19">
      <c r="D2431" s="104"/>
      <c r="E2431" s="104"/>
      <c r="F2431" s="104"/>
      <c r="G2431" s="104"/>
      <c r="H2431" s="104"/>
      <c r="I2431" s="104"/>
      <c r="J2431" s="104"/>
      <c r="K2431" s="104"/>
      <c r="L2431" s="104"/>
      <c r="M2431" s="104"/>
      <c r="N2431" s="104"/>
      <c r="O2431" s="104"/>
      <c r="P2431" s="104"/>
      <c r="Q2431" s="104"/>
      <c r="R2431" s="104"/>
      <c r="S2431" s="104"/>
    </row>
    <row r="2432" spans="4:19">
      <c r="D2432" s="104"/>
      <c r="E2432" s="104"/>
      <c r="F2432" s="104"/>
      <c r="G2432" s="104"/>
      <c r="H2432" s="104"/>
      <c r="I2432" s="104"/>
      <c r="J2432" s="104"/>
      <c r="K2432" s="104"/>
      <c r="L2432" s="104"/>
      <c r="M2432" s="104"/>
      <c r="N2432" s="104"/>
      <c r="O2432" s="104"/>
      <c r="P2432" s="104"/>
      <c r="Q2432" s="104"/>
      <c r="R2432" s="104"/>
      <c r="S2432" s="104"/>
    </row>
    <row r="2433" spans="4:19">
      <c r="D2433" s="104"/>
      <c r="E2433" s="104"/>
      <c r="F2433" s="104"/>
      <c r="G2433" s="104"/>
      <c r="H2433" s="104"/>
      <c r="I2433" s="104"/>
      <c r="J2433" s="104"/>
      <c r="K2433" s="104"/>
      <c r="L2433" s="104"/>
      <c r="M2433" s="104"/>
      <c r="N2433" s="104"/>
      <c r="O2433" s="104"/>
      <c r="P2433" s="104"/>
      <c r="Q2433" s="104"/>
      <c r="R2433" s="104"/>
      <c r="S2433" s="104"/>
    </row>
    <row r="2434" spans="4:19">
      <c r="D2434" s="104"/>
      <c r="E2434" s="104"/>
      <c r="F2434" s="104"/>
      <c r="G2434" s="104"/>
      <c r="H2434" s="104"/>
      <c r="I2434" s="104"/>
      <c r="J2434" s="104"/>
      <c r="K2434" s="104"/>
      <c r="L2434" s="104"/>
      <c r="M2434" s="104"/>
      <c r="N2434" s="104"/>
      <c r="O2434" s="104"/>
      <c r="P2434" s="104"/>
      <c r="Q2434" s="104"/>
      <c r="R2434" s="104"/>
      <c r="S2434" s="104"/>
    </row>
    <row r="2435" spans="4:19">
      <c r="D2435" s="104"/>
      <c r="E2435" s="104"/>
      <c r="F2435" s="104"/>
      <c r="G2435" s="104"/>
      <c r="H2435" s="104"/>
      <c r="I2435" s="104"/>
      <c r="J2435" s="104"/>
      <c r="K2435" s="104"/>
      <c r="L2435" s="104"/>
      <c r="M2435" s="104"/>
      <c r="N2435" s="104"/>
      <c r="O2435" s="104"/>
      <c r="P2435" s="104"/>
      <c r="Q2435" s="104"/>
      <c r="R2435" s="104"/>
      <c r="S2435" s="104"/>
    </row>
    <row r="2436" spans="4:19">
      <c r="D2436" s="104"/>
      <c r="E2436" s="104"/>
      <c r="F2436" s="104"/>
      <c r="G2436" s="104"/>
      <c r="H2436" s="104"/>
      <c r="I2436" s="104"/>
      <c r="J2436" s="104"/>
      <c r="K2436" s="104"/>
      <c r="L2436" s="104"/>
      <c r="M2436" s="104"/>
      <c r="N2436" s="104"/>
      <c r="O2436" s="104"/>
      <c r="P2436" s="104"/>
      <c r="Q2436" s="104"/>
      <c r="R2436" s="104"/>
      <c r="S2436" s="104"/>
    </row>
    <row r="2437" spans="4:19">
      <c r="D2437" s="104"/>
      <c r="E2437" s="104"/>
      <c r="F2437" s="104"/>
      <c r="G2437" s="104"/>
      <c r="H2437" s="104"/>
      <c r="I2437" s="104"/>
      <c r="J2437" s="104"/>
      <c r="K2437" s="104"/>
      <c r="L2437" s="104"/>
      <c r="M2437" s="104"/>
      <c r="N2437" s="104"/>
      <c r="O2437" s="104"/>
      <c r="P2437" s="104"/>
      <c r="Q2437" s="104"/>
      <c r="R2437" s="104"/>
      <c r="S2437" s="104"/>
    </row>
    <row r="2438" spans="4:19">
      <c r="D2438" s="104"/>
      <c r="E2438" s="104"/>
      <c r="F2438" s="104"/>
      <c r="G2438" s="104"/>
      <c r="H2438" s="104"/>
      <c r="I2438" s="104"/>
      <c r="J2438" s="104"/>
      <c r="K2438" s="104"/>
      <c r="L2438" s="104"/>
      <c r="M2438" s="104"/>
      <c r="N2438" s="104"/>
      <c r="O2438" s="104"/>
      <c r="P2438" s="104"/>
      <c r="Q2438" s="104"/>
      <c r="R2438" s="104"/>
      <c r="S2438" s="104"/>
    </row>
    <row r="2439" spans="4:19">
      <c r="D2439" s="104"/>
      <c r="E2439" s="104"/>
      <c r="F2439" s="104"/>
      <c r="G2439" s="104"/>
      <c r="H2439" s="104"/>
      <c r="I2439" s="104"/>
      <c r="J2439" s="104"/>
      <c r="K2439" s="104"/>
      <c r="L2439" s="104"/>
      <c r="M2439" s="104"/>
      <c r="N2439" s="104"/>
      <c r="O2439" s="104"/>
      <c r="P2439" s="104"/>
      <c r="Q2439" s="104"/>
      <c r="R2439" s="104"/>
      <c r="S2439" s="104"/>
    </row>
    <row r="2440" spans="4:19">
      <c r="D2440" s="104"/>
      <c r="E2440" s="104"/>
      <c r="F2440" s="104"/>
      <c r="G2440" s="104"/>
      <c r="H2440" s="104"/>
      <c r="I2440" s="104"/>
      <c r="J2440" s="104"/>
      <c r="K2440" s="104"/>
      <c r="L2440" s="104"/>
      <c r="M2440" s="104"/>
      <c r="N2440" s="104"/>
      <c r="O2440" s="104"/>
      <c r="P2440" s="104"/>
      <c r="Q2440" s="104"/>
      <c r="R2440" s="104"/>
      <c r="S2440" s="104"/>
    </row>
    <row r="2441" spans="4:19">
      <c r="D2441" s="104"/>
      <c r="E2441" s="104"/>
      <c r="F2441" s="104"/>
      <c r="G2441" s="104"/>
      <c r="H2441" s="104"/>
      <c r="I2441" s="104"/>
      <c r="J2441" s="104"/>
      <c r="K2441" s="104"/>
      <c r="L2441" s="104"/>
      <c r="M2441" s="104"/>
      <c r="N2441" s="104"/>
      <c r="O2441" s="104"/>
      <c r="P2441" s="104"/>
      <c r="Q2441" s="104"/>
      <c r="R2441" s="104"/>
      <c r="S2441" s="104"/>
    </row>
    <row r="2442" spans="4:19">
      <c r="D2442" s="104"/>
      <c r="E2442" s="104"/>
      <c r="F2442" s="104"/>
      <c r="G2442" s="104"/>
      <c r="H2442" s="104"/>
      <c r="I2442" s="104"/>
      <c r="J2442" s="104"/>
      <c r="K2442" s="104"/>
      <c r="L2442" s="104"/>
      <c r="M2442" s="104"/>
      <c r="N2442" s="104"/>
      <c r="O2442" s="104"/>
      <c r="P2442" s="104"/>
      <c r="Q2442" s="104"/>
      <c r="R2442" s="104"/>
      <c r="S2442" s="104"/>
    </row>
    <row r="2443" spans="4:19">
      <c r="D2443" s="104"/>
      <c r="E2443" s="104"/>
      <c r="F2443" s="104"/>
      <c r="G2443" s="104"/>
      <c r="H2443" s="104"/>
      <c r="I2443" s="104"/>
      <c r="J2443" s="104"/>
      <c r="K2443" s="104"/>
      <c r="L2443" s="104"/>
      <c r="M2443" s="104"/>
      <c r="N2443" s="104"/>
      <c r="O2443" s="104"/>
      <c r="P2443" s="104"/>
      <c r="Q2443" s="104"/>
      <c r="R2443" s="104"/>
      <c r="S2443" s="104"/>
    </row>
    <row r="2444" spans="4:19">
      <c r="D2444" s="104"/>
      <c r="E2444" s="104"/>
      <c r="F2444" s="104"/>
      <c r="G2444" s="104"/>
      <c r="H2444" s="104"/>
      <c r="I2444" s="104"/>
      <c r="J2444" s="104"/>
      <c r="K2444" s="104"/>
      <c r="L2444" s="104"/>
      <c r="M2444" s="104"/>
      <c r="N2444" s="104"/>
      <c r="O2444" s="104"/>
      <c r="P2444" s="104"/>
      <c r="Q2444" s="104"/>
      <c r="R2444" s="104"/>
      <c r="S2444" s="104"/>
    </row>
    <row r="2445" spans="4:19">
      <c r="D2445" s="104"/>
      <c r="E2445" s="104"/>
      <c r="F2445" s="104"/>
      <c r="G2445" s="104"/>
      <c r="H2445" s="104"/>
      <c r="I2445" s="104"/>
      <c r="J2445" s="104"/>
      <c r="K2445" s="104"/>
      <c r="L2445" s="104"/>
      <c r="M2445" s="104"/>
      <c r="N2445" s="104"/>
      <c r="O2445" s="104"/>
      <c r="P2445" s="104"/>
      <c r="Q2445" s="104"/>
      <c r="R2445" s="104"/>
      <c r="S2445" s="104"/>
    </row>
    <row r="2446" spans="4:19">
      <c r="D2446" s="104"/>
      <c r="E2446" s="104"/>
      <c r="F2446" s="104"/>
      <c r="G2446" s="104"/>
      <c r="H2446" s="104"/>
      <c r="I2446" s="104"/>
      <c r="J2446" s="104"/>
      <c r="K2446" s="104"/>
      <c r="L2446" s="104"/>
      <c r="M2446" s="104"/>
      <c r="N2446" s="104"/>
      <c r="O2446" s="104"/>
      <c r="P2446" s="104"/>
      <c r="Q2446" s="104"/>
      <c r="R2446" s="104"/>
      <c r="S2446" s="104"/>
    </row>
    <row r="2447" spans="4:19">
      <c r="D2447" s="104"/>
      <c r="E2447" s="104"/>
      <c r="F2447" s="104"/>
      <c r="G2447" s="104"/>
      <c r="H2447" s="104"/>
      <c r="I2447" s="104"/>
      <c r="J2447" s="104"/>
      <c r="K2447" s="104"/>
      <c r="L2447" s="104"/>
      <c r="M2447" s="104"/>
      <c r="N2447" s="104"/>
      <c r="O2447" s="104"/>
      <c r="P2447" s="104"/>
      <c r="Q2447" s="104"/>
      <c r="R2447" s="104"/>
      <c r="S2447" s="104"/>
    </row>
    <row r="2448" spans="4:19">
      <c r="D2448" s="104"/>
      <c r="E2448" s="104"/>
      <c r="F2448" s="104"/>
      <c r="G2448" s="104"/>
      <c r="H2448" s="104"/>
      <c r="I2448" s="104"/>
      <c r="J2448" s="104"/>
      <c r="K2448" s="104"/>
      <c r="L2448" s="104"/>
      <c r="M2448" s="104"/>
      <c r="N2448" s="104"/>
      <c r="O2448" s="104"/>
      <c r="P2448" s="104"/>
      <c r="Q2448" s="104"/>
      <c r="R2448" s="104"/>
      <c r="S2448" s="104"/>
    </row>
    <row r="2449" spans="4:19">
      <c r="D2449" s="104"/>
      <c r="E2449" s="104"/>
      <c r="F2449" s="104"/>
      <c r="G2449" s="104"/>
      <c r="H2449" s="104"/>
      <c r="I2449" s="104"/>
      <c r="J2449" s="104"/>
      <c r="K2449" s="104"/>
      <c r="L2449" s="104"/>
      <c r="M2449" s="104"/>
      <c r="N2449" s="104"/>
      <c r="O2449" s="104"/>
      <c r="P2449" s="104"/>
      <c r="Q2449" s="104"/>
      <c r="R2449" s="104"/>
      <c r="S2449" s="104"/>
    </row>
    <row r="2450" spans="4:19">
      <c r="D2450" s="104"/>
      <c r="E2450" s="104"/>
      <c r="F2450" s="104"/>
      <c r="G2450" s="104"/>
      <c r="H2450" s="104"/>
      <c r="I2450" s="104"/>
      <c r="J2450" s="104"/>
      <c r="K2450" s="104"/>
      <c r="L2450" s="104"/>
      <c r="M2450" s="104"/>
      <c r="N2450" s="104"/>
      <c r="O2450" s="104"/>
      <c r="P2450" s="104"/>
      <c r="Q2450" s="104"/>
      <c r="R2450" s="104"/>
      <c r="S2450" s="104"/>
    </row>
    <row r="2451" spans="4:19">
      <c r="D2451" s="104"/>
      <c r="E2451" s="104"/>
      <c r="F2451" s="104"/>
      <c r="G2451" s="104"/>
      <c r="H2451" s="104"/>
      <c r="I2451" s="104"/>
      <c r="J2451" s="104"/>
      <c r="K2451" s="104"/>
      <c r="L2451" s="104"/>
      <c r="M2451" s="104"/>
      <c r="N2451" s="104"/>
      <c r="O2451" s="104"/>
      <c r="P2451" s="104"/>
      <c r="Q2451" s="104"/>
      <c r="R2451" s="104"/>
      <c r="S2451" s="104"/>
    </row>
    <row r="2452" spans="4:19">
      <c r="D2452" s="104"/>
      <c r="E2452" s="104"/>
      <c r="F2452" s="104"/>
      <c r="G2452" s="104"/>
      <c r="H2452" s="104"/>
      <c r="I2452" s="104"/>
      <c r="J2452" s="104"/>
      <c r="K2452" s="104"/>
      <c r="L2452" s="104"/>
      <c r="M2452" s="104"/>
      <c r="N2452" s="104"/>
      <c r="O2452" s="104"/>
      <c r="P2452" s="104"/>
      <c r="Q2452" s="104"/>
      <c r="R2452" s="104"/>
      <c r="S2452" s="104"/>
    </row>
    <row r="2453" spans="4:19">
      <c r="D2453" s="104"/>
      <c r="E2453" s="104"/>
      <c r="F2453" s="104"/>
      <c r="G2453" s="104"/>
      <c r="H2453" s="104"/>
      <c r="I2453" s="104"/>
      <c r="J2453" s="104"/>
      <c r="K2453" s="104"/>
      <c r="L2453" s="104"/>
      <c r="M2453" s="104"/>
      <c r="N2453" s="104"/>
      <c r="O2453" s="104"/>
      <c r="P2453" s="104"/>
      <c r="Q2453" s="104"/>
      <c r="R2453" s="104"/>
      <c r="S2453" s="104"/>
    </row>
    <row r="2454" spans="4:19">
      <c r="D2454" s="104"/>
      <c r="E2454" s="104"/>
      <c r="F2454" s="104"/>
      <c r="G2454" s="104"/>
      <c r="H2454" s="104"/>
      <c r="I2454" s="104"/>
      <c r="J2454" s="104"/>
      <c r="K2454" s="104"/>
      <c r="L2454" s="104"/>
      <c r="M2454" s="104"/>
      <c r="N2454" s="104"/>
      <c r="O2454" s="104"/>
      <c r="P2454" s="104"/>
      <c r="Q2454" s="104"/>
      <c r="R2454" s="104"/>
      <c r="S2454" s="104"/>
    </row>
    <row r="2455" spans="4:19">
      <c r="D2455" s="104"/>
      <c r="E2455" s="104"/>
      <c r="F2455" s="104"/>
      <c r="G2455" s="104"/>
      <c r="H2455" s="104"/>
      <c r="I2455" s="104"/>
      <c r="J2455" s="104"/>
      <c r="K2455" s="104"/>
      <c r="L2455" s="104"/>
      <c r="M2455" s="104"/>
      <c r="N2455" s="104"/>
      <c r="O2455" s="104"/>
      <c r="P2455" s="104"/>
      <c r="Q2455" s="104"/>
      <c r="R2455" s="104"/>
      <c r="S2455" s="104"/>
    </row>
    <row r="2456" spans="4:19">
      <c r="D2456" s="104"/>
      <c r="E2456" s="104"/>
      <c r="F2456" s="104"/>
      <c r="G2456" s="104"/>
      <c r="H2456" s="104"/>
      <c r="I2456" s="104"/>
      <c r="J2456" s="104"/>
      <c r="K2456" s="104"/>
      <c r="L2456" s="104"/>
      <c r="M2456" s="104"/>
      <c r="N2456" s="104"/>
      <c r="O2456" s="104"/>
      <c r="P2456" s="104"/>
      <c r="Q2456" s="104"/>
      <c r="R2456" s="104"/>
      <c r="S2456" s="104"/>
    </row>
    <row r="2457" spans="4:19">
      <c r="D2457" s="104"/>
      <c r="E2457" s="104"/>
      <c r="F2457" s="104"/>
      <c r="G2457" s="104"/>
      <c r="H2457" s="104"/>
      <c r="I2457" s="104"/>
      <c r="J2457" s="104"/>
      <c r="K2457" s="104"/>
      <c r="L2457" s="104"/>
      <c r="M2457" s="104"/>
      <c r="N2457" s="104"/>
      <c r="O2457" s="104"/>
      <c r="P2457" s="104"/>
      <c r="Q2457" s="104"/>
      <c r="R2457" s="104"/>
      <c r="S2457" s="104"/>
    </row>
    <row r="2458" spans="4:19">
      <c r="D2458" s="104"/>
      <c r="E2458" s="104"/>
      <c r="F2458" s="104"/>
      <c r="G2458" s="104"/>
      <c r="H2458" s="104"/>
      <c r="I2458" s="104"/>
      <c r="J2458" s="104"/>
      <c r="K2458" s="104"/>
      <c r="L2458" s="104"/>
      <c r="M2458" s="104"/>
      <c r="N2458" s="104"/>
      <c r="O2458" s="104"/>
      <c r="P2458" s="104"/>
      <c r="Q2458" s="104"/>
      <c r="R2458" s="104"/>
      <c r="S2458" s="104"/>
    </row>
    <row r="2459" spans="4:19">
      <c r="D2459" s="104"/>
      <c r="E2459" s="104"/>
      <c r="F2459" s="104"/>
      <c r="G2459" s="104"/>
      <c r="H2459" s="104"/>
      <c r="I2459" s="104"/>
      <c r="J2459" s="104"/>
      <c r="K2459" s="104"/>
      <c r="L2459" s="104"/>
      <c r="M2459" s="104"/>
      <c r="N2459" s="104"/>
      <c r="O2459" s="104"/>
      <c r="P2459" s="104"/>
      <c r="Q2459" s="104"/>
      <c r="R2459" s="104"/>
      <c r="S2459" s="104"/>
    </row>
    <row r="2460" spans="4:19">
      <c r="D2460" s="104"/>
      <c r="E2460" s="104"/>
      <c r="F2460" s="104"/>
      <c r="G2460" s="104"/>
      <c r="H2460" s="104"/>
      <c r="I2460" s="104"/>
      <c r="J2460" s="104"/>
      <c r="K2460" s="104"/>
      <c r="L2460" s="104"/>
      <c r="M2460" s="104"/>
      <c r="N2460" s="104"/>
      <c r="O2460" s="104"/>
      <c r="P2460" s="104"/>
      <c r="Q2460" s="104"/>
      <c r="R2460" s="104"/>
      <c r="S2460" s="104"/>
    </row>
    <row r="2461" spans="4:19">
      <c r="D2461" s="104"/>
      <c r="E2461" s="104"/>
      <c r="F2461" s="104"/>
      <c r="G2461" s="104"/>
      <c r="H2461" s="104"/>
      <c r="I2461" s="104"/>
      <c r="J2461" s="104"/>
      <c r="K2461" s="104"/>
      <c r="L2461" s="104"/>
      <c r="M2461" s="104"/>
      <c r="N2461" s="104"/>
      <c r="O2461" s="104"/>
      <c r="P2461" s="104"/>
      <c r="Q2461" s="104"/>
      <c r="R2461" s="104"/>
      <c r="S2461" s="104"/>
    </row>
    <row r="2462" spans="4:19">
      <c r="D2462" s="104"/>
      <c r="E2462" s="104"/>
      <c r="F2462" s="104"/>
      <c r="G2462" s="104"/>
      <c r="H2462" s="104"/>
      <c r="I2462" s="104"/>
      <c r="J2462" s="104"/>
      <c r="K2462" s="104"/>
      <c r="L2462" s="104"/>
      <c r="M2462" s="104"/>
      <c r="N2462" s="104"/>
      <c r="O2462" s="104"/>
      <c r="P2462" s="104"/>
      <c r="Q2462" s="104"/>
      <c r="R2462" s="104"/>
      <c r="S2462" s="104"/>
    </row>
    <row r="2463" spans="4:19">
      <c r="D2463" s="104"/>
      <c r="E2463" s="104"/>
      <c r="F2463" s="104"/>
      <c r="G2463" s="104"/>
      <c r="H2463" s="104"/>
      <c r="I2463" s="104"/>
      <c r="J2463" s="104"/>
      <c r="K2463" s="104"/>
      <c r="L2463" s="104"/>
      <c r="M2463" s="104"/>
      <c r="N2463" s="104"/>
      <c r="O2463" s="104"/>
      <c r="P2463" s="104"/>
      <c r="Q2463" s="104"/>
      <c r="R2463" s="104"/>
      <c r="S2463" s="104"/>
    </row>
    <row r="2464" spans="4:19">
      <c r="D2464" s="104"/>
      <c r="E2464" s="104"/>
      <c r="F2464" s="104"/>
      <c r="G2464" s="104"/>
      <c r="H2464" s="104"/>
      <c r="I2464" s="104"/>
      <c r="J2464" s="104"/>
      <c r="K2464" s="104"/>
      <c r="L2464" s="104"/>
      <c r="M2464" s="104"/>
      <c r="N2464" s="104"/>
      <c r="O2464" s="104"/>
      <c r="P2464" s="104"/>
      <c r="Q2464" s="104"/>
      <c r="R2464" s="104"/>
      <c r="S2464" s="104"/>
    </row>
    <row r="2465" spans="4:19">
      <c r="D2465" s="104"/>
      <c r="E2465" s="104"/>
      <c r="F2465" s="104"/>
      <c r="G2465" s="104"/>
      <c r="H2465" s="104"/>
      <c r="I2465" s="104"/>
      <c r="J2465" s="104"/>
      <c r="K2465" s="104"/>
      <c r="L2465" s="104"/>
      <c r="M2465" s="104"/>
      <c r="N2465" s="104"/>
      <c r="O2465" s="104"/>
      <c r="P2465" s="104"/>
      <c r="Q2465" s="104"/>
      <c r="R2465" s="104"/>
      <c r="S2465" s="104"/>
    </row>
    <row r="2466" spans="4:19">
      <c r="D2466" s="104"/>
      <c r="E2466" s="104"/>
      <c r="F2466" s="104"/>
      <c r="G2466" s="104"/>
      <c r="H2466" s="104"/>
      <c r="I2466" s="104"/>
      <c r="J2466" s="104"/>
      <c r="K2466" s="104"/>
      <c r="L2466" s="104"/>
      <c r="M2466" s="104"/>
      <c r="N2466" s="104"/>
      <c r="O2466" s="104"/>
      <c r="P2466" s="104"/>
      <c r="Q2466" s="104"/>
      <c r="R2466" s="104"/>
      <c r="S2466" s="104"/>
    </row>
    <row r="2467" spans="4:19">
      <c r="D2467" s="104"/>
      <c r="E2467" s="104"/>
      <c r="F2467" s="104"/>
      <c r="G2467" s="104"/>
      <c r="H2467" s="104"/>
      <c r="I2467" s="104"/>
      <c r="J2467" s="104"/>
      <c r="K2467" s="104"/>
      <c r="L2467" s="104"/>
      <c r="M2467" s="104"/>
      <c r="N2467" s="104"/>
      <c r="O2467" s="104"/>
      <c r="P2467" s="104"/>
      <c r="Q2467" s="104"/>
      <c r="R2467" s="104"/>
      <c r="S2467" s="104"/>
    </row>
    <row r="2468" spans="4:19">
      <c r="D2468" s="104"/>
      <c r="E2468" s="104"/>
      <c r="F2468" s="104"/>
      <c r="G2468" s="104"/>
      <c r="H2468" s="104"/>
      <c r="I2468" s="104"/>
      <c r="J2468" s="104"/>
      <c r="K2468" s="104"/>
      <c r="L2468" s="104"/>
      <c r="M2468" s="104"/>
      <c r="N2468" s="104"/>
      <c r="O2468" s="104"/>
      <c r="P2468" s="104"/>
      <c r="Q2468" s="104"/>
      <c r="R2468" s="104"/>
      <c r="S2468" s="104"/>
    </row>
    <row r="2469" spans="4:19">
      <c r="D2469" s="104"/>
      <c r="E2469" s="104"/>
      <c r="F2469" s="104"/>
      <c r="G2469" s="104"/>
      <c r="H2469" s="104"/>
      <c r="I2469" s="104"/>
      <c r="J2469" s="104"/>
      <c r="K2469" s="104"/>
      <c r="L2469" s="104"/>
      <c r="M2469" s="104"/>
      <c r="N2469" s="104"/>
      <c r="O2469" s="104"/>
      <c r="P2469" s="104"/>
      <c r="Q2469" s="104"/>
      <c r="R2469" s="104"/>
      <c r="S2469" s="104"/>
    </row>
    <row r="2470" spans="4:19">
      <c r="D2470" s="104"/>
      <c r="E2470" s="104"/>
      <c r="F2470" s="104"/>
      <c r="G2470" s="104"/>
      <c r="H2470" s="104"/>
      <c r="I2470" s="104"/>
      <c r="J2470" s="104"/>
      <c r="K2470" s="104"/>
      <c r="L2470" s="104"/>
      <c r="M2470" s="104"/>
      <c r="N2470" s="104"/>
      <c r="O2470" s="104"/>
      <c r="P2470" s="104"/>
      <c r="Q2470" s="104"/>
      <c r="R2470" s="104"/>
      <c r="S2470" s="104"/>
    </row>
    <row r="2471" spans="4:19">
      <c r="D2471" s="104"/>
      <c r="E2471" s="104"/>
      <c r="F2471" s="104"/>
      <c r="G2471" s="104"/>
      <c r="H2471" s="104"/>
      <c r="I2471" s="104"/>
      <c r="J2471" s="104"/>
      <c r="K2471" s="104"/>
      <c r="L2471" s="104"/>
      <c r="M2471" s="104"/>
      <c r="N2471" s="104"/>
      <c r="O2471" s="104"/>
      <c r="P2471" s="104"/>
      <c r="Q2471" s="104"/>
      <c r="R2471" s="104"/>
      <c r="S2471" s="104"/>
    </row>
    <row r="2472" spans="4:19">
      <c r="D2472" s="104"/>
      <c r="E2472" s="104"/>
      <c r="F2472" s="104"/>
      <c r="G2472" s="104"/>
      <c r="H2472" s="104"/>
      <c r="I2472" s="104"/>
      <c r="J2472" s="104"/>
      <c r="K2472" s="104"/>
      <c r="L2472" s="104"/>
      <c r="M2472" s="104"/>
      <c r="N2472" s="104"/>
      <c r="O2472" s="104"/>
      <c r="P2472" s="104"/>
      <c r="Q2472" s="104"/>
      <c r="R2472" s="104"/>
      <c r="S2472" s="104"/>
    </row>
    <row r="2473" spans="4:19">
      <c r="D2473" s="104"/>
      <c r="E2473" s="104"/>
      <c r="F2473" s="104"/>
      <c r="G2473" s="104"/>
      <c r="H2473" s="104"/>
      <c r="I2473" s="104"/>
      <c r="J2473" s="104"/>
      <c r="K2473" s="104"/>
      <c r="L2473" s="104"/>
      <c r="M2473" s="104"/>
      <c r="N2473" s="104"/>
      <c r="O2473" s="104"/>
      <c r="P2473" s="104"/>
      <c r="Q2473" s="104"/>
      <c r="R2473" s="104"/>
      <c r="S2473" s="104"/>
    </row>
    <row r="2474" spans="4:19">
      <c r="D2474" s="104"/>
      <c r="E2474" s="104"/>
      <c r="F2474" s="104"/>
      <c r="G2474" s="104"/>
      <c r="H2474" s="104"/>
      <c r="I2474" s="104"/>
      <c r="J2474" s="104"/>
      <c r="K2474" s="104"/>
      <c r="L2474" s="104"/>
      <c r="M2474" s="104"/>
      <c r="N2474" s="104"/>
      <c r="O2474" s="104"/>
      <c r="P2474" s="104"/>
      <c r="Q2474" s="104"/>
      <c r="R2474" s="104"/>
      <c r="S2474" s="104"/>
    </row>
    <row r="2475" spans="4:19">
      <c r="D2475" s="104"/>
      <c r="E2475" s="104"/>
      <c r="F2475" s="104"/>
      <c r="G2475" s="104"/>
      <c r="H2475" s="104"/>
      <c r="I2475" s="104"/>
      <c r="J2475" s="104"/>
      <c r="K2475" s="104"/>
      <c r="L2475" s="104"/>
      <c r="M2475" s="104"/>
      <c r="N2475" s="104"/>
      <c r="O2475" s="104"/>
      <c r="P2475" s="104"/>
      <c r="Q2475" s="104"/>
      <c r="R2475" s="104"/>
      <c r="S2475" s="104"/>
    </row>
    <row r="2476" spans="4:19">
      <c r="D2476" s="104"/>
      <c r="E2476" s="104"/>
      <c r="F2476" s="104"/>
      <c r="G2476" s="104"/>
      <c r="H2476" s="104"/>
      <c r="I2476" s="104"/>
      <c r="J2476" s="104"/>
      <c r="K2476" s="104"/>
      <c r="L2476" s="104"/>
      <c r="M2476" s="104"/>
      <c r="N2476" s="104"/>
      <c r="O2476" s="104"/>
      <c r="P2476" s="104"/>
      <c r="Q2476" s="104"/>
      <c r="R2476" s="104"/>
      <c r="S2476" s="104"/>
    </row>
    <row r="2477" spans="4:19">
      <c r="D2477" s="104"/>
      <c r="E2477" s="104"/>
      <c r="F2477" s="104"/>
      <c r="G2477" s="104"/>
      <c r="H2477" s="104"/>
      <c r="I2477" s="104"/>
      <c r="J2477" s="104"/>
      <c r="K2477" s="104"/>
      <c r="L2477" s="104"/>
      <c r="M2477" s="104"/>
      <c r="N2477" s="104"/>
      <c r="O2477" s="104"/>
      <c r="P2477" s="104"/>
      <c r="Q2477" s="104"/>
      <c r="R2477" s="104"/>
      <c r="S2477" s="104"/>
    </row>
    <row r="2478" spans="4:19">
      <c r="D2478" s="104"/>
      <c r="E2478" s="104"/>
      <c r="F2478" s="104"/>
      <c r="G2478" s="104"/>
      <c r="H2478" s="104"/>
      <c r="I2478" s="104"/>
      <c r="J2478" s="104"/>
      <c r="K2478" s="104"/>
      <c r="L2478" s="104"/>
      <c r="M2478" s="104"/>
      <c r="N2478" s="104"/>
      <c r="O2478" s="104"/>
      <c r="P2478" s="104"/>
      <c r="Q2478" s="104"/>
      <c r="R2478" s="104"/>
      <c r="S2478" s="104"/>
    </row>
    <row r="2479" spans="4:19">
      <c r="D2479" s="104"/>
      <c r="E2479" s="104"/>
      <c r="F2479" s="104"/>
      <c r="G2479" s="104"/>
      <c r="H2479" s="104"/>
      <c r="I2479" s="104"/>
      <c r="J2479" s="104"/>
      <c r="K2479" s="104"/>
      <c r="L2479" s="104"/>
      <c r="M2479" s="104"/>
      <c r="N2479" s="104"/>
      <c r="O2479" s="104"/>
      <c r="P2479" s="104"/>
      <c r="Q2479" s="104"/>
      <c r="R2479" s="104"/>
      <c r="S2479" s="104"/>
    </row>
    <row r="2480" spans="4:19">
      <c r="D2480" s="104"/>
      <c r="E2480" s="104"/>
      <c r="F2480" s="104"/>
      <c r="G2480" s="104"/>
      <c r="H2480" s="104"/>
      <c r="I2480" s="104"/>
      <c r="J2480" s="104"/>
      <c r="K2480" s="104"/>
      <c r="L2480" s="104"/>
      <c r="M2480" s="104"/>
      <c r="N2480" s="104"/>
      <c r="O2480" s="104"/>
      <c r="P2480" s="104"/>
      <c r="Q2480" s="104"/>
      <c r="R2480" s="104"/>
      <c r="S2480" s="104"/>
    </row>
    <row r="2481" spans="4:19">
      <c r="D2481" s="104"/>
      <c r="E2481" s="104"/>
      <c r="F2481" s="104"/>
      <c r="G2481" s="104"/>
      <c r="H2481" s="104"/>
      <c r="I2481" s="104"/>
      <c r="J2481" s="104"/>
      <c r="K2481" s="104"/>
      <c r="L2481" s="104"/>
      <c r="M2481" s="104"/>
      <c r="N2481" s="104"/>
      <c r="O2481" s="104"/>
      <c r="P2481" s="104"/>
      <c r="Q2481" s="104"/>
      <c r="R2481" s="104"/>
      <c r="S2481" s="104"/>
    </row>
    <row r="2482" spans="4:19">
      <c r="D2482" s="104"/>
      <c r="E2482" s="104"/>
      <c r="F2482" s="104"/>
      <c r="G2482" s="104"/>
      <c r="H2482" s="104"/>
      <c r="I2482" s="104"/>
      <c r="J2482" s="104"/>
      <c r="K2482" s="104"/>
      <c r="L2482" s="104"/>
      <c r="M2482" s="104"/>
      <c r="N2482" s="104"/>
      <c r="O2482" s="104"/>
      <c r="P2482" s="104"/>
      <c r="Q2482" s="104"/>
      <c r="R2482" s="104"/>
      <c r="S2482" s="104"/>
    </row>
    <row r="2483" spans="4:19">
      <c r="D2483" s="104"/>
      <c r="E2483" s="104"/>
      <c r="F2483" s="104"/>
      <c r="G2483" s="104"/>
      <c r="H2483" s="104"/>
      <c r="I2483" s="104"/>
      <c r="J2483" s="104"/>
      <c r="K2483" s="104"/>
      <c r="L2483" s="104"/>
      <c r="M2483" s="104"/>
      <c r="N2483" s="104"/>
      <c r="O2483" s="104"/>
      <c r="P2483" s="104"/>
      <c r="Q2483" s="104"/>
      <c r="R2483" s="104"/>
      <c r="S2483" s="104"/>
    </row>
    <row r="2484" spans="4:19">
      <c r="D2484" s="104"/>
      <c r="E2484" s="104"/>
      <c r="F2484" s="104"/>
      <c r="G2484" s="104"/>
      <c r="H2484" s="104"/>
      <c r="I2484" s="104"/>
      <c r="J2484" s="104"/>
      <c r="K2484" s="104"/>
      <c r="L2484" s="104"/>
      <c r="M2484" s="104"/>
      <c r="N2484" s="104"/>
      <c r="O2484" s="104"/>
      <c r="P2484" s="104"/>
      <c r="Q2484" s="104"/>
      <c r="R2484" s="104"/>
      <c r="S2484" s="104"/>
    </row>
    <row r="2485" spans="4:19">
      <c r="D2485" s="104"/>
      <c r="E2485" s="104"/>
      <c r="F2485" s="104"/>
      <c r="G2485" s="104"/>
      <c r="H2485" s="104"/>
      <c r="I2485" s="104"/>
      <c r="J2485" s="104"/>
      <c r="K2485" s="104"/>
      <c r="L2485" s="104"/>
      <c r="M2485" s="104"/>
      <c r="N2485" s="104"/>
      <c r="O2485" s="104"/>
      <c r="P2485" s="104"/>
      <c r="Q2485" s="104"/>
      <c r="R2485" s="104"/>
      <c r="S2485" s="104"/>
    </row>
    <row r="2486" spans="4:19">
      <c r="D2486" s="104"/>
      <c r="E2486" s="104"/>
      <c r="F2486" s="104"/>
      <c r="G2486" s="104"/>
      <c r="H2486" s="104"/>
      <c r="I2486" s="104"/>
      <c r="J2486" s="104"/>
      <c r="K2486" s="104"/>
      <c r="L2486" s="104"/>
      <c r="M2486" s="104"/>
      <c r="N2486" s="104"/>
      <c r="O2486" s="104"/>
      <c r="P2486" s="104"/>
      <c r="Q2486" s="104"/>
      <c r="R2486" s="104"/>
      <c r="S2486" s="104"/>
    </row>
    <row r="2487" spans="4:19">
      <c r="D2487" s="104"/>
      <c r="E2487" s="104"/>
      <c r="F2487" s="104"/>
      <c r="G2487" s="104"/>
      <c r="H2487" s="104"/>
      <c r="I2487" s="104"/>
      <c r="J2487" s="104"/>
      <c r="K2487" s="104"/>
      <c r="L2487" s="104"/>
      <c r="M2487" s="104"/>
      <c r="N2487" s="104"/>
      <c r="O2487" s="104"/>
      <c r="P2487" s="104"/>
      <c r="Q2487" s="104"/>
      <c r="R2487" s="104"/>
      <c r="S2487" s="104"/>
    </row>
    <row r="2488" spans="4:19">
      <c r="D2488" s="104"/>
      <c r="E2488" s="104"/>
      <c r="F2488" s="104"/>
      <c r="G2488" s="104"/>
      <c r="H2488" s="104"/>
      <c r="I2488" s="104"/>
      <c r="J2488" s="104"/>
      <c r="K2488" s="104"/>
      <c r="L2488" s="104"/>
      <c r="M2488" s="104"/>
      <c r="N2488" s="104"/>
      <c r="O2488" s="104"/>
      <c r="P2488" s="104"/>
      <c r="Q2488" s="104"/>
      <c r="R2488" s="104"/>
      <c r="S2488" s="104"/>
    </row>
    <row r="2489" spans="4:19">
      <c r="D2489" s="104"/>
      <c r="E2489" s="104"/>
      <c r="F2489" s="104"/>
      <c r="G2489" s="104"/>
      <c r="H2489" s="104"/>
      <c r="I2489" s="104"/>
      <c r="J2489" s="104"/>
      <c r="K2489" s="104"/>
      <c r="L2489" s="104"/>
      <c r="M2489" s="104"/>
      <c r="N2489" s="104"/>
      <c r="O2489" s="104"/>
      <c r="P2489" s="104"/>
      <c r="Q2489" s="104"/>
      <c r="R2489" s="104"/>
      <c r="S2489" s="104"/>
    </row>
    <row r="2490" spans="4:19">
      <c r="D2490" s="104"/>
      <c r="E2490" s="104"/>
      <c r="F2490" s="104"/>
      <c r="G2490" s="104"/>
      <c r="H2490" s="104"/>
      <c r="I2490" s="104"/>
      <c r="J2490" s="104"/>
      <c r="K2490" s="104"/>
      <c r="L2490" s="104"/>
      <c r="M2490" s="104"/>
      <c r="N2490" s="104"/>
      <c r="O2490" s="104"/>
      <c r="P2490" s="104"/>
      <c r="Q2490" s="104"/>
      <c r="R2490" s="104"/>
      <c r="S2490" s="104"/>
    </row>
    <row r="2491" spans="4:19">
      <c r="D2491" s="104"/>
      <c r="E2491" s="104"/>
      <c r="F2491" s="104"/>
      <c r="G2491" s="104"/>
      <c r="H2491" s="104"/>
      <c r="I2491" s="104"/>
      <c r="J2491" s="104"/>
      <c r="K2491" s="104"/>
      <c r="L2491" s="104"/>
      <c r="M2491" s="104"/>
      <c r="N2491" s="104"/>
      <c r="O2491" s="104"/>
      <c r="P2491" s="104"/>
      <c r="Q2491" s="104"/>
      <c r="R2491" s="104"/>
      <c r="S2491" s="104"/>
    </row>
    <row r="2492" spans="4:19">
      <c r="D2492" s="104"/>
      <c r="E2492" s="104"/>
      <c r="F2492" s="104"/>
      <c r="G2492" s="104"/>
      <c r="H2492" s="104"/>
      <c r="I2492" s="104"/>
      <c r="J2492" s="104"/>
      <c r="K2492" s="104"/>
      <c r="L2492" s="104"/>
      <c r="M2492" s="104"/>
      <c r="N2492" s="104"/>
      <c r="O2492" s="104"/>
      <c r="P2492" s="104"/>
      <c r="Q2492" s="104"/>
      <c r="R2492" s="104"/>
      <c r="S2492" s="104"/>
    </row>
    <row r="2493" spans="4:19">
      <c r="D2493" s="104"/>
      <c r="E2493" s="104"/>
      <c r="F2493" s="104"/>
      <c r="G2493" s="104"/>
      <c r="H2493" s="104"/>
      <c r="I2493" s="104"/>
      <c r="J2493" s="104"/>
      <c r="K2493" s="104"/>
      <c r="L2493" s="104"/>
      <c r="M2493" s="104"/>
      <c r="N2493" s="104"/>
      <c r="O2493" s="104"/>
      <c r="P2493" s="104"/>
      <c r="Q2493" s="104"/>
      <c r="R2493" s="104"/>
      <c r="S2493" s="104"/>
    </row>
    <row r="2494" spans="4:19">
      <c r="D2494" s="104"/>
      <c r="E2494" s="104"/>
      <c r="F2494" s="104"/>
      <c r="G2494" s="104"/>
      <c r="H2494" s="104"/>
      <c r="I2494" s="104"/>
      <c r="J2494" s="104"/>
      <c r="K2494" s="104"/>
      <c r="L2494" s="104"/>
      <c r="M2494" s="104"/>
      <c r="N2494" s="104"/>
      <c r="O2494" s="104"/>
      <c r="P2494" s="104"/>
      <c r="Q2494" s="104"/>
      <c r="R2494" s="104"/>
      <c r="S2494" s="104"/>
    </row>
    <row r="2495" spans="4:19">
      <c r="D2495" s="104"/>
      <c r="E2495" s="104"/>
      <c r="F2495" s="104"/>
      <c r="G2495" s="104"/>
      <c r="H2495" s="104"/>
      <c r="I2495" s="104"/>
      <c r="J2495" s="104"/>
      <c r="K2495" s="104"/>
      <c r="L2495" s="104"/>
      <c r="M2495" s="104"/>
      <c r="N2495" s="104"/>
      <c r="O2495" s="104"/>
      <c r="P2495" s="104"/>
      <c r="Q2495" s="104"/>
      <c r="R2495" s="104"/>
      <c r="S2495" s="104"/>
    </row>
    <row r="2496" spans="4:19">
      <c r="D2496" s="104"/>
      <c r="E2496" s="104"/>
      <c r="F2496" s="104"/>
      <c r="G2496" s="104"/>
      <c r="H2496" s="104"/>
      <c r="I2496" s="104"/>
      <c r="J2496" s="104"/>
      <c r="K2496" s="104"/>
      <c r="L2496" s="104"/>
      <c r="M2496" s="104"/>
      <c r="N2496" s="104"/>
      <c r="O2496" s="104"/>
      <c r="P2496" s="104"/>
      <c r="Q2496" s="104"/>
      <c r="R2496" s="104"/>
      <c r="S2496" s="104"/>
    </row>
    <row r="2497" spans="4:19">
      <c r="D2497" s="104"/>
      <c r="E2497" s="104"/>
      <c r="F2497" s="104"/>
      <c r="G2497" s="104"/>
      <c r="H2497" s="104"/>
      <c r="I2497" s="104"/>
      <c r="J2497" s="104"/>
      <c r="K2497" s="104"/>
      <c r="L2497" s="104"/>
      <c r="M2497" s="104"/>
      <c r="N2497" s="104"/>
      <c r="O2497" s="104"/>
      <c r="P2497" s="104"/>
      <c r="Q2497" s="104"/>
      <c r="R2497" s="104"/>
      <c r="S2497" s="104"/>
    </row>
    <row r="2498" spans="4:19">
      <c r="D2498" s="104"/>
      <c r="E2498" s="104"/>
      <c r="F2498" s="104"/>
      <c r="G2498" s="104"/>
      <c r="H2498" s="104"/>
      <c r="I2498" s="104"/>
      <c r="J2498" s="104"/>
      <c r="K2498" s="104"/>
      <c r="L2498" s="104"/>
      <c r="M2498" s="104"/>
      <c r="N2498" s="104"/>
      <c r="O2498" s="104"/>
      <c r="P2498" s="104"/>
      <c r="Q2498" s="104"/>
      <c r="R2498" s="104"/>
      <c r="S2498" s="104"/>
    </row>
    <row r="2499" spans="4:19">
      <c r="D2499" s="104"/>
      <c r="E2499" s="104"/>
      <c r="F2499" s="104"/>
      <c r="G2499" s="104"/>
      <c r="H2499" s="104"/>
      <c r="I2499" s="104"/>
      <c r="J2499" s="104"/>
      <c r="K2499" s="104"/>
      <c r="L2499" s="104"/>
      <c r="M2499" s="104"/>
      <c r="N2499" s="104"/>
      <c r="O2499" s="104"/>
      <c r="P2499" s="104"/>
      <c r="Q2499" s="104"/>
      <c r="R2499" s="104"/>
      <c r="S2499" s="104"/>
    </row>
    <row r="2500" spans="4:19">
      <c r="D2500" s="104"/>
      <c r="E2500" s="104"/>
      <c r="F2500" s="104"/>
      <c r="G2500" s="104"/>
      <c r="H2500" s="104"/>
      <c r="I2500" s="104"/>
      <c r="J2500" s="104"/>
      <c r="K2500" s="104"/>
      <c r="L2500" s="104"/>
      <c r="M2500" s="104"/>
      <c r="N2500" s="104"/>
      <c r="O2500" s="104"/>
      <c r="P2500" s="104"/>
      <c r="Q2500" s="104"/>
      <c r="R2500" s="104"/>
      <c r="S2500" s="104"/>
    </row>
    <row r="2501" spans="4:19">
      <c r="D2501" s="104"/>
      <c r="E2501" s="104"/>
      <c r="F2501" s="104"/>
      <c r="G2501" s="104"/>
      <c r="H2501" s="104"/>
      <c r="I2501" s="104"/>
      <c r="J2501" s="104"/>
      <c r="K2501" s="104"/>
      <c r="L2501" s="104"/>
      <c r="M2501" s="104"/>
      <c r="N2501" s="104"/>
      <c r="O2501" s="104"/>
      <c r="P2501" s="104"/>
      <c r="Q2501" s="104"/>
      <c r="R2501" s="104"/>
      <c r="S2501" s="104"/>
    </row>
    <row r="2502" spans="4:19">
      <c r="D2502" s="104"/>
      <c r="E2502" s="104"/>
      <c r="F2502" s="104"/>
      <c r="G2502" s="104"/>
      <c r="H2502" s="104"/>
      <c r="I2502" s="104"/>
      <c r="J2502" s="104"/>
      <c r="K2502" s="104"/>
      <c r="L2502" s="104"/>
      <c r="M2502" s="104"/>
      <c r="N2502" s="104"/>
      <c r="O2502" s="104"/>
      <c r="P2502" s="104"/>
      <c r="Q2502" s="104"/>
      <c r="R2502" s="104"/>
      <c r="S2502" s="104"/>
    </row>
    <row r="2503" spans="4:19">
      <c r="D2503" s="104"/>
      <c r="E2503" s="104"/>
      <c r="F2503" s="104"/>
      <c r="G2503" s="104"/>
      <c r="H2503" s="104"/>
      <c r="I2503" s="104"/>
      <c r="J2503" s="104"/>
      <c r="K2503" s="104"/>
      <c r="L2503" s="104"/>
      <c r="M2503" s="104"/>
      <c r="N2503" s="104"/>
      <c r="O2503" s="104"/>
      <c r="P2503" s="104"/>
      <c r="Q2503" s="104"/>
      <c r="R2503" s="104"/>
      <c r="S2503" s="104"/>
    </row>
    <row r="2504" spans="4:19">
      <c r="D2504" s="104"/>
      <c r="E2504" s="104"/>
      <c r="F2504" s="104"/>
      <c r="G2504" s="104"/>
      <c r="H2504" s="104"/>
      <c r="I2504" s="104"/>
      <c r="J2504" s="104"/>
      <c r="K2504" s="104"/>
      <c r="L2504" s="104"/>
      <c r="M2504" s="104"/>
      <c r="N2504" s="104"/>
      <c r="O2504" s="104"/>
      <c r="P2504" s="104"/>
      <c r="Q2504" s="104"/>
      <c r="R2504" s="104"/>
      <c r="S2504" s="104"/>
    </row>
    <row r="2505" spans="4:19">
      <c r="D2505" s="104"/>
      <c r="E2505" s="104"/>
      <c r="F2505" s="104"/>
      <c r="G2505" s="104"/>
      <c r="H2505" s="104"/>
      <c r="I2505" s="104"/>
      <c r="J2505" s="104"/>
      <c r="K2505" s="104"/>
      <c r="L2505" s="104"/>
      <c r="M2505" s="104"/>
      <c r="N2505" s="104"/>
      <c r="O2505" s="104"/>
      <c r="P2505" s="104"/>
      <c r="Q2505" s="104"/>
      <c r="R2505" s="104"/>
      <c r="S2505" s="104"/>
    </row>
    <row r="2506" spans="4:19">
      <c r="D2506" s="104"/>
      <c r="E2506" s="104"/>
      <c r="F2506" s="104"/>
      <c r="G2506" s="104"/>
      <c r="H2506" s="104"/>
      <c r="I2506" s="104"/>
      <c r="J2506" s="104"/>
      <c r="K2506" s="104"/>
      <c r="L2506" s="104"/>
      <c r="M2506" s="104"/>
      <c r="N2506" s="104"/>
      <c r="O2506" s="104"/>
      <c r="P2506" s="104"/>
      <c r="Q2506" s="104"/>
      <c r="R2506" s="104"/>
      <c r="S2506" s="104"/>
    </row>
    <row r="2507" spans="4:19">
      <c r="D2507" s="104"/>
      <c r="E2507" s="104"/>
      <c r="F2507" s="104"/>
      <c r="G2507" s="104"/>
      <c r="H2507" s="104"/>
      <c r="I2507" s="104"/>
      <c r="J2507" s="104"/>
      <c r="K2507" s="104"/>
      <c r="L2507" s="104"/>
      <c r="M2507" s="104"/>
      <c r="N2507" s="104"/>
      <c r="O2507" s="104"/>
      <c r="P2507" s="104"/>
      <c r="Q2507" s="104"/>
      <c r="R2507" s="104"/>
      <c r="S2507" s="104"/>
    </row>
    <row r="2508" spans="4:19">
      <c r="D2508" s="104"/>
      <c r="E2508" s="104"/>
      <c r="F2508" s="104"/>
      <c r="G2508" s="104"/>
      <c r="H2508" s="104"/>
      <c r="I2508" s="104"/>
      <c r="J2508" s="104"/>
      <c r="K2508" s="104"/>
      <c r="L2508" s="104"/>
      <c r="M2508" s="104"/>
      <c r="N2508" s="104"/>
      <c r="O2508" s="104"/>
      <c r="P2508" s="104"/>
      <c r="Q2508" s="104"/>
      <c r="R2508" s="104"/>
      <c r="S2508" s="104"/>
    </row>
    <row r="2509" spans="4:19">
      <c r="D2509" s="104"/>
      <c r="E2509" s="104"/>
      <c r="F2509" s="104"/>
      <c r="G2509" s="104"/>
      <c r="H2509" s="104"/>
      <c r="I2509" s="104"/>
      <c r="J2509" s="104"/>
      <c r="K2509" s="104"/>
      <c r="L2509" s="104"/>
      <c r="M2509" s="104"/>
      <c r="N2509" s="104"/>
      <c r="O2509" s="104"/>
      <c r="P2509" s="104"/>
      <c r="Q2509" s="104"/>
      <c r="R2509" s="104"/>
      <c r="S2509" s="104"/>
    </row>
    <row r="2510" spans="4:19">
      <c r="D2510" s="104"/>
      <c r="E2510" s="104"/>
      <c r="F2510" s="104"/>
      <c r="G2510" s="104"/>
      <c r="H2510" s="104"/>
      <c r="I2510" s="104"/>
      <c r="J2510" s="104"/>
      <c r="K2510" s="104"/>
      <c r="L2510" s="104"/>
      <c r="M2510" s="104"/>
      <c r="N2510" s="104"/>
      <c r="O2510" s="104"/>
      <c r="P2510" s="104"/>
      <c r="Q2510" s="104"/>
      <c r="R2510" s="104"/>
      <c r="S2510" s="104"/>
    </row>
    <row r="2511" spans="4:19">
      <c r="D2511" s="104"/>
      <c r="E2511" s="104"/>
      <c r="F2511" s="104"/>
      <c r="G2511" s="104"/>
      <c r="H2511" s="104"/>
      <c r="I2511" s="104"/>
      <c r="J2511" s="104"/>
      <c r="K2511" s="104"/>
      <c r="L2511" s="104"/>
      <c r="M2511" s="104"/>
      <c r="N2511" s="104"/>
      <c r="O2511" s="104"/>
      <c r="P2511" s="104"/>
      <c r="Q2511" s="104"/>
      <c r="R2511" s="104"/>
      <c r="S2511" s="104"/>
    </row>
    <row r="2512" spans="4:19">
      <c r="D2512" s="104"/>
      <c r="E2512" s="104"/>
      <c r="F2512" s="104"/>
      <c r="G2512" s="104"/>
      <c r="H2512" s="104"/>
      <c r="I2512" s="104"/>
      <c r="J2512" s="104"/>
      <c r="K2512" s="104"/>
      <c r="L2512" s="104"/>
      <c r="M2512" s="104"/>
      <c r="N2512" s="104"/>
      <c r="O2512" s="104"/>
      <c r="P2512" s="104"/>
      <c r="Q2512" s="104"/>
      <c r="R2512" s="104"/>
      <c r="S2512" s="104"/>
    </row>
    <row r="2513" spans="4:19">
      <c r="D2513" s="104"/>
      <c r="E2513" s="104"/>
      <c r="F2513" s="104"/>
      <c r="G2513" s="104"/>
      <c r="H2513" s="104"/>
      <c r="I2513" s="104"/>
      <c r="J2513" s="104"/>
      <c r="K2513" s="104"/>
      <c r="L2513" s="104"/>
      <c r="M2513" s="104"/>
      <c r="N2513" s="104"/>
      <c r="O2513" s="104"/>
      <c r="P2513" s="104"/>
      <c r="Q2513" s="104"/>
      <c r="R2513" s="104"/>
      <c r="S2513" s="104"/>
    </row>
    <row r="2514" spans="4:19">
      <c r="D2514" s="104"/>
      <c r="E2514" s="104"/>
      <c r="F2514" s="104"/>
      <c r="G2514" s="104"/>
      <c r="H2514" s="104"/>
      <c r="I2514" s="104"/>
      <c r="J2514" s="104"/>
      <c r="K2514" s="104"/>
      <c r="L2514" s="104"/>
      <c r="M2514" s="104"/>
      <c r="N2514" s="104"/>
      <c r="O2514" s="104"/>
      <c r="P2514" s="104"/>
      <c r="Q2514" s="104"/>
      <c r="R2514" s="104"/>
      <c r="S2514" s="104"/>
    </row>
    <row r="2515" spans="4:19">
      <c r="D2515" s="104"/>
      <c r="E2515" s="104"/>
      <c r="F2515" s="104"/>
      <c r="G2515" s="104"/>
      <c r="H2515" s="104"/>
      <c r="I2515" s="104"/>
      <c r="J2515" s="104"/>
      <c r="K2515" s="104"/>
      <c r="L2515" s="104"/>
      <c r="M2515" s="104"/>
      <c r="N2515" s="104"/>
      <c r="O2515" s="104"/>
      <c r="P2515" s="104"/>
      <c r="Q2515" s="104"/>
      <c r="R2515" s="104"/>
      <c r="S2515" s="104"/>
    </row>
    <row r="2516" spans="4:19">
      <c r="D2516" s="104"/>
      <c r="E2516" s="104"/>
      <c r="F2516" s="104"/>
      <c r="G2516" s="104"/>
      <c r="H2516" s="104"/>
      <c r="I2516" s="104"/>
      <c r="J2516" s="104"/>
      <c r="K2516" s="104"/>
      <c r="L2516" s="104"/>
      <c r="M2516" s="104"/>
      <c r="N2516" s="104"/>
      <c r="O2516" s="104"/>
      <c r="P2516" s="104"/>
      <c r="Q2516" s="104"/>
      <c r="R2516" s="104"/>
      <c r="S2516" s="104"/>
    </row>
    <row r="2517" spans="4:19">
      <c r="D2517" s="104"/>
      <c r="E2517" s="104"/>
      <c r="F2517" s="104"/>
      <c r="G2517" s="104"/>
      <c r="H2517" s="104"/>
      <c r="I2517" s="104"/>
      <c r="J2517" s="104"/>
      <c r="K2517" s="104"/>
      <c r="L2517" s="104"/>
      <c r="M2517" s="104"/>
      <c r="N2517" s="104"/>
      <c r="O2517" s="104"/>
      <c r="P2517" s="104"/>
      <c r="Q2517" s="104"/>
      <c r="R2517" s="104"/>
      <c r="S2517" s="104"/>
    </row>
    <row r="2518" spans="4:19">
      <c r="D2518" s="104"/>
      <c r="E2518" s="104"/>
      <c r="F2518" s="104"/>
      <c r="G2518" s="104"/>
      <c r="H2518" s="104"/>
      <c r="I2518" s="104"/>
      <c r="J2518" s="104"/>
      <c r="K2518" s="104"/>
      <c r="L2518" s="104"/>
      <c r="M2518" s="104"/>
      <c r="N2518" s="104"/>
      <c r="O2518" s="104"/>
      <c r="P2518" s="104"/>
      <c r="Q2518" s="104"/>
      <c r="R2518" s="104"/>
      <c r="S2518" s="104"/>
    </row>
    <row r="2519" spans="4:19">
      <c r="D2519" s="104"/>
      <c r="E2519" s="104"/>
      <c r="F2519" s="104"/>
      <c r="G2519" s="104"/>
      <c r="H2519" s="104"/>
      <c r="I2519" s="104"/>
      <c r="J2519" s="104"/>
      <c r="K2519" s="104"/>
      <c r="L2519" s="104"/>
      <c r="M2519" s="104"/>
      <c r="N2519" s="104"/>
      <c r="O2519" s="104"/>
      <c r="P2519" s="104"/>
      <c r="Q2519" s="104"/>
      <c r="R2519" s="104"/>
      <c r="S2519" s="104"/>
    </row>
    <row r="2520" spans="4:19">
      <c r="D2520" s="104"/>
      <c r="E2520" s="104"/>
      <c r="F2520" s="104"/>
      <c r="G2520" s="104"/>
      <c r="H2520" s="104"/>
      <c r="I2520" s="104"/>
      <c r="J2520" s="104"/>
      <c r="K2520" s="104"/>
      <c r="L2520" s="104"/>
      <c r="M2520" s="104"/>
      <c r="N2520" s="104"/>
      <c r="O2520" s="104"/>
      <c r="P2520" s="104"/>
      <c r="Q2520" s="104"/>
      <c r="R2520" s="104"/>
      <c r="S2520" s="104"/>
    </row>
    <row r="2521" spans="4:19">
      <c r="D2521" s="104"/>
      <c r="E2521" s="104"/>
      <c r="F2521" s="104"/>
      <c r="G2521" s="104"/>
      <c r="H2521" s="104"/>
      <c r="I2521" s="104"/>
      <c r="J2521" s="104"/>
      <c r="K2521" s="104"/>
      <c r="L2521" s="104"/>
      <c r="M2521" s="104"/>
      <c r="N2521" s="104"/>
      <c r="O2521" s="104"/>
      <c r="P2521" s="104"/>
      <c r="Q2521" s="104"/>
      <c r="R2521" s="104"/>
      <c r="S2521" s="104"/>
    </row>
    <row r="2522" spans="4:19">
      <c r="D2522" s="104"/>
      <c r="E2522" s="104"/>
      <c r="F2522" s="104"/>
      <c r="G2522" s="104"/>
      <c r="H2522" s="104"/>
      <c r="I2522" s="104"/>
      <c r="J2522" s="104"/>
      <c r="K2522" s="104"/>
      <c r="L2522" s="104"/>
      <c r="M2522" s="104"/>
      <c r="N2522" s="104"/>
      <c r="O2522" s="104"/>
      <c r="P2522" s="104"/>
      <c r="Q2522" s="104"/>
      <c r="R2522" s="104"/>
      <c r="S2522" s="104"/>
    </row>
    <row r="2523" spans="4:19">
      <c r="D2523" s="104"/>
      <c r="E2523" s="104"/>
      <c r="F2523" s="104"/>
      <c r="G2523" s="104"/>
      <c r="H2523" s="104"/>
      <c r="I2523" s="104"/>
      <c r="J2523" s="104"/>
      <c r="K2523" s="104"/>
      <c r="L2523" s="104"/>
      <c r="M2523" s="104"/>
      <c r="N2523" s="104"/>
      <c r="O2523" s="104"/>
      <c r="P2523" s="104"/>
      <c r="Q2523" s="104"/>
      <c r="R2523" s="104"/>
      <c r="S2523" s="104"/>
    </row>
    <row r="2524" spans="4:19">
      <c r="D2524" s="104"/>
      <c r="E2524" s="104"/>
      <c r="F2524" s="104"/>
      <c r="G2524" s="104"/>
      <c r="H2524" s="104"/>
      <c r="I2524" s="104"/>
      <c r="J2524" s="104"/>
      <c r="K2524" s="104"/>
      <c r="L2524" s="104"/>
      <c r="M2524" s="104"/>
      <c r="N2524" s="104"/>
      <c r="O2524" s="104"/>
      <c r="P2524" s="104"/>
      <c r="Q2524" s="104"/>
      <c r="R2524" s="104"/>
      <c r="S2524" s="104"/>
    </row>
    <row r="2525" spans="4:19">
      <c r="D2525" s="104"/>
      <c r="E2525" s="104"/>
      <c r="F2525" s="104"/>
      <c r="G2525" s="104"/>
      <c r="H2525" s="104"/>
      <c r="I2525" s="104"/>
      <c r="J2525" s="104"/>
      <c r="K2525" s="104"/>
      <c r="L2525" s="104"/>
      <c r="M2525" s="104"/>
      <c r="N2525" s="104"/>
      <c r="O2525" s="104"/>
      <c r="P2525" s="104"/>
      <c r="Q2525" s="104"/>
      <c r="R2525" s="104"/>
      <c r="S2525" s="104"/>
    </row>
    <row r="2526" spans="4:19">
      <c r="D2526" s="104"/>
      <c r="E2526" s="104"/>
      <c r="F2526" s="104"/>
      <c r="G2526" s="104"/>
      <c r="H2526" s="104"/>
      <c r="I2526" s="104"/>
      <c r="J2526" s="104"/>
      <c r="K2526" s="104"/>
      <c r="L2526" s="104"/>
      <c r="M2526" s="104"/>
      <c r="N2526" s="104"/>
      <c r="O2526" s="104"/>
      <c r="P2526" s="104"/>
      <c r="Q2526" s="104"/>
      <c r="R2526" s="104"/>
      <c r="S2526" s="104"/>
    </row>
    <row r="2527" spans="4:19">
      <c r="D2527" s="104"/>
      <c r="E2527" s="104"/>
      <c r="F2527" s="104"/>
      <c r="G2527" s="104"/>
      <c r="H2527" s="104"/>
      <c r="I2527" s="104"/>
      <c r="J2527" s="104"/>
      <c r="K2527" s="104"/>
      <c r="L2527" s="104"/>
      <c r="M2527" s="104"/>
      <c r="N2527" s="104"/>
      <c r="O2527" s="104"/>
      <c r="P2527" s="104"/>
      <c r="Q2527" s="104"/>
      <c r="R2527" s="104"/>
      <c r="S2527" s="104"/>
    </row>
    <row r="2528" spans="4:19">
      <c r="D2528" s="104"/>
      <c r="E2528" s="104"/>
      <c r="F2528" s="104"/>
      <c r="G2528" s="104"/>
      <c r="H2528" s="104"/>
      <c r="I2528" s="104"/>
      <c r="J2528" s="104"/>
      <c r="K2528" s="104"/>
      <c r="L2528" s="104"/>
      <c r="M2528" s="104"/>
      <c r="N2528" s="104"/>
      <c r="O2528" s="104"/>
      <c r="P2528" s="104"/>
      <c r="Q2528" s="104"/>
      <c r="R2528" s="104"/>
      <c r="S2528" s="104"/>
    </row>
    <row r="2529" spans="4:19">
      <c r="D2529" s="104"/>
      <c r="E2529" s="104"/>
      <c r="F2529" s="104"/>
      <c r="G2529" s="104"/>
      <c r="H2529" s="104"/>
      <c r="I2529" s="104"/>
      <c r="J2529" s="104"/>
      <c r="K2529" s="104"/>
      <c r="L2529" s="104"/>
      <c r="M2529" s="104"/>
      <c r="N2529" s="104"/>
      <c r="O2529" s="104"/>
      <c r="P2529" s="104"/>
      <c r="Q2529" s="104"/>
      <c r="R2529" s="104"/>
      <c r="S2529" s="104"/>
    </row>
    <row r="2530" spans="4:19">
      <c r="D2530" s="104"/>
      <c r="E2530" s="104"/>
      <c r="F2530" s="104"/>
      <c r="G2530" s="104"/>
      <c r="H2530" s="104"/>
      <c r="I2530" s="104"/>
      <c r="J2530" s="104"/>
      <c r="K2530" s="104"/>
      <c r="L2530" s="104"/>
      <c r="M2530" s="104"/>
      <c r="N2530" s="104"/>
      <c r="O2530" s="104"/>
      <c r="P2530" s="104"/>
      <c r="Q2530" s="104"/>
      <c r="R2530" s="104"/>
      <c r="S2530" s="104"/>
    </row>
    <row r="2531" spans="4:19">
      <c r="D2531" s="104"/>
      <c r="E2531" s="104"/>
      <c r="F2531" s="104"/>
      <c r="G2531" s="104"/>
      <c r="H2531" s="104"/>
      <c r="I2531" s="104"/>
      <c r="J2531" s="104"/>
      <c r="K2531" s="104"/>
      <c r="L2531" s="104"/>
      <c r="M2531" s="104"/>
      <c r="N2531" s="104"/>
      <c r="O2531" s="104"/>
      <c r="P2531" s="104"/>
      <c r="Q2531" s="104"/>
      <c r="R2531" s="104"/>
      <c r="S2531" s="104"/>
    </row>
    <row r="2532" spans="4:19">
      <c r="D2532" s="104"/>
      <c r="E2532" s="104"/>
      <c r="F2532" s="104"/>
      <c r="G2532" s="104"/>
      <c r="H2532" s="104"/>
      <c r="I2532" s="104"/>
      <c r="J2532" s="104"/>
      <c r="K2532" s="104"/>
      <c r="L2532" s="104"/>
      <c r="M2532" s="104"/>
      <c r="N2532" s="104"/>
      <c r="O2532" s="104"/>
      <c r="P2532" s="104"/>
      <c r="Q2532" s="104"/>
      <c r="R2532" s="104"/>
      <c r="S2532" s="104"/>
    </row>
    <row r="2533" spans="4:19">
      <c r="D2533" s="104"/>
      <c r="E2533" s="104"/>
      <c r="F2533" s="104"/>
      <c r="G2533" s="104"/>
      <c r="H2533" s="104"/>
      <c r="I2533" s="104"/>
      <c r="J2533" s="104"/>
      <c r="K2533" s="104"/>
      <c r="L2533" s="104"/>
      <c r="M2533" s="104"/>
      <c r="N2533" s="104"/>
      <c r="O2533" s="104"/>
      <c r="P2533" s="104"/>
      <c r="Q2533" s="104"/>
      <c r="R2533" s="104"/>
      <c r="S2533" s="104"/>
    </row>
    <row r="2534" spans="4:19">
      <c r="D2534" s="104"/>
      <c r="E2534" s="104"/>
      <c r="F2534" s="104"/>
      <c r="G2534" s="104"/>
      <c r="H2534" s="104"/>
      <c r="I2534" s="104"/>
      <c r="J2534" s="104"/>
      <c r="K2534" s="104"/>
      <c r="L2534" s="104"/>
      <c r="M2534" s="104"/>
      <c r="N2534" s="104"/>
      <c r="O2534" s="104"/>
      <c r="P2534" s="104"/>
      <c r="Q2534" s="104"/>
      <c r="R2534" s="104"/>
      <c r="S2534" s="104"/>
    </row>
    <row r="2535" spans="4:19">
      <c r="D2535" s="104"/>
      <c r="E2535" s="104"/>
      <c r="F2535" s="104"/>
      <c r="G2535" s="104"/>
      <c r="H2535" s="104"/>
      <c r="I2535" s="104"/>
      <c r="J2535" s="104"/>
      <c r="K2535" s="104"/>
      <c r="L2535" s="104"/>
      <c r="M2535" s="104"/>
      <c r="N2535" s="104"/>
      <c r="O2535" s="104"/>
      <c r="P2535" s="104"/>
      <c r="Q2535" s="104"/>
      <c r="R2535" s="104"/>
      <c r="S2535" s="104"/>
    </row>
    <row r="2536" spans="4:19">
      <c r="D2536" s="104"/>
      <c r="E2536" s="104"/>
      <c r="F2536" s="104"/>
      <c r="G2536" s="104"/>
      <c r="H2536" s="104"/>
      <c r="I2536" s="104"/>
      <c r="J2536" s="104"/>
      <c r="K2536" s="104"/>
      <c r="L2536" s="104"/>
      <c r="M2536" s="104"/>
      <c r="N2536" s="104"/>
      <c r="O2536" s="104"/>
      <c r="P2536" s="104"/>
      <c r="Q2536" s="104"/>
      <c r="R2536" s="104"/>
      <c r="S2536" s="104"/>
    </row>
    <row r="2537" spans="4:19">
      <c r="D2537" s="104"/>
      <c r="E2537" s="104"/>
      <c r="F2537" s="104"/>
      <c r="G2537" s="104"/>
      <c r="H2537" s="104"/>
      <c r="I2537" s="104"/>
      <c r="J2537" s="104"/>
      <c r="K2537" s="104"/>
      <c r="L2537" s="104"/>
      <c r="M2537" s="104"/>
      <c r="N2537" s="104"/>
      <c r="O2537" s="104"/>
      <c r="P2537" s="104"/>
      <c r="Q2537" s="104"/>
      <c r="R2537" s="104"/>
      <c r="S2537" s="104"/>
    </row>
    <row r="2538" spans="4:19">
      <c r="D2538" s="104"/>
      <c r="E2538" s="104"/>
      <c r="F2538" s="104"/>
      <c r="G2538" s="104"/>
      <c r="H2538" s="104"/>
      <c r="I2538" s="104"/>
      <c r="J2538" s="104"/>
      <c r="K2538" s="104"/>
      <c r="L2538" s="104"/>
      <c r="M2538" s="104"/>
      <c r="N2538" s="104"/>
      <c r="O2538" s="104"/>
      <c r="P2538" s="104"/>
      <c r="Q2538" s="104"/>
      <c r="R2538" s="104"/>
      <c r="S2538" s="104"/>
    </row>
    <row r="2539" spans="4:19">
      <c r="D2539" s="104"/>
      <c r="E2539" s="104"/>
      <c r="F2539" s="104"/>
      <c r="G2539" s="104"/>
      <c r="H2539" s="104"/>
      <c r="I2539" s="104"/>
      <c r="J2539" s="104"/>
      <c r="K2539" s="104"/>
      <c r="L2539" s="104"/>
      <c r="M2539" s="104"/>
      <c r="N2539" s="104"/>
      <c r="O2539" s="104"/>
      <c r="P2539" s="104"/>
      <c r="Q2539" s="104"/>
      <c r="R2539" s="104"/>
      <c r="S2539" s="104"/>
    </row>
    <row r="2540" spans="4:19">
      <c r="D2540" s="104"/>
      <c r="E2540" s="104"/>
      <c r="F2540" s="104"/>
      <c r="G2540" s="104"/>
      <c r="H2540" s="104"/>
      <c r="I2540" s="104"/>
      <c r="J2540" s="104"/>
      <c r="K2540" s="104"/>
      <c r="L2540" s="104"/>
      <c r="M2540" s="104"/>
      <c r="N2540" s="104"/>
      <c r="O2540" s="104"/>
      <c r="P2540" s="104"/>
      <c r="Q2540" s="104"/>
      <c r="R2540" s="104"/>
      <c r="S2540" s="104"/>
    </row>
    <row r="2541" spans="4:19">
      <c r="D2541" s="104"/>
      <c r="E2541" s="104"/>
      <c r="F2541" s="104"/>
      <c r="G2541" s="104"/>
      <c r="H2541" s="104"/>
      <c r="I2541" s="104"/>
      <c r="J2541" s="104"/>
      <c r="K2541" s="104"/>
      <c r="L2541" s="104"/>
      <c r="M2541" s="104"/>
      <c r="N2541" s="104"/>
      <c r="O2541" s="104"/>
      <c r="P2541" s="104"/>
      <c r="Q2541" s="104"/>
      <c r="R2541" s="104"/>
      <c r="S2541" s="104"/>
    </row>
    <row r="2542" spans="4:19">
      <c r="D2542" s="104"/>
      <c r="E2542" s="104"/>
      <c r="F2542" s="104"/>
      <c r="G2542" s="104"/>
      <c r="H2542" s="104"/>
      <c r="I2542" s="104"/>
      <c r="J2542" s="104"/>
      <c r="K2542" s="104"/>
      <c r="L2542" s="104"/>
      <c r="M2542" s="104"/>
      <c r="N2542" s="104"/>
      <c r="O2542" s="104"/>
      <c r="P2542" s="104"/>
      <c r="Q2542" s="104"/>
      <c r="R2542" s="104"/>
      <c r="S2542" s="104"/>
    </row>
    <row r="2543" spans="4:19">
      <c r="D2543" s="104"/>
      <c r="E2543" s="104"/>
      <c r="F2543" s="104"/>
      <c r="G2543" s="104"/>
      <c r="H2543" s="104"/>
      <c r="I2543" s="104"/>
      <c r="J2543" s="104"/>
      <c r="K2543" s="104"/>
      <c r="L2543" s="104"/>
      <c r="M2543" s="104"/>
      <c r="N2543" s="104"/>
      <c r="O2543" s="104"/>
      <c r="P2543" s="104"/>
      <c r="Q2543" s="104"/>
      <c r="R2543" s="104"/>
      <c r="S2543" s="104"/>
    </row>
    <row r="2544" spans="4:19">
      <c r="D2544" s="104"/>
      <c r="E2544" s="104"/>
      <c r="F2544" s="104"/>
      <c r="G2544" s="104"/>
      <c r="H2544" s="104"/>
      <c r="I2544" s="104"/>
      <c r="J2544" s="104"/>
      <c r="K2544" s="104"/>
      <c r="L2544" s="104"/>
      <c r="M2544" s="104"/>
      <c r="N2544" s="104"/>
      <c r="O2544" s="104"/>
      <c r="P2544" s="104"/>
      <c r="Q2544" s="104"/>
      <c r="R2544" s="104"/>
      <c r="S2544" s="104"/>
    </row>
    <row r="2545" spans="4:19">
      <c r="D2545" s="104"/>
      <c r="E2545" s="104"/>
      <c r="F2545" s="104"/>
      <c r="G2545" s="104"/>
      <c r="H2545" s="104"/>
      <c r="I2545" s="104"/>
      <c r="J2545" s="104"/>
      <c r="K2545" s="104"/>
      <c r="L2545" s="104"/>
      <c r="M2545" s="104"/>
      <c r="N2545" s="104"/>
      <c r="O2545" s="104"/>
      <c r="P2545" s="104"/>
      <c r="Q2545" s="104"/>
      <c r="R2545" s="104"/>
      <c r="S2545" s="104"/>
    </row>
    <row r="2546" spans="4:19">
      <c r="D2546" s="104"/>
      <c r="E2546" s="104"/>
      <c r="F2546" s="104"/>
      <c r="G2546" s="104"/>
      <c r="H2546" s="104"/>
      <c r="I2546" s="104"/>
      <c r="J2546" s="104"/>
      <c r="K2546" s="104"/>
      <c r="L2546" s="104"/>
      <c r="M2546" s="104"/>
      <c r="N2546" s="104"/>
      <c r="O2546" s="104"/>
      <c r="P2546" s="104"/>
      <c r="Q2546" s="104"/>
      <c r="R2546" s="104"/>
      <c r="S2546" s="104"/>
    </row>
    <row r="2547" spans="4:19">
      <c r="D2547" s="104"/>
      <c r="E2547" s="104"/>
      <c r="F2547" s="104"/>
      <c r="G2547" s="104"/>
      <c r="H2547" s="104"/>
      <c r="I2547" s="104"/>
      <c r="J2547" s="104"/>
      <c r="K2547" s="104"/>
      <c r="L2547" s="104"/>
      <c r="M2547" s="104"/>
      <c r="N2547" s="104"/>
      <c r="O2547" s="104"/>
      <c r="P2547" s="104"/>
      <c r="Q2547" s="104"/>
      <c r="R2547" s="104"/>
      <c r="S2547" s="104"/>
    </row>
    <row r="2548" spans="4:19">
      <c r="D2548" s="104"/>
      <c r="E2548" s="104"/>
      <c r="F2548" s="104"/>
      <c r="G2548" s="104"/>
      <c r="H2548" s="104"/>
      <c r="I2548" s="104"/>
      <c r="J2548" s="104"/>
      <c r="K2548" s="104"/>
      <c r="L2548" s="104"/>
      <c r="M2548" s="104"/>
      <c r="N2548" s="104"/>
      <c r="O2548" s="104"/>
      <c r="P2548" s="104"/>
      <c r="Q2548" s="104"/>
      <c r="R2548" s="104"/>
      <c r="S2548" s="104"/>
    </row>
    <row r="2549" spans="4:19">
      <c r="D2549" s="104"/>
      <c r="E2549" s="104"/>
      <c r="F2549" s="104"/>
      <c r="G2549" s="104"/>
      <c r="H2549" s="104"/>
      <c r="I2549" s="104"/>
      <c r="J2549" s="104"/>
      <c r="K2549" s="104"/>
      <c r="L2549" s="104"/>
      <c r="M2549" s="104"/>
      <c r="N2549" s="104"/>
      <c r="O2549" s="104"/>
      <c r="P2549" s="104"/>
      <c r="Q2549" s="104"/>
      <c r="R2549" s="104"/>
      <c r="S2549" s="104"/>
    </row>
    <row r="2550" spans="4:19">
      <c r="D2550" s="104"/>
      <c r="E2550" s="104"/>
      <c r="F2550" s="104"/>
      <c r="G2550" s="104"/>
      <c r="H2550" s="104"/>
      <c r="I2550" s="104"/>
      <c r="J2550" s="104"/>
      <c r="K2550" s="104"/>
      <c r="L2550" s="104"/>
      <c r="M2550" s="104"/>
      <c r="N2550" s="104"/>
      <c r="O2550" s="104"/>
      <c r="P2550" s="104"/>
      <c r="Q2550" s="104"/>
      <c r="R2550" s="104"/>
      <c r="S2550" s="104"/>
    </row>
    <row r="2551" spans="4:19">
      <c r="D2551" s="104"/>
      <c r="E2551" s="104"/>
      <c r="F2551" s="104"/>
      <c r="G2551" s="104"/>
      <c r="H2551" s="104"/>
      <c r="I2551" s="104"/>
      <c r="J2551" s="104"/>
      <c r="K2551" s="104"/>
      <c r="L2551" s="104"/>
      <c r="M2551" s="104"/>
      <c r="N2551" s="104"/>
      <c r="O2551" s="104"/>
      <c r="P2551" s="104"/>
      <c r="Q2551" s="104"/>
      <c r="R2551" s="104"/>
      <c r="S2551" s="104"/>
    </row>
    <row r="2552" spans="4:19">
      <c r="D2552" s="104"/>
      <c r="E2552" s="104"/>
      <c r="F2552" s="104"/>
      <c r="G2552" s="104"/>
      <c r="H2552" s="104"/>
      <c r="I2552" s="104"/>
      <c r="J2552" s="104"/>
      <c r="K2552" s="104"/>
      <c r="L2552" s="104"/>
      <c r="M2552" s="104"/>
      <c r="N2552" s="104"/>
      <c r="O2552" s="104"/>
      <c r="P2552" s="104"/>
      <c r="Q2552" s="104"/>
      <c r="R2552" s="104"/>
      <c r="S2552" s="104"/>
    </row>
    <row r="2553" spans="4:19">
      <c r="D2553" s="104"/>
      <c r="E2553" s="104"/>
      <c r="F2553" s="104"/>
      <c r="G2553" s="104"/>
      <c r="H2553" s="104"/>
      <c r="I2553" s="104"/>
      <c r="J2553" s="104"/>
      <c r="K2553" s="104"/>
      <c r="L2553" s="104"/>
      <c r="M2553" s="104"/>
      <c r="N2553" s="104"/>
      <c r="O2553" s="104"/>
      <c r="P2553" s="104"/>
      <c r="Q2553" s="104"/>
      <c r="R2553" s="104"/>
      <c r="S2553" s="104"/>
    </row>
    <row r="2554" spans="4:19">
      <c r="D2554" s="104"/>
      <c r="E2554" s="104"/>
      <c r="F2554" s="104"/>
      <c r="G2554" s="104"/>
      <c r="H2554" s="104"/>
      <c r="I2554" s="104"/>
      <c r="J2554" s="104"/>
      <c r="K2554" s="104"/>
      <c r="L2554" s="104"/>
      <c r="M2554" s="104"/>
      <c r="N2554" s="104"/>
      <c r="O2554" s="104"/>
      <c r="P2554" s="104"/>
      <c r="Q2554" s="104"/>
      <c r="R2554" s="104"/>
      <c r="S2554" s="104"/>
    </row>
    <row r="2555" spans="4:19">
      <c r="D2555" s="104"/>
      <c r="E2555" s="104"/>
      <c r="F2555" s="104"/>
      <c r="G2555" s="104"/>
      <c r="H2555" s="104"/>
      <c r="I2555" s="104"/>
      <c r="J2555" s="104"/>
      <c r="K2555" s="104"/>
      <c r="L2555" s="104"/>
      <c r="M2555" s="104"/>
      <c r="N2555" s="104"/>
      <c r="O2555" s="104"/>
      <c r="P2555" s="104"/>
      <c r="Q2555" s="104"/>
      <c r="R2555" s="104"/>
      <c r="S2555" s="104"/>
    </row>
    <row r="2556" spans="4:19">
      <c r="D2556" s="104"/>
      <c r="E2556" s="104"/>
      <c r="F2556" s="104"/>
      <c r="G2556" s="104"/>
      <c r="H2556" s="104"/>
      <c r="I2556" s="104"/>
      <c r="J2556" s="104"/>
      <c r="K2556" s="104"/>
      <c r="L2556" s="104"/>
      <c r="M2556" s="104"/>
      <c r="N2556" s="104"/>
      <c r="O2556" s="104"/>
      <c r="P2556" s="104"/>
      <c r="Q2556" s="104"/>
      <c r="R2556" s="104"/>
      <c r="S2556" s="104"/>
    </row>
    <row r="2557" spans="4:19">
      <c r="D2557" s="104"/>
      <c r="E2557" s="104"/>
      <c r="F2557" s="104"/>
      <c r="G2557" s="104"/>
      <c r="H2557" s="104"/>
      <c r="I2557" s="104"/>
      <c r="J2557" s="104"/>
      <c r="K2557" s="104"/>
      <c r="L2557" s="104"/>
      <c r="M2557" s="104"/>
      <c r="N2557" s="104"/>
      <c r="O2557" s="104"/>
      <c r="P2557" s="104"/>
      <c r="Q2557" s="104"/>
      <c r="R2557" s="104"/>
      <c r="S2557" s="104"/>
    </row>
    <row r="2558" spans="4:19">
      <c r="D2558" s="104"/>
      <c r="E2558" s="104"/>
      <c r="F2558" s="104"/>
      <c r="G2558" s="104"/>
      <c r="H2558" s="104"/>
      <c r="I2558" s="104"/>
      <c r="J2558" s="104"/>
      <c r="K2558" s="104"/>
      <c r="L2558" s="104"/>
      <c r="M2558" s="104"/>
      <c r="N2558" s="104"/>
      <c r="O2558" s="104"/>
      <c r="P2558" s="104"/>
      <c r="Q2558" s="104"/>
      <c r="R2558" s="104"/>
      <c r="S2558" s="104"/>
    </row>
    <row r="2559" spans="4:19">
      <c r="D2559" s="104"/>
      <c r="E2559" s="104"/>
      <c r="F2559" s="104"/>
      <c r="G2559" s="104"/>
      <c r="H2559" s="104"/>
      <c r="I2559" s="104"/>
      <c r="J2559" s="104"/>
      <c r="K2559" s="104"/>
      <c r="L2559" s="104"/>
      <c r="M2559" s="104"/>
      <c r="N2559" s="104"/>
      <c r="O2559" s="104"/>
      <c r="P2559" s="104"/>
      <c r="Q2559" s="104"/>
      <c r="R2559" s="104"/>
      <c r="S2559" s="104"/>
    </row>
    <row r="2560" spans="4:19">
      <c r="D2560" s="104"/>
      <c r="E2560" s="104"/>
      <c r="F2560" s="104"/>
      <c r="G2560" s="104"/>
      <c r="H2560" s="104"/>
      <c r="I2560" s="104"/>
      <c r="J2560" s="104"/>
      <c r="K2560" s="104"/>
      <c r="L2560" s="104"/>
      <c r="M2560" s="104"/>
      <c r="N2560" s="104"/>
      <c r="O2560" s="104"/>
      <c r="P2560" s="104"/>
      <c r="Q2560" s="104"/>
      <c r="R2560" s="104"/>
      <c r="S2560" s="104"/>
    </row>
    <row r="2561" spans="4:19">
      <c r="D2561" s="104"/>
      <c r="E2561" s="104"/>
      <c r="F2561" s="104"/>
      <c r="G2561" s="104"/>
      <c r="H2561" s="104"/>
      <c r="I2561" s="104"/>
      <c r="J2561" s="104"/>
      <c r="K2561" s="104"/>
      <c r="L2561" s="104"/>
      <c r="M2561" s="104"/>
      <c r="N2561" s="104"/>
      <c r="O2561" s="104"/>
      <c r="P2561" s="104"/>
      <c r="Q2561" s="104"/>
      <c r="R2561" s="104"/>
      <c r="S2561" s="104"/>
    </row>
    <row r="2562" spans="4:19">
      <c r="D2562" s="104"/>
      <c r="E2562" s="104"/>
      <c r="F2562" s="104"/>
      <c r="G2562" s="104"/>
      <c r="H2562" s="104"/>
      <c r="I2562" s="104"/>
      <c r="J2562" s="104"/>
      <c r="K2562" s="104"/>
      <c r="L2562" s="104"/>
      <c r="M2562" s="104"/>
      <c r="N2562" s="104"/>
      <c r="O2562" s="104"/>
      <c r="P2562" s="104"/>
      <c r="Q2562" s="104"/>
      <c r="R2562" s="104"/>
      <c r="S2562" s="104"/>
    </row>
    <row r="2563" spans="4:19">
      <c r="D2563" s="104"/>
      <c r="E2563" s="104"/>
      <c r="F2563" s="104"/>
      <c r="G2563" s="104"/>
      <c r="H2563" s="104"/>
      <c r="I2563" s="104"/>
      <c r="J2563" s="104"/>
      <c r="K2563" s="104"/>
      <c r="L2563" s="104"/>
      <c r="M2563" s="104"/>
      <c r="N2563" s="104"/>
      <c r="O2563" s="104"/>
      <c r="P2563" s="104"/>
      <c r="Q2563" s="104"/>
      <c r="R2563" s="104"/>
      <c r="S2563" s="104"/>
    </row>
    <row r="2564" spans="4:19">
      <c r="D2564" s="104"/>
      <c r="E2564" s="104"/>
      <c r="F2564" s="104"/>
      <c r="G2564" s="104"/>
      <c r="H2564" s="104"/>
      <c r="I2564" s="104"/>
      <c r="J2564" s="104"/>
      <c r="K2564" s="104"/>
      <c r="L2564" s="104"/>
      <c r="M2564" s="104"/>
      <c r="N2564" s="104"/>
      <c r="O2564" s="104"/>
      <c r="P2564" s="104"/>
      <c r="Q2564" s="104"/>
      <c r="R2564" s="104"/>
      <c r="S2564" s="104"/>
    </row>
    <row r="2565" spans="4:19">
      <c r="D2565" s="104"/>
      <c r="E2565" s="104"/>
      <c r="F2565" s="104"/>
      <c r="G2565" s="104"/>
      <c r="H2565" s="104"/>
      <c r="I2565" s="104"/>
      <c r="J2565" s="104"/>
      <c r="K2565" s="104"/>
      <c r="L2565" s="104"/>
      <c r="M2565" s="104"/>
      <c r="N2565" s="104"/>
      <c r="O2565" s="104"/>
      <c r="P2565" s="104"/>
      <c r="Q2565" s="104"/>
      <c r="R2565" s="104"/>
      <c r="S2565" s="104"/>
    </row>
    <row r="2566" spans="4:19">
      <c r="D2566" s="104"/>
      <c r="E2566" s="104"/>
      <c r="F2566" s="104"/>
      <c r="G2566" s="104"/>
      <c r="H2566" s="104"/>
      <c r="I2566" s="104"/>
      <c r="J2566" s="104"/>
      <c r="K2566" s="104"/>
      <c r="L2566" s="104"/>
      <c r="M2566" s="104"/>
      <c r="N2566" s="104"/>
      <c r="O2566" s="104"/>
      <c r="P2566" s="104"/>
      <c r="Q2566" s="104"/>
      <c r="R2566" s="104"/>
      <c r="S2566" s="104"/>
    </row>
    <row r="2567" spans="4:19">
      <c r="D2567" s="104"/>
      <c r="E2567" s="104"/>
      <c r="F2567" s="104"/>
      <c r="G2567" s="104"/>
      <c r="H2567" s="104"/>
      <c r="I2567" s="104"/>
      <c r="J2567" s="104"/>
      <c r="K2567" s="104"/>
      <c r="L2567" s="104"/>
      <c r="M2567" s="104"/>
      <c r="N2567" s="104"/>
      <c r="O2567" s="104"/>
      <c r="P2567" s="104"/>
      <c r="Q2567" s="104"/>
      <c r="R2567" s="104"/>
      <c r="S2567" s="104"/>
    </row>
    <row r="2568" spans="4:19">
      <c r="D2568" s="104"/>
      <c r="E2568" s="104"/>
      <c r="F2568" s="104"/>
      <c r="G2568" s="104"/>
      <c r="H2568" s="104"/>
      <c r="I2568" s="104"/>
      <c r="J2568" s="104"/>
      <c r="K2568" s="104"/>
      <c r="L2568" s="104"/>
      <c r="M2568" s="104"/>
      <c r="N2568" s="104"/>
      <c r="O2568" s="104"/>
      <c r="P2568" s="104"/>
      <c r="Q2568" s="104"/>
      <c r="R2568" s="104"/>
      <c r="S2568" s="104"/>
    </row>
    <row r="2569" spans="4:19">
      <c r="D2569" s="104"/>
      <c r="E2569" s="104"/>
      <c r="F2569" s="104"/>
      <c r="G2569" s="104"/>
      <c r="H2569" s="104"/>
      <c r="I2569" s="104"/>
      <c r="J2569" s="104"/>
      <c r="K2569" s="104"/>
      <c r="L2569" s="104"/>
      <c r="M2569" s="104"/>
      <c r="N2569" s="104"/>
      <c r="O2569" s="104"/>
      <c r="P2569" s="104"/>
      <c r="Q2569" s="104"/>
      <c r="R2569" s="104"/>
      <c r="S2569" s="104"/>
    </row>
    <row r="2570" spans="4:19">
      <c r="D2570" s="104"/>
      <c r="E2570" s="104"/>
      <c r="F2570" s="104"/>
      <c r="G2570" s="104"/>
      <c r="H2570" s="104"/>
      <c r="I2570" s="104"/>
      <c r="J2570" s="104"/>
      <c r="K2570" s="104"/>
      <c r="L2570" s="104"/>
      <c r="M2570" s="104"/>
      <c r="N2570" s="104"/>
      <c r="O2570" s="104"/>
      <c r="P2570" s="104"/>
      <c r="Q2570" s="104"/>
      <c r="R2570" s="104"/>
      <c r="S2570" s="104"/>
    </row>
    <row r="2571" spans="4:19">
      <c r="D2571" s="104"/>
      <c r="E2571" s="104"/>
      <c r="F2571" s="104"/>
      <c r="G2571" s="104"/>
      <c r="H2571" s="104"/>
      <c r="I2571" s="104"/>
      <c r="J2571" s="104"/>
      <c r="K2571" s="104"/>
      <c r="L2571" s="104"/>
      <c r="M2571" s="104"/>
      <c r="N2571" s="104"/>
      <c r="O2571" s="104"/>
      <c r="P2571" s="104"/>
      <c r="Q2571" s="104"/>
      <c r="R2571" s="104"/>
      <c r="S2571" s="104"/>
    </row>
    <row r="2572" spans="4:19">
      <c r="D2572" s="104"/>
      <c r="E2572" s="104"/>
      <c r="F2572" s="104"/>
      <c r="G2572" s="104"/>
      <c r="H2572" s="104"/>
      <c r="I2572" s="104"/>
      <c r="J2572" s="104"/>
      <c r="K2572" s="104"/>
      <c r="L2572" s="104"/>
      <c r="M2572" s="104"/>
      <c r="N2572" s="104"/>
      <c r="O2572" s="104"/>
      <c r="P2572" s="104"/>
      <c r="Q2572" s="104"/>
      <c r="R2572" s="104"/>
      <c r="S2572" s="104"/>
    </row>
    <row r="2573" spans="4:19">
      <c r="D2573" s="104"/>
      <c r="E2573" s="104"/>
      <c r="F2573" s="104"/>
      <c r="G2573" s="104"/>
      <c r="H2573" s="104"/>
      <c r="I2573" s="104"/>
      <c r="J2573" s="104"/>
      <c r="K2573" s="104"/>
      <c r="L2573" s="104"/>
      <c r="M2573" s="104"/>
      <c r="N2573" s="104"/>
      <c r="O2573" s="104"/>
      <c r="P2573" s="104"/>
      <c r="Q2573" s="104"/>
      <c r="R2573" s="104"/>
      <c r="S2573" s="104"/>
    </row>
    <row r="2574" spans="4:19">
      <c r="D2574" s="104"/>
      <c r="E2574" s="104"/>
      <c r="F2574" s="104"/>
      <c r="G2574" s="104"/>
      <c r="H2574" s="104"/>
      <c r="I2574" s="104"/>
      <c r="J2574" s="104"/>
      <c r="K2574" s="104"/>
      <c r="L2574" s="104"/>
      <c r="M2574" s="104"/>
      <c r="N2574" s="104"/>
      <c r="O2574" s="104"/>
      <c r="P2574" s="104"/>
      <c r="Q2574" s="104"/>
      <c r="R2574" s="104"/>
      <c r="S2574" s="104"/>
    </row>
    <row r="2575" spans="4:19">
      <c r="D2575" s="104"/>
      <c r="E2575" s="104"/>
      <c r="F2575" s="104"/>
      <c r="G2575" s="104"/>
      <c r="H2575" s="104"/>
      <c r="I2575" s="104"/>
      <c r="J2575" s="104"/>
      <c r="K2575" s="104"/>
      <c r="L2575" s="104"/>
      <c r="M2575" s="104"/>
      <c r="N2575" s="104"/>
      <c r="O2575" s="104"/>
      <c r="P2575" s="104"/>
      <c r="Q2575" s="104"/>
      <c r="R2575" s="104"/>
      <c r="S2575" s="104"/>
    </row>
    <row r="2576" spans="4:19">
      <c r="D2576" s="104"/>
      <c r="E2576" s="104"/>
      <c r="F2576" s="104"/>
      <c r="G2576" s="104"/>
      <c r="H2576" s="104"/>
      <c r="I2576" s="104"/>
      <c r="J2576" s="104"/>
      <c r="K2576" s="104"/>
      <c r="L2576" s="104"/>
      <c r="M2576" s="104"/>
      <c r="N2576" s="104"/>
      <c r="O2576" s="104"/>
      <c r="P2576" s="104"/>
      <c r="Q2576" s="104"/>
      <c r="R2576" s="104"/>
      <c r="S2576" s="104"/>
    </row>
    <row r="2577" spans="4:19">
      <c r="D2577" s="104"/>
      <c r="E2577" s="104"/>
      <c r="F2577" s="104"/>
      <c r="G2577" s="104"/>
      <c r="H2577" s="104"/>
      <c r="I2577" s="104"/>
      <c r="J2577" s="104"/>
      <c r="K2577" s="104"/>
      <c r="L2577" s="104"/>
      <c r="M2577" s="104"/>
      <c r="N2577" s="104"/>
      <c r="O2577" s="104"/>
      <c r="P2577" s="104"/>
      <c r="Q2577" s="104"/>
      <c r="R2577" s="104"/>
      <c r="S2577" s="104"/>
    </row>
    <row r="2578" spans="4:19">
      <c r="D2578" s="104"/>
      <c r="E2578" s="104"/>
      <c r="F2578" s="104"/>
      <c r="G2578" s="104"/>
      <c r="H2578" s="104"/>
      <c r="I2578" s="104"/>
      <c r="J2578" s="104"/>
      <c r="K2578" s="104"/>
      <c r="L2578" s="104"/>
      <c r="M2578" s="104"/>
      <c r="N2578" s="104"/>
      <c r="O2578" s="104"/>
      <c r="P2578" s="104"/>
      <c r="Q2578" s="104"/>
      <c r="R2578" s="104"/>
      <c r="S2578" s="104"/>
    </row>
    <row r="2579" spans="4:19">
      <c r="D2579" s="104"/>
      <c r="E2579" s="104"/>
      <c r="F2579" s="104"/>
      <c r="G2579" s="104"/>
      <c r="H2579" s="104"/>
      <c r="I2579" s="104"/>
      <c r="J2579" s="104"/>
      <c r="K2579" s="104"/>
      <c r="L2579" s="104"/>
      <c r="M2579" s="104"/>
      <c r="N2579" s="104"/>
      <c r="O2579" s="104"/>
      <c r="P2579" s="104"/>
      <c r="Q2579" s="104"/>
      <c r="R2579" s="104"/>
      <c r="S2579" s="104"/>
    </row>
    <row r="2580" spans="4:19">
      <c r="D2580" s="104"/>
      <c r="E2580" s="104"/>
      <c r="F2580" s="104"/>
      <c r="G2580" s="104"/>
      <c r="H2580" s="104"/>
      <c r="I2580" s="104"/>
      <c r="J2580" s="104"/>
      <c r="K2580" s="104"/>
      <c r="L2580" s="104"/>
      <c r="M2580" s="104"/>
      <c r="N2580" s="104"/>
      <c r="O2580" s="104"/>
      <c r="P2580" s="104"/>
      <c r="Q2580" s="104"/>
      <c r="R2580" s="104"/>
      <c r="S2580" s="104"/>
    </row>
    <row r="2581" spans="4:19">
      <c r="D2581" s="104"/>
      <c r="E2581" s="104"/>
      <c r="F2581" s="104"/>
      <c r="G2581" s="104"/>
      <c r="H2581" s="104"/>
      <c r="I2581" s="104"/>
      <c r="J2581" s="104"/>
      <c r="K2581" s="104"/>
      <c r="L2581" s="104"/>
      <c r="M2581" s="104"/>
      <c r="N2581" s="104"/>
      <c r="O2581" s="104"/>
      <c r="P2581" s="104"/>
      <c r="Q2581" s="104"/>
      <c r="R2581" s="104"/>
      <c r="S2581" s="104"/>
    </row>
    <row r="2582" spans="4:19">
      <c r="D2582" s="104"/>
      <c r="E2582" s="104"/>
      <c r="F2582" s="104"/>
      <c r="G2582" s="104"/>
      <c r="H2582" s="104"/>
      <c r="I2582" s="104"/>
      <c r="J2582" s="104"/>
      <c r="K2582" s="104"/>
      <c r="L2582" s="104"/>
      <c r="M2582" s="104"/>
      <c r="N2582" s="104"/>
      <c r="O2582" s="104"/>
      <c r="P2582" s="104"/>
      <c r="Q2582" s="104"/>
      <c r="R2582" s="104"/>
      <c r="S2582" s="104"/>
    </row>
    <row r="2583" spans="4:19">
      <c r="D2583" s="104"/>
      <c r="E2583" s="104"/>
      <c r="F2583" s="104"/>
      <c r="G2583" s="104"/>
      <c r="H2583" s="104"/>
      <c r="I2583" s="104"/>
      <c r="J2583" s="104"/>
      <c r="K2583" s="104"/>
      <c r="L2583" s="104"/>
      <c r="M2583" s="104"/>
      <c r="N2583" s="104"/>
      <c r="O2583" s="104"/>
      <c r="P2583" s="104"/>
      <c r="Q2583" s="104"/>
      <c r="R2583" s="104"/>
      <c r="S2583" s="104"/>
    </row>
    <row r="2584" spans="4:19">
      <c r="D2584" s="104"/>
      <c r="E2584" s="104"/>
      <c r="F2584" s="104"/>
      <c r="G2584" s="104"/>
      <c r="H2584" s="104"/>
      <c r="I2584" s="104"/>
      <c r="J2584" s="104"/>
      <c r="K2584" s="104"/>
      <c r="L2584" s="104"/>
      <c r="M2584" s="104"/>
      <c r="N2584" s="104"/>
      <c r="O2584" s="104"/>
      <c r="P2584" s="104"/>
      <c r="Q2584" s="104"/>
      <c r="R2584" s="104"/>
      <c r="S2584" s="104"/>
    </row>
    <row r="2585" spans="4:19">
      <c r="D2585" s="104"/>
      <c r="E2585" s="104"/>
      <c r="F2585" s="104"/>
      <c r="G2585" s="104"/>
      <c r="H2585" s="104"/>
      <c r="I2585" s="104"/>
      <c r="J2585" s="104"/>
      <c r="K2585" s="104"/>
      <c r="L2585" s="104"/>
      <c r="M2585" s="104"/>
      <c r="N2585" s="104"/>
      <c r="O2585" s="104"/>
      <c r="P2585" s="104"/>
      <c r="Q2585" s="104"/>
      <c r="R2585" s="104"/>
      <c r="S2585" s="104"/>
    </row>
    <row r="2586" spans="4:19">
      <c r="D2586" s="104"/>
      <c r="E2586" s="104"/>
      <c r="F2586" s="104"/>
      <c r="G2586" s="104"/>
      <c r="H2586" s="104"/>
      <c r="I2586" s="104"/>
      <c r="J2586" s="104"/>
      <c r="K2586" s="104"/>
      <c r="L2586" s="104"/>
      <c r="M2586" s="104"/>
      <c r="N2586" s="104"/>
      <c r="O2586" s="104"/>
      <c r="P2586" s="104"/>
      <c r="Q2586" s="104"/>
      <c r="R2586" s="104"/>
      <c r="S2586" s="104"/>
    </row>
    <row r="2587" spans="4:19">
      <c r="D2587" s="104"/>
      <c r="E2587" s="104"/>
      <c r="F2587" s="104"/>
      <c r="G2587" s="104"/>
      <c r="H2587" s="104"/>
      <c r="I2587" s="104"/>
      <c r="J2587" s="104"/>
      <c r="K2587" s="104"/>
      <c r="L2587" s="104"/>
      <c r="M2587" s="104"/>
      <c r="N2587" s="104"/>
      <c r="O2587" s="104"/>
      <c r="P2587" s="104"/>
      <c r="Q2587" s="104"/>
      <c r="R2587" s="104"/>
      <c r="S2587" s="104"/>
    </row>
    <row r="2588" spans="4:19">
      <c r="D2588" s="104"/>
      <c r="E2588" s="104"/>
      <c r="F2588" s="104"/>
      <c r="G2588" s="104"/>
      <c r="H2588" s="104"/>
      <c r="I2588" s="104"/>
      <c r="J2588" s="104"/>
      <c r="K2588" s="104"/>
      <c r="L2588" s="104"/>
      <c r="M2588" s="104"/>
      <c r="N2588" s="104"/>
      <c r="O2588" s="104"/>
      <c r="P2588" s="104"/>
      <c r="Q2588" s="104"/>
      <c r="R2588" s="104"/>
      <c r="S2588" s="104"/>
    </row>
    <row r="2589" spans="4:19">
      <c r="D2589" s="104"/>
      <c r="E2589" s="104"/>
      <c r="F2589" s="104"/>
      <c r="G2589" s="104"/>
      <c r="H2589" s="104"/>
      <c r="I2589" s="104"/>
      <c r="J2589" s="104"/>
      <c r="K2589" s="104"/>
      <c r="L2589" s="104"/>
      <c r="M2589" s="104"/>
      <c r="N2589" s="104"/>
      <c r="O2589" s="104"/>
      <c r="P2589" s="104"/>
      <c r="Q2589" s="104"/>
      <c r="R2589" s="104"/>
      <c r="S2589" s="104"/>
    </row>
    <row r="2590" spans="4:19">
      <c r="D2590" s="104"/>
      <c r="E2590" s="104"/>
      <c r="F2590" s="104"/>
      <c r="G2590" s="104"/>
      <c r="H2590" s="104"/>
      <c r="I2590" s="104"/>
      <c r="J2590" s="104"/>
      <c r="K2590" s="104"/>
      <c r="L2590" s="104"/>
      <c r="M2590" s="104"/>
      <c r="N2590" s="104"/>
      <c r="O2590" s="104"/>
      <c r="P2590" s="104"/>
      <c r="Q2590" s="104"/>
      <c r="R2590" s="104"/>
      <c r="S2590" s="104"/>
    </row>
    <row r="2591" spans="4:19">
      <c r="D2591" s="104"/>
      <c r="E2591" s="104"/>
      <c r="F2591" s="104"/>
      <c r="G2591" s="104"/>
      <c r="H2591" s="104"/>
      <c r="I2591" s="104"/>
      <c r="J2591" s="104"/>
      <c r="K2591" s="104"/>
      <c r="L2591" s="104"/>
      <c r="M2591" s="104"/>
      <c r="N2591" s="104"/>
      <c r="O2591" s="104"/>
      <c r="P2591" s="104"/>
      <c r="Q2591" s="104"/>
      <c r="R2591" s="104"/>
      <c r="S2591" s="104"/>
    </row>
    <row r="2592" spans="4:19">
      <c r="D2592" s="104"/>
      <c r="E2592" s="104"/>
      <c r="F2592" s="104"/>
      <c r="G2592" s="104"/>
      <c r="H2592" s="104"/>
      <c r="I2592" s="104"/>
      <c r="J2592" s="104"/>
      <c r="K2592" s="104"/>
      <c r="L2592" s="104"/>
      <c r="M2592" s="104"/>
      <c r="N2592" s="104"/>
      <c r="O2592" s="104"/>
      <c r="P2592" s="104"/>
      <c r="Q2592" s="104"/>
      <c r="R2592" s="104"/>
      <c r="S2592" s="104"/>
    </row>
    <row r="2593" spans="4:19">
      <c r="D2593" s="104"/>
      <c r="E2593" s="104"/>
      <c r="F2593" s="104"/>
      <c r="G2593" s="104"/>
      <c r="H2593" s="104"/>
      <c r="I2593" s="104"/>
      <c r="J2593" s="104"/>
      <c r="K2593" s="104"/>
      <c r="L2593" s="104"/>
      <c r="M2593" s="104"/>
      <c r="N2593" s="104"/>
      <c r="O2593" s="104"/>
      <c r="P2593" s="104"/>
      <c r="Q2593" s="104"/>
      <c r="R2593" s="104"/>
      <c r="S2593" s="104"/>
    </row>
    <row r="2594" spans="4:19">
      <c r="D2594" s="104"/>
      <c r="E2594" s="104"/>
      <c r="F2594" s="104"/>
      <c r="G2594" s="104"/>
      <c r="H2594" s="104"/>
      <c r="I2594" s="104"/>
      <c r="J2594" s="104"/>
      <c r="K2594" s="104"/>
      <c r="L2594" s="104"/>
      <c r="M2594" s="104"/>
      <c r="N2594" s="104"/>
      <c r="O2594" s="104"/>
      <c r="P2594" s="104"/>
      <c r="Q2594" s="104"/>
      <c r="R2594" s="104"/>
      <c r="S2594" s="104"/>
    </row>
    <row r="2595" spans="4:19">
      <c r="D2595" s="104"/>
      <c r="E2595" s="104"/>
      <c r="F2595" s="104"/>
      <c r="G2595" s="104"/>
      <c r="H2595" s="104"/>
      <c r="I2595" s="104"/>
      <c r="J2595" s="104"/>
      <c r="K2595" s="104"/>
      <c r="L2595" s="104"/>
      <c r="M2595" s="104"/>
      <c r="N2595" s="104"/>
      <c r="O2595" s="104"/>
      <c r="P2595" s="104"/>
      <c r="Q2595" s="104"/>
      <c r="R2595" s="104"/>
      <c r="S2595" s="104"/>
    </row>
    <row r="2596" spans="4:19">
      <c r="D2596" s="104"/>
      <c r="E2596" s="104"/>
      <c r="F2596" s="104"/>
      <c r="G2596" s="104"/>
      <c r="H2596" s="104"/>
      <c r="I2596" s="104"/>
      <c r="J2596" s="104"/>
      <c r="K2596" s="104"/>
      <c r="L2596" s="104"/>
      <c r="M2596" s="104"/>
      <c r="N2596" s="104"/>
      <c r="O2596" s="104"/>
      <c r="P2596" s="104"/>
      <c r="Q2596" s="104"/>
      <c r="R2596" s="104"/>
      <c r="S2596" s="104"/>
    </row>
    <row r="2597" spans="4:19">
      <c r="D2597" s="104"/>
      <c r="E2597" s="104"/>
      <c r="F2597" s="104"/>
      <c r="G2597" s="104"/>
      <c r="H2597" s="104"/>
      <c r="I2597" s="104"/>
      <c r="J2597" s="104"/>
      <c r="K2597" s="104"/>
      <c r="L2597" s="104"/>
      <c r="M2597" s="104"/>
      <c r="N2597" s="104"/>
      <c r="O2597" s="104"/>
      <c r="P2597" s="104"/>
      <c r="Q2597" s="104"/>
      <c r="R2597" s="104"/>
      <c r="S2597" s="104"/>
    </row>
    <row r="2598" spans="4:19">
      <c r="D2598" s="104"/>
      <c r="E2598" s="104"/>
      <c r="F2598" s="104"/>
      <c r="G2598" s="104"/>
      <c r="H2598" s="104"/>
      <c r="I2598" s="104"/>
      <c r="J2598" s="104"/>
      <c r="K2598" s="104"/>
      <c r="L2598" s="104"/>
      <c r="M2598" s="104"/>
      <c r="N2598" s="104"/>
      <c r="O2598" s="104"/>
      <c r="P2598" s="104"/>
      <c r="Q2598" s="104"/>
      <c r="R2598" s="104"/>
      <c r="S2598" s="104"/>
    </row>
    <row r="2599" spans="4:19">
      <c r="D2599" s="104"/>
      <c r="E2599" s="104"/>
      <c r="F2599" s="104"/>
      <c r="G2599" s="104"/>
      <c r="H2599" s="104"/>
      <c r="I2599" s="104"/>
      <c r="J2599" s="104"/>
      <c r="K2599" s="104"/>
      <c r="L2599" s="104"/>
      <c r="M2599" s="104"/>
      <c r="N2599" s="104"/>
      <c r="O2599" s="104"/>
      <c r="P2599" s="104"/>
      <c r="Q2599" s="104"/>
      <c r="R2599" s="104"/>
      <c r="S2599" s="104"/>
    </row>
    <row r="2600" spans="4:19">
      <c r="D2600" s="104"/>
      <c r="E2600" s="104"/>
      <c r="F2600" s="104"/>
      <c r="G2600" s="104"/>
      <c r="H2600" s="104"/>
      <c r="I2600" s="104"/>
      <c r="J2600" s="104"/>
      <c r="K2600" s="104"/>
      <c r="L2600" s="104"/>
      <c r="M2600" s="104"/>
      <c r="N2600" s="104"/>
      <c r="O2600" s="104"/>
      <c r="P2600" s="104"/>
      <c r="Q2600" s="104"/>
      <c r="R2600" s="104"/>
      <c r="S2600" s="104"/>
    </row>
    <row r="2601" spans="4:19">
      <c r="D2601" s="104"/>
      <c r="E2601" s="104"/>
      <c r="F2601" s="104"/>
      <c r="G2601" s="104"/>
      <c r="H2601" s="104"/>
      <c r="I2601" s="104"/>
      <c r="J2601" s="104"/>
      <c r="K2601" s="104"/>
      <c r="L2601" s="104"/>
      <c r="M2601" s="104"/>
      <c r="N2601" s="104"/>
      <c r="O2601" s="104"/>
      <c r="P2601" s="104"/>
      <c r="Q2601" s="104"/>
      <c r="R2601" s="104"/>
      <c r="S2601" s="104"/>
    </row>
    <row r="2602" spans="4:19">
      <c r="D2602" s="104"/>
      <c r="E2602" s="104"/>
      <c r="F2602" s="104"/>
      <c r="G2602" s="104"/>
      <c r="H2602" s="104"/>
      <c r="I2602" s="104"/>
      <c r="J2602" s="104"/>
      <c r="K2602" s="104"/>
      <c r="L2602" s="104"/>
      <c r="M2602" s="104"/>
      <c r="N2602" s="104"/>
      <c r="O2602" s="104"/>
      <c r="P2602" s="104"/>
      <c r="Q2602" s="104"/>
      <c r="R2602" s="104"/>
      <c r="S2602" s="104"/>
    </row>
    <row r="2603" spans="4:19">
      <c r="D2603" s="104"/>
      <c r="E2603" s="104"/>
      <c r="F2603" s="104"/>
      <c r="G2603" s="104"/>
      <c r="H2603" s="104"/>
      <c r="I2603" s="104"/>
      <c r="J2603" s="104"/>
      <c r="K2603" s="104"/>
      <c r="L2603" s="104"/>
      <c r="M2603" s="104"/>
      <c r="N2603" s="104"/>
      <c r="O2603" s="104"/>
      <c r="P2603" s="104"/>
      <c r="Q2603" s="104"/>
      <c r="R2603" s="104"/>
      <c r="S2603" s="104"/>
    </row>
    <row r="2604" spans="4:19">
      <c r="D2604" s="104"/>
      <c r="E2604" s="104"/>
      <c r="F2604" s="104"/>
      <c r="G2604" s="104"/>
      <c r="H2604" s="104"/>
      <c r="I2604" s="104"/>
      <c r="J2604" s="104"/>
      <c r="K2604" s="104"/>
      <c r="L2604" s="104"/>
      <c r="M2604" s="104"/>
      <c r="N2604" s="104"/>
      <c r="O2604" s="104"/>
      <c r="P2604" s="104"/>
      <c r="Q2604" s="104"/>
      <c r="R2604" s="104"/>
      <c r="S2604" s="104"/>
    </row>
    <row r="2605" spans="4:19">
      <c r="D2605" s="104"/>
      <c r="E2605" s="104"/>
      <c r="F2605" s="104"/>
      <c r="G2605" s="104"/>
      <c r="H2605" s="104"/>
      <c r="I2605" s="104"/>
      <c r="J2605" s="104"/>
      <c r="K2605" s="104"/>
      <c r="L2605" s="104"/>
      <c r="M2605" s="104"/>
      <c r="N2605" s="104"/>
      <c r="O2605" s="104"/>
      <c r="P2605" s="104"/>
      <c r="Q2605" s="104"/>
      <c r="R2605" s="104"/>
      <c r="S2605" s="104"/>
    </row>
    <row r="2606" spans="4:19">
      <c r="D2606" s="104"/>
      <c r="E2606" s="104"/>
      <c r="F2606" s="104"/>
      <c r="G2606" s="104"/>
      <c r="H2606" s="104"/>
      <c r="I2606" s="104"/>
      <c r="J2606" s="104"/>
      <c r="K2606" s="104"/>
      <c r="L2606" s="104"/>
      <c r="M2606" s="104"/>
      <c r="N2606" s="104"/>
      <c r="O2606" s="104"/>
      <c r="P2606" s="104"/>
      <c r="Q2606" s="104"/>
      <c r="R2606" s="104"/>
      <c r="S2606" s="104"/>
    </row>
    <row r="2607" spans="4:19">
      <c r="D2607" s="104"/>
      <c r="E2607" s="104"/>
      <c r="F2607" s="104"/>
      <c r="G2607" s="104"/>
      <c r="H2607" s="104"/>
      <c r="I2607" s="104"/>
      <c r="J2607" s="104"/>
      <c r="K2607" s="104"/>
      <c r="L2607" s="104"/>
      <c r="M2607" s="104"/>
      <c r="N2607" s="104"/>
      <c r="O2607" s="104"/>
      <c r="P2607" s="104"/>
      <c r="Q2607" s="104"/>
      <c r="R2607" s="104"/>
      <c r="S2607" s="104"/>
    </row>
    <row r="2608" spans="4:19">
      <c r="D2608" s="104"/>
      <c r="E2608" s="104"/>
      <c r="F2608" s="104"/>
      <c r="G2608" s="104"/>
      <c r="H2608" s="104"/>
      <c r="I2608" s="104"/>
      <c r="J2608" s="104"/>
      <c r="K2608" s="104"/>
      <c r="L2608" s="104"/>
      <c r="M2608" s="104"/>
      <c r="N2608" s="104"/>
      <c r="O2608" s="104"/>
      <c r="P2608" s="104"/>
      <c r="Q2608" s="104"/>
      <c r="R2608" s="104"/>
      <c r="S2608" s="104"/>
    </row>
    <row r="2609" spans="4:19">
      <c r="D2609" s="104"/>
      <c r="E2609" s="104"/>
      <c r="F2609" s="104"/>
      <c r="G2609" s="104"/>
      <c r="H2609" s="104"/>
      <c r="I2609" s="104"/>
      <c r="J2609" s="104"/>
      <c r="K2609" s="104"/>
      <c r="L2609" s="104"/>
      <c r="M2609" s="104"/>
      <c r="N2609" s="104"/>
      <c r="O2609" s="104"/>
      <c r="P2609" s="104"/>
      <c r="Q2609" s="104"/>
      <c r="R2609" s="104"/>
      <c r="S2609" s="104"/>
    </row>
    <row r="2610" spans="4:19">
      <c r="D2610" s="104"/>
      <c r="E2610" s="104"/>
      <c r="F2610" s="104"/>
      <c r="G2610" s="104"/>
      <c r="H2610" s="104"/>
      <c r="I2610" s="104"/>
      <c r="J2610" s="104"/>
      <c r="K2610" s="104"/>
      <c r="L2610" s="104"/>
      <c r="M2610" s="104"/>
      <c r="N2610" s="104"/>
      <c r="O2610" s="104"/>
      <c r="P2610" s="104"/>
      <c r="Q2610" s="104"/>
      <c r="R2610" s="104"/>
      <c r="S2610" s="104"/>
    </row>
    <row r="2611" spans="4:19">
      <c r="D2611" s="104"/>
      <c r="E2611" s="104"/>
      <c r="F2611" s="104"/>
      <c r="G2611" s="104"/>
      <c r="H2611" s="104"/>
      <c r="I2611" s="104"/>
      <c r="J2611" s="104"/>
      <c r="K2611" s="104"/>
      <c r="L2611" s="104"/>
      <c r="M2611" s="104"/>
      <c r="N2611" s="104"/>
      <c r="O2611" s="104"/>
      <c r="P2611" s="104"/>
      <c r="Q2611" s="104"/>
      <c r="R2611" s="104"/>
      <c r="S2611" s="104"/>
    </row>
    <row r="2612" spans="4:19">
      <c r="D2612" s="104"/>
      <c r="E2612" s="104"/>
      <c r="F2612" s="104"/>
      <c r="G2612" s="104"/>
      <c r="H2612" s="104"/>
      <c r="I2612" s="104"/>
      <c r="J2612" s="104"/>
      <c r="K2612" s="104"/>
      <c r="L2612" s="104"/>
      <c r="M2612" s="104"/>
      <c r="N2612" s="104"/>
      <c r="O2612" s="104"/>
      <c r="P2612" s="104"/>
      <c r="Q2612" s="104"/>
      <c r="R2612" s="104"/>
      <c r="S2612" s="104"/>
    </row>
    <row r="2613" spans="4:19">
      <c r="D2613" s="104"/>
      <c r="E2613" s="104"/>
      <c r="F2613" s="104"/>
      <c r="G2613" s="104"/>
      <c r="H2613" s="104"/>
      <c r="I2613" s="104"/>
      <c r="J2613" s="104"/>
      <c r="K2613" s="104"/>
      <c r="L2613" s="104"/>
      <c r="M2613" s="104"/>
      <c r="N2613" s="104"/>
      <c r="O2613" s="104"/>
      <c r="P2613" s="104"/>
      <c r="Q2613" s="104"/>
      <c r="R2613" s="104"/>
      <c r="S2613" s="104"/>
    </row>
    <row r="2614" spans="4:19">
      <c r="D2614" s="104"/>
      <c r="E2614" s="104"/>
      <c r="F2614" s="104"/>
      <c r="G2614" s="104"/>
      <c r="H2614" s="104"/>
      <c r="I2614" s="104"/>
      <c r="J2614" s="104"/>
      <c r="K2614" s="104"/>
      <c r="L2614" s="104"/>
      <c r="M2614" s="104"/>
      <c r="N2614" s="104"/>
      <c r="O2614" s="104"/>
      <c r="P2614" s="104"/>
      <c r="Q2614" s="104"/>
      <c r="R2614" s="104"/>
      <c r="S2614" s="104"/>
    </row>
    <row r="2615" spans="4:19">
      <c r="D2615" s="104"/>
      <c r="E2615" s="104"/>
      <c r="F2615" s="104"/>
      <c r="G2615" s="104"/>
      <c r="H2615" s="104"/>
      <c r="I2615" s="104"/>
      <c r="J2615" s="104"/>
      <c r="K2615" s="104"/>
      <c r="L2615" s="104"/>
      <c r="M2615" s="104"/>
      <c r="N2615" s="104"/>
      <c r="O2615" s="104"/>
      <c r="P2615" s="104"/>
      <c r="Q2615" s="104"/>
      <c r="R2615" s="104"/>
      <c r="S2615" s="104"/>
    </row>
    <row r="2616" spans="4:19">
      <c r="D2616" s="104"/>
      <c r="E2616" s="104"/>
      <c r="F2616" s="104"/>
      <c r="G2616" s="104"/>
      <c r="H2616" s="104"/>
      <c r="I2616" s="104"/>
      <c r="J2616" s="104"/>
      <c r="K2616" s="104"/>
      <c r="L2616" s="104"/>
      <c r="M2616" s="104"/>
      <c r="N2616" s="104"/>
      <c r="O2616" s="104"/>
      <c r="P2616" s="104"/>
      <c r="Q2616" s="104"/>
      <c r="R2616" s="104"/>
      <c r="S2616" s="104"/>
    </row>
    <row r="2617" spans="4:19">
      <c r="D2617" s="104"/>
      <c r="E2617" s="104"/>
      <c r="F2617" s="104"/>
      <c r="G2617" s="104"/>
      <c r="H2617" s="104"/>
      <c r="I2617" s="104"/>
      <c r="J2617" s="104"/>
      <c r="K2617" s="104"/>
      <c r="L2617" s="104"/>
      <c r="M2617" s="104"/>
      <c r="N2617" s="104"/>
      <c r="O2617" s="104"/>
      <c r="P2617" s="104"/>
      <c r="Q2617" s="104"/>
      <c r="R2617" s="104"/>
      <c r="S2617" s="104"/>
    </row>
    <row r="2618" spans="4:19">
      <c r="D2618" s="104"/>
      <c r="E2618" s="104"/>
      <c r="F2618" s="104"/>
      <c r="G2618" s="104"/>
      <c r="H2618" s="104"/>
      <c r="I2618" s="104"/>
      <c r="J2618" s="104"/>
      <c r="K2618" s="104"/>
      <c r="L2618" s="104"/>
      <c r="M2618" s="104"/>
      <c r="N2618" s="104"/>
      <c r="O2618" s="104"/>
      <c r="P2618" s="104"/>
      <c r="Q2618" s="104"/>
      <c r="R2618" s="104"/>
      <c r="S2618" s="104"/>
    </row>
    <row r="2619" spans="4:19">
      <c r="D2619" s="104"/>
      <c r="E2619" s="104"/>
      <c r="F2619" s="104"/>
      <c r="G2619" s="104"/>
      <c r="H2619" s="104"/>
      <c r="I2619" s="104"/>
      <c r="J2619" s="104"/>
      <c r="K2619" s="104"/>
      <c r="L2619" s="104"/>
      <c r="M2619" s="104"/>
      <c r="N2619" s="104"/>
      <c r="O2619" s="104"/>
      <c r="P2619" s="104"/>
      <c r="Q2619" s="104"/>
      <c r="R2619" s="104"/>
      <c r="S2619" s="104"/>
    </row>
    <row r="2620" spans="4:19">
      <c r="D2620" s="104"/>
      <c r="E2620" s="104"/>
      <c r="F2620" s="104"/>
      <c r="G2620" s="104"/>
      <c r="H2620" s="104"/>
      <c r="I2620" s="104"/>
      <c r="J2620" s="104"/>
      <c r="K2620" s="104"/>
      <c r="L2620" s="104"/>
      <c r="M2620" s="104"/>
      <c r="N2620" s="104"/>
      <c r="O2620" s="104"/>
      <c r="P2620" s="104"/>
      <c r="Q2620" s="104"/>
      <c r="R2620" s="104"/>
      <c r="S2620" s="104"/>
    </row>
    <row r="2621" spans="4:19">
      <c r="D2621" s="104"/>
      <c r="E2621" s="104"/>
      <c r="F2621" s="104"/>
      <c r="G2621" s="104"/>
      <c r="H2621" s="104"/>
      <c r="I2621" s="104"/>
      <c r="J2621" s="104"/>
      <c r="K2621" s="104"/>
      <c r="L2621" s="104"/>
      <c r="M2621" s="104"/>
      <c r="N2621" s="104"/>
      <c r="O2621" s="104"/>
      <c r="P2621" s="104"/>
      <c r="Q2621" s="104"/>
      <c r="R2621" s="104"/>
      <c r="S2621" s="104"/>
    </row>
    <row r="2622" spans="4:19">
      <c r="D2622" s="104"/>
      <c r="E2622" s="104"/>
      <c r="F2622" s="104"/>
      <c r="G2622" s="104"/>
      <c r="H2622" s="104"/>
      <c r="I2622" s="104"/>
      <c r="J2622" s="104"/>
      <c r="K2622" s="104"/>
      <c r="L2622" s="104"/>
      <c r="M2622" s="104"/>
      <c r="N2622" s="104"/>
      <c r="O2622" s="104"/>
      <c r="P2622" s="104"/>
      <c r="Q2622" s="104"/>
      <c r="R2622" s="104"/>
      <c r="S2622" s="104"/>
    </row>
    <row r="2623" spans="4:19">
      <c r="D2623" s="104"/>
      <c r="E2623" s="104"/>
      <c r="F2623" s="104"/>
      <c r="G2623" s="104"/>
      <c r="H2623" s="104"/>
      <c r="I2623" s="104"/>
      <c r="J2623" s="104"/>
      <c r="K2623" s="104"/>
      <c r="L2623" s="104"/>
      <c r="M2623" s="104"/>
      <c r="N2623" s="104"/>
      <c r="O2623" s="104"/>
      <c r="P2623" s="104"/>
      <c r="Q2623" s="104"/>
      <c r="R2623" s="104"/>
      <c r="S2623" s="104"/>
    </row>
    <row r="2624" spans="4:19">
      <c r="D2624" s="104"/>
      <c r="E2624" s="104"/>
      <c r="F2624" s="104"/>
      <c r="G2624" s="104"/>
      <c r="H2624" s="104"/>
      <c r="I2624" s="104"/>
      <c r="J2624" s="104"/>
      <c r="K2624" s="104"/>
      <c r="L2624" s="104"/>
      <c r="M2624" s="104"/>
      <c r="N2624" s="104"/>
      <c r="O2624" s="104"/>
      <c r="P2624" s="104"/>
      <c r="Q2624" s="104"/>
      <c r="R2624" s="104"/>
      <c r="S2624" s="104"/>
    </row>
    <row r="2625" spans="4:19">
      <c r="D2625" s="104"/>
      <c r="E2625" s="104"/>
      <c r="F2625" s="104"/>
      <c r="G2625" s="104"/>
      <c r="H2625" s="104"/>
      <c r="I2625" s="104"/>
      <c r="J2625" s="104"/>
      <c r="K2625" s="104"/>
      <c r="L2625" s="104"/>
      <c r="M2625" s="104"/>
      <c r="N2625" s="104"/>
      <c r="O2625" s="104"/>
      <c r="P2625" s="104"/>
      <c r="Q2625" s="104"/>
      <c r="R2625" s="104"/>
      <c r="S2625" s="104"/>
    </row>
    <row r="2626" spans="4:19">
      <c r="D2626" s="104"/>
      <c r="E2626" s="104"/>
      <c r="F2626" s="104"/>
      <c r="G2626" s="104"/>
      <c r="H2626" s="104"/>
      <c r="I2626" s="104"/>
      <c r="J2626" s="104"/>
      <c r="K2626" s="104"/>
      <c r="L2626" s="104"/>
      <c r="M2626" s="104"/>
      <c r="N2626" s="104"/>
      <c r="O2626" s="104"/>
      <c r="P2626" s="104"/>
      <c r="Q2626" s="104"/>
      <c r="R2626" s="104"/>
      <c r="S2626" s="104"/>
    </row>
    <row r="2627" spans="4:19">
      <c r="D2627" s="104"/>
      <c r="E2627" s="104"/>
      <c r="F2627" s="104"/>
      <c r="G2627" s="104"/>
      <c r="H2627" s="104"/>
      <c r="I2627" s="104"/>
      <c r="J2627" s="104"/>
      <c r="K2627" s="104"/>
      <c r="L2627" s="104"/>
      <c r="M2627" s="104"/>
      <c r="N2627" s="104"/>
      <c r="O2627" s="104"/>
      <c r="P2627" s="104"/>
      <c r="Q2627" s="104"/>
      <c r="R2627" s="104"/>
      <c r="S2627" s="104"/>
    </row>
    <row r="2628" spans="4:19">
      <c r="D2628" s="104"/>
      <c r="E2628" s="104"/>
      <c r="F2628" s="104"/>
      <c r="G2628" s="104"/>
      <c r="H2628" s="104"/>
      <c r="I2628" s="104"/>
      <c r="J2628" s="104"/>
      <c r="K2628" s="104"/>
      <c r="L2628" s="104"/>
      <c r="M2628" s="104"/>
      <c r="N2628" s="104"/>
      <c r="O2628" s="104"/>
      <c r="P2628" s="104"/>
      <c r="Q2628" s="104"/>
      <c r="R2628" s="104"/>
      <c r="S2628" s="104"/>
    </row>
    <row r="2629" spans="4:19">
      <c r="D2629" s="104"/>
      <c r="E2629" s="104"/>
      <c r="F2629" s="104"/>
      <c r="G2629" s="104"/>
      <c r="H2629" s="104"/>
      <c r="I2629" s="104"/>
      <c r="J2629" s="104"/>
      <c r="K2629" s="104"/>
      <c r="L2629" s="104"/>
      <c r="M2629" s="104"/>
      <c r="N2629" s="104"/>
      <c r="O2629" s="104"/>
      <c r="P2629" s="104"/>
      <c r="Q2629" s="104"/>
      <c r="R2629" s="104"/>
      <c r="S2629" s="104"/>
    </row>
    <row r="2630" spans="4:19">
      <c r="D2630" s="104"/>
      <c r="E2630" s="104"/>
      <c r="F2630" s="104"/>
      <c r="G2630" s="104"/>
      <c r="H2630" s="104"/>
      <c r="I2630" s="104"/>
      <c r="J2630" s="104"/>
      <c r="K2630" s="104"/>
      <c r="L2630" s="104"/>
      <c r="M2630" s="104"/>
      <c r="N2630" s="104"/>
      <c r="O2630" s="104"/>
      <c r="P2630" s="104"/>
      <c r="Q2630" s="104"/>
      <c r="R2630" s="104"/>
      <c r="S2630" s="104"/>
    </row>
    <row r="2631" spans="4:19">
      <c r="D2631" s="104"/>
      <c r="E2631" s="104"/>
      <c r="F2631" s="104"/>
      <c r="G2631" s="104"/>
      <c r="H2631" s="104"/>
      <c r="I2631" s="104"/>
      <c r="J2631" s="104"/>
      <c r="K2631" s="104"/>
      <c r="L2631" s="104"/>
      <c r="M2631" s="104"/>
      <c r="N2631" s="104"/>
      <c r="O2631" s="104"/>
      <c r="P2631" s="104"/>
      <c r="Q2631" s="104"/>
      <c r="R2631" s="104"/>
      <c r="S2631" s="104"/>
    </row>
    <row r="2632" spans="4:19">
      <c r="D2632" s="104"/>
      <c r="E2632" s="104"/>
      <c r="F2632" s="104"/>
      <c r="G2632" s="104"/>
      <c r="H2632" s="104"/>
      <c r="I2632" s="104"/>
      <c r="J2632" s="104"/>
      <c r="K2632" s="104"/>
      <c r="L2632" s="104"/>
      <c r="M2632" s="104"/>
      <c r="N2632" s="104"/>
      <c r="O2632" s="104"/>
      <c r="P2632" s="104"/>
      <c r="Q2632" s="104"/>
      <c r="R2632" s="104"/>
      <c r="S2632" s="104"/>
    </row>
    <row r="2633" spans="4:19">
      <c r="D2633" s="104"/>
      <c r="E2633" s="104"/>
      <c r="F2633" s="104"/>
      <c r="G2633" s="104"/>
      <c r="H2633" s="104"/>
      <c r="I2633" s="104"/>
      <c r="J2633" s="104"/>
      <c r="K2633" s="104"/>
      <c r="L2633" s="104"/>
      <c r="M2633" s="104"/>
      <c r="N2633" s="104"/>
      <c r="O2633" s="104"/>
      <c r="P2633" s="104"/>
      <c r="Q2633" s="104"/>
      <c r="R2633" s="104"/>
      <c r="S2633" s="104"/>
    </row>
    <row r="2634" spans="4:19">
      <c r="D2634" s="104"/>
      <c r="E2634" s="104"/>
      <c r="F2634" s="104"/>
      <c r="G2634" s="104"/>
      <c r="H2634" s="104"/>
      <c r="I2634" s="104"/>
      <c r="J2634" s="104"/>
      <c r="K2634" s="104"/>
      <c r="L2634" s="104"/>
      <c r="M2634" s="104"/>
      <c r="N2634" s="104"/>
      <c r="O2634" s="104"/>
      <c r="P2634" s="104"/>
      <c r="Q2634" s="104"/>
      <c r="R2634" s="104"/>
      <c r="S2634" s="104"/>
    </row>
    <row r="2635" spans="4:19">
      <c r="D2635" s="104"/>
      <c r="E2635" s="104"/>
      <c r="F2635" s="104"/>
      <c r="G2635" s="104"/>
      <c r="H2635" s="104"/>
      <c r="I2635" s="104"/>
      <c r="J2635" s="104"/>
      <c r="K2635" s="104"/>
      <c r="L2635" s="104"/>
      <c r="M2635" s="104"/>
      <c r="N2635" s="104"/>
      <c r="O2635" s="104"/>
      <c r="P2635" s="104"/>
      <c r="Q2635" s="104"/>
      <c r="R2635" s="104"/>
      <c r="S2635" s="104"/>
    </row>
    <row r="2636" spans="4:19">
      <c r="D2636" s="104"/>
      <c r="E2636" s="104"/>
      <c r="F2636" s="104"/>
      <c r="G2636" s="104"/>
      <c r="H2636" s="104"/>
      <c r="I2636" s="104"/>
      <c r="J2636" s="104"/>
      <c r="K2636" s="104"/>
      <c r="L2636" s="104"/>
      <c r="M2636" s="104"/>
      <c r="N2636" s="104"/>
      <c r="O2636" s="104"/>
      <c r="P2636" s="104"/>
      <c r="Q2636" s="104"/>
      <c r="R2636" s="104"/>
      <c r="S2636" s="104"/>
    </row>
    <row r="2637" spans="4:19">
      <c r="D2637" s="104"/>
      <c r="E2637" s="104"/>
      <c r="F2637" s="104"/>
      <c r="G2637" s="104"/>
      <c r="H2637" s="104"/>
      <c r="I2637" s="104"/>
      <c r="J2637" s="104"/>
      <c r="K2637" s="104"/>
      <c r="L2637" s="104"/>
      <c r="M2637" s="104"/>
      <c r="N2637" s="104"/>
      <c r="O2637" s="104"/>
      <c r="P2637" s="104"/>
      <c r="Q2637" s="104"/>
      <c r="R2637" s="104"/>
      <c r="S2637" s="104"/>
    </row>
    <row r="2638" spans="4:19">
      <c r="D2638" s="104"/>
      <c r="E2638" s="104"/>
      <c r="F2638" s="104"/>
      <c r="G2638" s="104"/>
      <c r="H2638" s="104"/>
      <c r="I2638" s="104"/>
      <c r="J2638" s="104"/>
      <c r="K2638" s="104"/>
      <c r="L2638" s="104"/>
      <c r="M2638" s="104"/>
      <c r="N2638" s="104"/>
      <c r="O2638" s="104"/>
      <c r="P2638" s="104"/>
      <c r="Q2638" s="104"/>
      <c r="R2638" s="104"/>
      <c r="S2638" s="104"/>
    </row>
    <row r="2639" spans="4:19">
      <c r="D2639" s="104"/>
      <c r="E2639" s="104"/>
      <c r="F2639" s="104"/>
      <c r="G2639" s="104"/>
      <c r="H2639" s="104"/>
      <c r="I2639" s="104"/>
      <c r="J2639" s="104"/>
      <c r="K2639" s="104"/>
      <c r="L2639" s="104"/>
      <c r="M2639" s="104"/>
      <c r="N2639" s="104"/>
      <c r="O2639" s="104"/>
      <c r="P2639" s="104"/>
      <c r="Q2639" s="104"/>
      <c r="R2639" s="104"/>
      <c r="S2639" s="104"/>
    </row>
    <row r="2640" spans="4:19">
      <c r="D2640" s="104"/>
      <c r="E2640" s="104"/>
      <c r="F2640" s="104"/>
      <c r="G2640" s="104"/>
      <c r="H2640" s="104"/>
      <c r="I2640" s="104"/>
      <c r="J2640" s="104"/>
      <c r="K2640" s="104"/>
      <c r="L2640" s="104"/>
      <c r="M2640" s="104"/>
      <c r="N2640" s="104"/>
      <c r="O2640" s="104"/>
      <c r="P2640" s="104"/>
      <c r="Q2640" s="104"/>
      <c r="R2640" s="104"/>
      <c r="S2640" s="104"/>
    </row>
    <row r="2641" spans="4:19">
      <c r="D2641" s="104"/>
      <c r="E2641" s="104"/>
      <c r="F2641" s="104"/>
      <c r="G2641" s="104"/>
      <c r="H2641" s="104"/>
      <c r="I2641" s="104"/>
      <c r="J2641" s="104"/>
      <c r="K2641" s="104"/>
      <c r="L2641" s="104"/>
      <c r="M2641" s="104"/>
      <c r="N2641" s="104"/>
      <c r="O2641" s="104"/>
      <c r="P2641" s="104"/>
      <c r="Q2641" s="104"/>
      <c r="R2641" s="104"/>
      <c r="S2641" s="104"/>
    </row>
    <row r="2642" spans="4:19">
      <c r="D2642" s="104"/>
      <c r="E2642" s="104"/>
      <c r="F2642" s="104"/>
      <c r="G2642" s="104"/>
      <c r="H2642" s="104"/>
      <c r="I2642" s="104"/>
      <c r="J2642" s="104"/>
      <c r="K2642" s="104"/>
      <c r="L2642" s="104"/>
      <c r="M2642" s="104"/>
      <c r="N2642" s="104"/>
      <c r="O2642" s="104"/>
      <c r="P2642" s="104"/>
      <c r="Q2642" s="104"/>
      <c r="R2642" s="104"/>
      <c r="S2642" s="104"/>
    </row>
    <row r="2643" spans="4:19">
      <c r="D2643" s="104"/>
      <c r="E2643" s="104"/>
      <c r="F2643" s="104"/>
      <c r="G2643" s="104"/>
      <c r="H2643" s="104"/>
      <c r="I2643" s="104"/>
      <c r="J2643" s="104"/>
      <c r="K2643" s="104"/>
      <c r="L2643" s="104"/>
      <c r="M2643" s="104"/>
      <c r="N2643" s="104"/>
      <c r="O2643" s="104"/>
      <c r="P2643" s="104"/>
      <c r="Q2643" s="104"/>
      <c r="R2643" s="104"/>
      <c r="S2643" s="104"/>
    </row>
    <row r="2644" spans="4:19">
      <c r="D2644" s="104"/>
      <c r="E2644" s="104"/>
      <c r="F2644" s="104"/>
      <c r="G2644" s="104"/>
      <c r="H2644" s="104"/>
      <c r="I2644" s="104"/>
      <c r="J2644" s="104"/>
      <c r="K2644" s="104"/>
      <c r="L2644" s="104"/>
      <c r="M2644" s="104"/>
      <c r="N2644" s="104"/>
      <c r="O2644" s="104"/>
      <c r="P2644" s="104"/>
      <c r="Q2644" s="104"/>
      <c r="R2644" s="104"/>
      <c r="S2644" s="104"/>
    </row>
    <row r="2645" spans="4:19">
      <c r="D2645" s="104"/>
      <c r="E2645" s="104"/>
      <c r="F2645" s="104"/>
      <c r="G2645" s="104"/>
      <c r="H2645" s="104"/>
      <c r="I2645" s="104"/>
      <c r="J2645" s="104"/>
      <c r="K2645" s="104"/>
      <c r="L2645" s="104"/>
      <c r="M2645" s="104"/>
      <c r="N2645" s="104"/>
      <c r="O2645" s="104"/>
      <c r="P2645" s="104"/>
      <c r="Q2645" s="104"/>
      <c r="R2645" s="104"/>
      <c r="S2645" s="104"/>
    </row>
    <row r="2646" spans="4:19">
      <c r="D2646" s="104"/>
      <c r="E2646" s="104"/>
      <c r="F2646" s="104"/>
      <c r="G2646" s="104"/>
      <c r="H2646" s="104"/>
      <c r="I2646" s="104"/>
      <c r="J2646" s="104"/>
      <c r="K2646" s="104"/>
      <c r="L2646" s="104"/>
      <c r="M2646" s="104"/>
      <c r="N2646" s="104"/>
      <c r="O2646" s="104"/>
      <c r="P2646" s="104"/>
      <c r="Q2646" s="104"/>
      <c r="R2646" s="104"/>
      <c r="S2646" s="104"/>
    </row>
    <row r="2647" spans="4:19">
      <c r="D2647" s="104"/>
      <c r="E2647" s="104"/>
      <c r="F2647" s="104"/>
      <c r="G2647" s="104"/>
      <c r="H2647" s="104"/>
      <c r="I2647" s="104"/>
      <c r="J2647" s="104"/>
      <c r="K2647" s="104"/>
      <c r="L2647" s="104"/>
      <c r="M2647" s="104"/>
      <c r="N2647" s="104"/>
      <c r="O2647" s="104"/>
      <c r="P2647" s="104"/>
      <c r="Q2647" s="104"/>
      <c r="R2647" s="104"/>
      <c r="S2647" s="104"/>
    </row>
    <row r="2648" spans="4:19">
      <c r="D2648" s="104"/>
      <c r="E2648" s="104"/>
      <c r="F2648" s="104"/>
      <c r="G2648" s="104"/>
      <c r="H2648" s="104"/>
      <c r="I2648" s="104"/>
      <c r="J2648" s="104"/>
      <c r="K2648" s="104"/>
      <c r="L2648" s="104"/>
      <c r="M2648" s="104"/>
      <c r="N2648" s="104"/>
      <c r="O2648" s="104"/>
      <c r="P2648" s="104"/>
      <c r="Q2648" s="104"/>
      <c r="R2648" s="104"/>
      <c r="S2648" s="104"/>
    </row>
    <row r="2649" spans="4:19">
      <c r="D2649" s="104"/>
      <c r="E2649" s="104"/>
      <c r="F2649" s="104"/>
      <c r="G2649" s="104"/>
      <c r="H2649" s="104"/>
      <c r="I2649" s="104"/>
      <c r="J2649" s="104"/>
      <c r="K2649" s="104"/>
      <c r="L2649" s="104"/>
      <c r="M2649" s="104"/>
      <c r="N2649" s="104"/>
      <c r="O2649" s="104"/>
      <c r="P2649" s="104"/>
      <c r="Q2649" s="104"/>
      <c r="R2649" s="104"/>
      <c r="S2649" s="104"/>
    </row>
    <row r="2650" spans="4:19">
      <c r="D2650" s="104"/>
      <c r="E2650" s="104"/>
      <c r="F2650" s="104"/>
      <c r="G2650" s="104"/>
      <c r="H2650" s="104"/>
      <c r="I2650" s="104"/>
      <c r="J2650" s="104"/>
      <c r="K2650" s="104"/>
      <c r="L2650" s="104"/>
      <c r="M2650" s="104"/>
      <c r="N2650" s="104"/>
      <c r="O2650" s="104"/>
      <c r="P2650" s="104"/>
      <c r="Q2650" s="104"/>
      <c r="R2650" s="104"/>
      <c r="S2650" s="104"/>
    </row>
    <row r="2651" spans="4:19">
      <c r="D2651" s="104"/>
      <c r="E2651" s="104"/>
      <c r="F2651" s="104"/>
      <c r="G2651" s="104"/>
      <c r="H2651" s="104"/>
      <c r="I2651" s="104"/>
      <c r="J2651" s="104"/>
      <c r="K2651" s="104"/>
      <c r="L2651" s="104"/>
      <c r="M2651" s="104"/>
      <c r="N2651" s="104"/>
      <c r="O2651" s="104"/>
      <c r="P2651" s="104"/>
      <c r="Q2651" s="104"/>
      <c r="R2651" s="104"/>
      <c r="S2651" s="104"/>
    </row>
    <row r="2652" spans="4:19">
      <c r="D2652" s="104"/>
      <c r="E2652" s="104"/>
      <c r="F2652" s="104"/>
      <c r="G2652" s="104"/>
      <c r="H2652" s="104"/>
      <c r="I2652" s="104"/>
      <c r="J2652" s="104"/>
      <c r="K2652" s="104"/>
      <c r="L2652" s="104"/>
      <c r="M2652" s="104"/>
      <c r="N2652" s="104"/>
      <c r="O2652" s="104"/>
      <c r="P2652" s="104"/>
      <c r="Q2652" s="104"/>
      <c r="R2652" s="104"/>
      <c r="S2652" s="104"/>
    </row>
    <row r="2653" spans="4:19">
      <c r="D2653" s="104"/>
      <c r="E2653" s="104"/>
      <c r="F2653" s="104"/>
      <c r="G2653" s="104"/>
      <c r="H2653" s="104"/>
      <c r="I2653" s="104"/>
      <c r="J2653" s="104"/>
      <c r="K2653" s="104"/>
      <c r="L2653" s="104"/>
      <c r="M2653" s="104"/>
      <c r="N2653" s="104"/>
      <c r="O2653" s="104"/>
      <c r="P2653" s="104"/>
      <c r="Q2653" s="104"/>
      <c r="R2653" s="104"/>
      <c r="S2653" s="104"/>
    </row>
    <row r="2654" spans="4:19">
      <c r="D2654" s="104"/>
      <c r="E2654" s="104"/>
      <c r="F2654" s="104"/>
      <c r="G2654" s="104"/>
      <c r="H2654" s="104"/>
      <c r="I2654" s="104"/>
      <c r="J2654" s="104"/>
      <c r="K2654" s="104"/>
      <c r="L2654" s="104"/>
      <c r="M2654" s="104"/>
      <c r="N2654" s="104"/>
      <c r="O2654" s="104"/>
      <c r="P2654" s="104"/>
      <c r="Q2654" s="104"/>
      <c r="R2654" s="104"/>
      <c r="S2654" s="104"/>
    </row>
    <row r="2655" spans="4:19">
      <c r="D2655" s="104"/>
      <c r="E2655" s="104"/>
      <c r="F2655" s="104"/>
      <c r="G2655" s="104"/>
      <c r="H2655" s="104"/>
      <c r="I2655" s="104"/>
      <c r="J2655" s="104"/>
      <c r="K2655" s="104"/>
      <c r="L2655" s="104"/>
      <c r="M2655" s="104"/>
      <c r="N2655" s="104"/>
      <c r="O2655" s="104"/>
      <c r="P2655" s="104"/>
      <c r="Q2655" s="104"/>
      <c r="R2655" s="104"/>
      <c r="S2655" s="104"/>
    </row>
    <row r="2656" spans="4:19">
      <c r="D2656" s="104"/>
      <c r="E2656" s="104"/>
      <c r="F2656" s="104"/>
      <c r="G2656" s="104"/>
      <c r="H2656" s="104"/>
      <c r="I2656" s="104"/>
      <c r="J2656" s="104"/>
      <c r="K2656" s="104"/>
      <c r="L2656" s="104"/>
      <c r="M2656" s="104"/>
      <c r="N2656" s="104"/>
      <c r="O2656" s="104"/>
      <c r="P2656" s="104"/>
      <c r="Q2656" s="104"/>
      <c r="R2656" s="104"/>
      <c r="S2656" s="104"/>
    </row>
    <row r="2657" spans="4:19">
      <c r="D2657" s="104"/>
      <c r="E2657" s="104"/>
      <c r="F2657" s="104"/>
      <c r="G2657" s="104"/>
      <c r="H2657" s="104"/>
      <c r="I2657" s="104"/>
      <c r="J2657" s="104"/>
      <c r="K2657" s="104"/>
      <c r="L2657" s="104"/>
      <c r="M2657" s="104"/>
      <c r="N2657" s="104"/>
      <c r="O2657" s="104"/>
      <c r="P2657" s="104"/>
      <c r="Q2657" s="104"/>
      <c r="R2657" s="104"/>
      <c r="S2657" s="104"/>
    </row>
    <row r="2658" spans="4:19">
      <c r="D2658" s="104"/>
      <c r="E2658" s="104"/>
      <c r="F2658" s="104"/>
      <c r="G2658" s="104"/>
      <c r="H2658" s="104"/>
      <c r="I2658" s="104"/>
      <c r="J2658" s="104"/>
      <c r="K2658" s="104"/>
      <c r="L2658" s="104"/>
      <c r="M2658" s="104"/>
      <c r="N2658" s="104"/>
      <c r="O2658" s="104"/>
      <c r="P2658" s="104"/>
      <c r="Q2658" s="104"/>
      <c r="R2658" s="104"/>
      <c r="S2658" s="104"/>
    </row>
    <row r="2659" spans="4:19">
      <c r="D2659" s="104"/>
      <c r="E2659" s="104"/>
      <c r="F2659" s="104"/>
      <c r="G2659" s="104"/>
      <c r="H2659" s="104"/>
      <c r="I2659" s="104"/>
      <c r="J2659" s="104"/>
      <c r="K2659" s="104"/>
      <c r="L2659" s="104"/>
      <c r="M2659" s="104"/>
      <c r="N2659" s="104"/>
      <c r="O2659" s="104"/>
      <c r="P2659" s="104"/>
      <c r="Q2659" s="104"/>
      <c r="R2659" s="104"/>
      <c r="S2659" s="104"/>
    </row>
    <row r="2660" spans="4:19">
      <c r="D2660" s="104"/>
      <c r="E2660" s="104"/>
      <c r="F2660" s="104"/>
      <c r="G2660" s="104"/>
      <c r="H2660" s="104"/>
      <c r="I2660" s="104"/>
      <c r="J2660" s="104"/>
      <c r="K2660" s="104"/>
      <c r="L2660" s="104"/>
      <c r="M2660" s="104"/>
      <c r="N2660" s="104"/>
      <c r="O2660" s="104"/>
      <c r="P2660" s="104"/>
      <c r="Q2660" s="104"/>
      <c r="R2660" s="104"/>
      <c r="S2660" s="104"/>
    </row>
    <row r="2661" spans="4:19">
      <c r="D2661" s="104"/>
      <c r="E2661" s="104"/>
      <c r="F2661" s="104"/>
      <c r="G2661" s="104"/>
      <c r="H2661" s="104"/>
      <c r="I2661" s="104"/>
      <c r="J2661" s="104"/>
      <c r="K2661" s="104"/>
      <c r="L2661" s="104"/>
      <c r="M2661" s="104"/>
      <c r="N2661" s="104"/>
      <c r="O2661" s="104"/>
      <c r="P2661" s="104"/>
      <c r="Q2661" s="104"/>
      <c r="R2661" s="104"/>
      <c r="S2661" s="104"/>
    </row>
    <row r="2662" spans="4:19">
      <c r="D2662" s="104"/>
      <c r="E2662" s="104"/>
      <c r="F2662" s="104"/>
      <c r="G2662" s="104"/>
      <c r="H2662" s="104"/>
      <c r="I2662" s="104"/>
      <c r="J2662" s="104"/>
      <c r="K2662" s="104"/>
      <c r="L2662" s="104"/>
      <c r="M2662" s="104"/>
      <c r="N2662" s="104"/>
      <c r="O2662" s="104"/>
      <c r="P2662" s="104"/>
      <c r="Q2662" s="104"/>
      <c r="R2662" s="104"/>
      <c r="S2662" s="104"/>
    </row>
    <row r="2663" spans="4:19">
      <c r="D2663" s="104"/>
      <c r="E2663" s="104"/>
      <c r="F2663" s="104"/>
      <c r="G2663" s="104"/>
      <c r="H2663" s="104"/>
      <c r="I2663" s="104"/>
      <c r="J2663" s="104"/>
      <c r="K2663" s="104"/>
      <c r="L2663" s="104"/>
      <c r="M2663" s="104"/>
      <c r="N2663" s="104"/>
      <c r="O2663" s="104"/>
      <c r="P2663" s="104"/>
      <c r="Q2663" s="104"/>
      <c r="R2663" s="104"/>
      <c r="S2663" s="104"/>
    </row>
    <row r="2664" spans="4:19">
      <c r="D2664" s="104"/>
      <c r="E2664" s="104"/>
      <c r="F2664" s="104"/>
      <c r="G2664" s="104"/>
      <c r="H2664" s="104"/>
      <c r="I2664" s="104"/>
      <c r="J2664" s="104"/>
      <c r="K2664" s="104"/>
      <c r="L2664" s="104"/>
      <c r="M2664" s="104"/>
      <c r="N2664" s="104"/>
      <c r="O2664" s="104"/>
      <c r="P2664" s="104"/>
      <c r="Q2664" s="104"/>
      <c r="R2664" s="104"/>
      <c r="S2664" s="104"/>
    </row>
    <row r="2665" spans="4:19">
      <c r="D2665" s="104"/>
      <c r="E2665" s="104"/>
      <c r="F2665" s="104"/>
      <c r="G2665" s="104"/>
      <c r="H2665" s="104"/>
      <c r="I2665" s="104"/>
      <c r="J2665" s="104"/>
      <c r="K2665" s="104"/>
      <c r="L2665" s="104"/>
      <c r="M2665" s="104"/>
      <c r="N2665" s="104"/>
      <c r="O2665" s="104"/>
      <c r="P2665" s="104"/>
      <c r="Q2665" s="104"/>
      <c r="R2665" s="104"/>
      <c r="S2665" s="104"/>
    </row>
    <row r="2666" spans="4:19">
      <c r="D2666" s="104"/>
      <c r="E2666" s="104"/>
      <c r="F2666" s="104"/>
      <c r="G2666" s="104"/>
      <c r="H2666" s="104"/>
      <c r="I2666" s="104"/>
      <c r="J2666" s="104"/>
      <c r="K2666" s="104"/>
      <c r="L2666" s="104"/>
      <c r="M2666" s="104"/>
      <c r="N2666" s="104"/>
      <c r="O2666" s="104"/>
      <c r="P2666" s="104"/>
      <c r="Q2666" s="104"/>
      <c r="R2666" s="104"/>
      <c r="S2666" s="104"/>
    </row>
    <row r="2667" spans="4:19">
      <c r="D2667" s="104"/>
      <c r="E2667" s="104"/>
      <c r="F2667" s="104"/>
      <c r="G2667" s="104"/>
      <c r="H2667" s="104"/>
      <c r="I2667" s="104"/>
      <c r="J2667" s="104"/>
      <c r="K2667" s="104"/>
      <c r="L2667" s="104"/>
      <c r="M2667" s="104"/>
      <c r="N2667" s="104"/>
      <c r="O2667" s="104"/>
      <c r="P2667" s="104"/>
      <c r="Q2667" s="104"/>
      <c r="R2667" s="104"/>
      <c r="S2667" s="104"/>
    </row>
    <row r="2668" spans="4:19">
      <c r="D2668" s="104"/>
      <c r="E2668" s="104"/>
      <c r="F2668" s="104"/>
      <c r="G2668" s="104"/>
      <c r="H2668" s="104"/>
      <c r="I2668" s="104"/>
      <c r="J2668" s="104"/>
      <c r="K2668" s="104"/>
      <c r="L2668" s="104"/>
      <c r="M2668" s="104"/>
      <c r="N2668" s="104"/>
      <c r="O2668" s="104"/>
      <c r="P2668" s="104"/>
      <c r="Q2668" s="104"/>
      <c r="R2668" s="104"/>
      <c r="S2668" s="104"/>
    </row>
    <row r="2669" spans="4:19">
      <c r="D2669" s="104"/>
      <c r="E2669" s="104"/>
      <c r="F2669" s="104"/>
      <c r="G2669" s="104"/>
      <c r="H2669" s="104"/>
      <c r="I2669" s="104"/>
      <c r="J2669" s="104"/>
      <c r="K2669" s="104"/>
      <c r="L2669" s="104"/>
      <c r="M2669" s="104"/>
      <c r="N2669" s="104"/>
      <c r="O2669" s="104"/>
      <c r="P2669" s="104"/>
      <c r="Q2669" s="104"/>
      <c r="R2669" s="104"/>
      <c r="S2669" s="104"/>
    </row>
    <row r="2670" spans="4:19">
      <c r="D2670" s="104"/>
      <c r="E2670" s="104"/>
      <c r="F2670" s="104"/>
      <c r="G2670" s="104"/>
      <c r="H2670" s="104"/>
      <c r="I2670" s="104"/>
      <c r="J2670" s="104"/>
      <c r="K2670" s="104"/>
      <c r="L2670" s="104"/>
      <c r="M2670" s="104"/>
      <c r="N2670" s="104"/>
      <c r="O2670" s="104"/>
      <c r="P2670" s="104"/>
      <c r="Q2670" s="104"/>
      <c r="R2670" s="104"/>
      <c r="S2670" s="104"/>
    </row>
    <row r="2671" spans="4:19">
      <c r="D2671" s="104"/>
      <c r="E2671" s="104"/>
      <c r="F2671" s="104"/>
      <c r="G2671" s="104"/>
      <c r="H2671" s="104"/>
      <c r="I2671" s="104"/>
      <c r="J2671" s="104"/>
      <c r="K2671" s="104"/>
      <c r="L2671" s="104"/>
      <c r="M2671" s="104"/>
      <c r="N2671" s="104"/>
      <c r="O2671" s="104"/>
      <c r="P2671" s="104"/>
      <c r="Q2671" s="104"/>
      <c r="R2671" s="104"/>
      <c r="S2671" s="104"/>
    </row>
    <row r="2672" spans="4:19">
      <c r="D2672" s="104"/>
      <c r="E2672" s="104"/>
      <c r="F2672" s="104"/>
      <c r="G2672" s="104"/>
      <c r="H2672" s="104"/>
      <c r="I2672" s="104"/>
      <c r="J2672" s="104"/>
      <c r="K2672" s="104"/>
      <c r="L2672" s="104"/>
      <c r="M2672" s="104"/>
      <c r="N2672" s="104"/>
      <c r="O2672" s="104"/>
      <c r="P2672" s="104"/>
      <c r="Q2672" s="104"/>
      <c r="R2672" s="104"/>
      <c r="S2672" s="104"/>
    </row>
    <row r="2673" spans="4:19">
      <c r="D2673" s="104"/>
      <c r="E2673" s="104"/>
      <c r="F2673" s="104"/>
      <c r="G2673" s="104"/>
      <c r="H2673" s="104"/>
      <c r="I2673" s="104"/>
      <c r="J2673" s="104"/>
      <c r="K2673" s="104"/>
      <c r="L2673" s="104"/>
      <c r="M2673" s="104"/>
      <c r="N2673" s="104"/>
      <c r="O2673" s="104"/>
      <c r="P2673" s="104"/>
      <c r="Q2673" s="104"/>
      <c r="R2673" s="104"/>
      <c r="S2673" s="104"/>
    </row>
    <row r="2674" spans="4:19">
      <c r="D2674" s="104"/>
      <c r="E2674" s="104"/>
      <c r="F2674" s="104"/>
      <c r="G2674" s="104"/>
      <c r="H2674" s="104"/>
      <c r="I2674" s="104"/>
      <c r="J2674" s="104"/>
      <c r="K2674" s="104"/>
      <c r="L2674" s="104"/>
      <c r="M2674" s="104"/>
      <c r="N2674" s="104"/>
      <c r="O2674" s="104"/>
      <c r="P2674" s="104"/>
      <c r="Q2674" s="104"/>
      <c r="R2674" s="104"/>
      <c r="S2674" s="104"/>
    </row>
    <row r="2675" spans="4:19">
      <c r="D2675" s="104"/>
      <c r="E2675" s="104"/>
      <c r="F2675" s="104"/>
      <c r="G2675" s="104"/>
      <c r="H2675" s="104"/>
      <c r="I2675" s="104"/>
      <c r="J2675" s="104"/>
      <c r="K2675" s="104"/>
      <c r="L2675" s="104"/>
      <c r="M2675" s="104"/>
      <c r="N2675" s="104"/>
      <c r="O2675" s="104"/>
      <c r="P2675" s="104"/>
      <c r="Q2675" s="104"/>
      <c r="R2675" s="104"/>
      <c r="S2675" s="104"/>
    </row>
    <row r="2676" spans="4:19">
      <c r="D2676" s="104"/>
      <c r="E2676" s="104"/>
      <c r="F2676" s="104"/>
      <c r="G2676" s="104"/>
      <c r="H2676" s="104"/>
      <c r="I2676" s="104"/>
      <c r="J2676" s="104"/>
      <c r="K2676" s="104"/>
      <c r="L2676" s="104"/>
      <c r="M2676" s="104"/>
      <c r="N2676" s="104"/>
      <c r="O2676" s="104"/>
      <c r="P2676" s="104"/>
      <c r="Q2676" s="104"/>
      <c r="R2676" s="104"/>
      <c r="S2676" s="104"/>
    </row>
    <row r="2677" spans="4:19">
      <c r="D2677" s="104"/>
      <c r="E2677" s="104"/>
      <c r="F2677" s="104"/>
      <c r="G2677" s="104"/>
      <c r="H2677" s="104"/>
      <c r="I2677" s="104"/>
      <c r="J2677" s="104"/>
      <c r="K2677" s="104"/>
      <c r="L2677" s="104"/>
      <c r="M2677" s="104"/>
      <c r="N2677" s="104"/>
      <c r="O2677" s="104"/>
      <c r="P2677" s="104"/>
      <c r="Q2677" s="104"/>
      <c r="R2677" s="104"/>
      <c r="S2677" s="104"/>
    </row>
    <row r="2678" spans="4:19">
      <c r="D2678" s="104"/>
      <c r="E2678" s="104"/>
      <c r="F2678" s="104"/>
      <c r="G2678" s="104"/>
      <c r="H2678" s="104"/>
      <c r="I2678" s="104"/>
      <c r="J2678" s="104"/>
      <c r="K2678" s="104"/>
      <c r="L2678" s="104"/>
      <c r="M2678" s="104"/>
      <c r="N2678" s="104"/>
      <c r="O2678" s="104"/>
      <c r="P2678" s="104"/>
      <c r="Q2678" s="104"/>
      <c r="R2678" s="104"/>
      <c r="S2678" s="104"/>
    </row>
    <row r="2679" spans="4:19">
      <c r="D2679" s="104"/>
      <c r="E2679" s="104"/>
      <c r="F2679" s="104"/>
      <c r="G2679" s="104"/>
      <c r="H2679" s="104"/>
      <c r="I2679" s="104"/>
      <c r="J2679" s="104"/>
      <c r="K2679" s="104"/>
      <c r="L2679" s="104"/>
      <c r="M2679" s="104"/>
      <c r="N2679" s="104"/>
      <c r="O2679" s="104"/>
      <c r="P2679" s="104"/>
      <c r="Q2679" s="104"/>
      <c r="R2679" s="104"/>
      <c r="S2679" s="104"/>
    </row>
    <row r="2680" spans="4:19">
      <c r="D2680" s="104"/>
      <c r="E2680" s="104"/>
      <c r="F2680" s="104"/>
      <c r="G2680" s="104"/>
      <c r="H2680" s="104"/>
      <c r="I2680" s="104"/>
      <c r="J2680" s="104"/>
      <c r="K2680" s="104"/>
      <c r="L2680" s="104"/>
      <c r="M2680" s="104"/>
      <c r="N2680" s="104"/>
      <c r="O2680" s="104"/>
      <c r="P2680" s="104"/>
      <c r="Q2680" s="104"/>
      <c r="R2680" s="104"/>
      <c r="S2680" s="104"/>
    </row>
    <row r="2681" spans="4:19">
      <c r="D2681" s="104"/>
      <c r="E2681" s="104"/>
      <c r="F2681" s="104"/>
      <c r="G2681" s="104"/>
      <c r="H2681" s="104"/>
      <c r="I2681" s="104"/>
      <c r="J2681" s="104"/>
      <c r="K2681" s="104"/>
      <c r="L2681" s="104"/>
      <c r="M2681" s="104"/>
      <c r="N2681" s="104"/>
      <c r="O2681" s="104"/>
      <c r="P2681" s="104"/>
      <c r="Q2681" s="104"/>
      <c r="R2681" s="104"/>
      <c r="S2681" s="104"/>
    </row>
    <row r="2682" spans="4:19">
      <c r="D2682" s="104"/>
      <c r="E2682" s="104"/>
      <c r="F2682" s="104"/>
      <c r="G2682" s="104"/>
      <c r="H2682" s="104"/>
      <c r="I2682" s="104"/>
      <c r="J2682" s="104"/>
      <c r="K2682" s="104"/>
      <c r="L2682" s="104"/>
      <c r="M2682" s="104"/>
      <c r="N2682" s="104"/>
      <c r="O2682" s="104"/>
      <c r="P2682" s="104"/>
      <c r="Q2682" s="104"/>
      <c r="R2682" s="104"/>
      <c r="S2682" s="104"/>
    </row>
    <row r="2683" spans="4:19">
      <c r="D2683" s="104"/>
      <c r="E2683" s="104"/>
      <c r="F2683" s="104"/>
      <c r="G2683" s="104"/>
      <c r="H2683" s="104"/>
      <c r="I2683" s="104"/>
      <c r="J2683" s="104"/>
      <c r="K2683" s="104"/>
      <c r="L2683" s="104"/>
      <c r="M2683" s="104"/>
      <c r="N2683" s="104"/>
      <c r="O2683" s="104"/>
      <c r="P2683" s="104"/>
      <c r="Q2683" s="104"/>
      <c r="R2683" s="104"/>
      <c r="S2683" s="104"/>
    </row>
    <row r="2684" spans="4:19">
      <c r="D2684" s="104"/>
      <c r="E2684" s="104"/>
      <c r="F2684" s="104"/>
      <c r="G2684" s="104"/>
      <c r="H2684" s="104"/>
      <c r="I2684" s="104"/>
      <c r="J2684" s="104"/>
      <c r="K2684" s="104"/>
      <c r="L2684" s="104"/>
      <c r="M2684" s="104"/>
      <c r="N2684" s="104"/>
      <c r="O2684" s="104"/>
      <c r="P2684" s="104"/>
      <c r="Q2684" s="104"/>
      <c r="R2684" s="104"/>
      <c r="S2684" s="104"/>
    </row>
    <row r="2685" spans="4:19">
      <c r="D2685" s="104"/>
      <c r="E2685" s="104"/>
      <c r="F2685" s="104"/>
      <c r="G2685" s="104"/>
      <c r="H2685" s="104"/>
      <c r="I2685" s="104"/>
      <c r="J2685" s="104"/>
      <c r="K2685" s="104"/>
      <c r="L2685" s="104"/>
      <c r="M2685" s="104"/>
      <c r="N2685" s="104"/>
      <c r="O2685" s="104"/>
      <c r="P2685" s="104"/>
      <c r="Q2685" s="104"/>
      <c r="R2685" s="104"/>
      <c r="S2685" s="104"/>
    </row>
    <row r="2686" spans="4:19">
      <c r="D2686" s="104"/>
      <c r="E2686" s="104"/>
      <c r="F2686" s="104"/>
      <c r="G2686" s="104"/>
      <c r="H2686" s="104"/>
      <c r="I2686" s="104"/>
      <c r="J2686" s="104"/>
      <c r="K2686" s="104"/>
      <c r="L2686" s="104"/>
      <c r="M2686" s="104"/>
      <c r="N2686" s="104"/>
      <c r="O2686" s="104"/>
      <c r="P2686" s="104"/>
      <c r="Q2686" s="104"/>
      <c r="R2686" s="104"/>
      <c r="S2686" s="104"/>
    </row>
    <row r="2687" spans="4:19">
      <c r="D2687" s="104"/>
      <c r="E2687" s="104"/>
      <c r="F2687" s="104"/>
      <c r="G2687" s="104"/>
      <c r="H2687" s="104"/>
      <c r="I2687" s="104"/>
      <c r="J2687" s="104"/>
      <c r="K2687" s="104"/>
      <c r="L2687" s="104"/>
      <c r="M2687" s="104"/>
      <c r="N2687" s="104"/>
      <c r="O2687" s="104"/>
      <c r="P2687" s="104"/>
      <c r="Q2687" s="104"/>
      <c r="R2687" s="104"/>
      <c r="S2687" s="104"/>
    </row>
    <row r="2688" spans="4:19">
      <c r="D2688" s="104"/>
      <c r="E2688" s="104"/>
      <c r="F2688" s="104"/>
      <c r="G2688" s="104"/>
      <c r="H2688" s="104"/>
      <c r="I2688" s="104"/>
      <c r="J2688" s="104"/>
      <c r="K2688" s="104"/>
      <c r="L2688" s="104"/>
      <c r="M2688" s="104"/>
      <c r="N2688" s="104"/>
      <c r="O2688" s="104"/>
      <c r="P2688" s="104"/>
      <c r="Q2688" s="104"/>
      <c r="R2688" s="104"/>
      <c r="S2688" s="104"/>
    </row>
    <row r="2689" spans="4:19">
      <c r="D2689" s="104"/>
      <c r="E2689" s="104"/>
      <c r="F2689" s="104"/>
      <c r="G2689" s="104"/>
      <c r="H2689" s="104"/>
      <c r="I2689" s="104"/>
      <c r="J2689" s="104"/>
      <c r="K2689" s="104"/>
      <c r="L2689" s="104"/>
      <c r="M2689" s="104"/>
      <c r="N2689" s="104"/>
      <c r="O2689" s="104"/>
      <c r="P2689" s="104"/>
      <c r="Q2689" s="104"/>
      <c r="R2689" s="104"/>
      <c r="S2689" s="104"/>
    </row>
    <row r="2690" spans="4:19">
      <c r="D2690" s="104"/>
      <c r="E2690" s="104"/>
      <c r="F2690" s="104"/>
      <c r="G2690" s="104"/>
      <c r="H2690" s="104"/>
      <c r="I2690" s="104"/>
      <c r="J2690" s="104"/>
      <c r="K2690" s="104"/>
      <c r="L2690" s="104"/>
      <c r="M2690" s="104"/>
      <c r="N2690" s="104"/>
      <c r="O2690" s="104"/>
      <c r="P2690" s="104"/>
      <c r="Q2690" s="104"/>
      <c r="R2690" s="104"/>
      <c r="S2690" s="104"/>
    </row>
    <row r="2691" spans="4:19">
      <c r="D2691" s="104"/>
      <c r="E2691" s="104"/>
      <c r="F2691" s="104"/>
      <c r="G2691" s="104"/>
      <c r="H2691" s="104"/>
      <c r="I2691" s="104"/>
      <c r="J2691" s="104"/>
      <c r="K2691" s="104"/>
      <c r="L2691" s="104"/>
      <c r="M2691" s="104"/>
      <c r="N2691" s="104"/>
      <c r="O2691" s="104"/>
      <c r="P2691" s="104"/>
      <c r="Q2691" s="104"/>
      <c r="R2691" s="104"/>
      <c r="S2691" s="104"/>
    </row>
    <row r="2692" spans="4:19">
      <c r="D2692" s="104"/>
      <c r="E2692" s="104"/>
      <c r="F2692" s="104"/>
      <c r="G2692" s="104"/>
      <c r="H2692" s="104"/>
      <c r="I2692" s="104"/>
      <c r="J2692" s="104"/>
      <c r="K2692" s="104"/>
      <c r="L2692" s="104"/>
      <c r="M2692" s="104"/>
      <c r="N2692" s="104"/>
      <c r="O2692" s="104"/>
      <c r="P2692" s="104"/>
      <c r="Q2692" s="104"/>
      <c r="R2692" s="104"/>
      <c r="S2692" s="104"/>
    </row>
    <row r="2693" spans="4:19">
      <c r="D2693" s="104"/>
      <c r="E2693" s="104"/>
      <c r="F2693" s="104"/>
      <c r="G2693" s="104"/>
      <c r="H2693" s="104"/>
      <c r="I2693" s="104"/>
      <c r="J2693" s="104"/>
      <c r="K2693" s="104"/>
      <c r="L2693" s="104"/>
      <c r="M2693" s="104"/>
      <c r="N2693" s="104"/>
      <c r="O2693" s="104"/>
      <c r="P2693" s="104"/>
      <c r="Q2693" s="104"/>
      <c r="R2693" s="104"/>
      <c r="S2693" s="104"/>
    </row>
    <row r="2694" spans="4:19">
      <c r="D2694" s="104"/>
      <c r="E2694" s="104"/>
      <c r="F2694" s="104"/>
      <c r="G2694" s="104"/>
      <c r="H2694" s="104"/>
      <c r="I2694" s="104"/>
      <c r="J2694" s="104"/>
      <c r="K2694" s="104"/>
      <c r="L2694" s="104"/>
      <c r="M2694" s="104"/>
      <c r="N2694" s="104"/>
      <c r="O2694" s="104"/>
      <c r="P2694" s="104"/>
      <c r="Q2694" s="104"/>
      <c r="R2694" s="104"/>
      <c r="S2694" s="104"/>
    </row>
    <row r="2695" spans="4:19">
      <c r="D2695" s="104"/>
      <c r="E2695" s="104"/>
      <c r="F2695" s="104"/>
      <c r="G2695" s="104"/>
      <c r="H2695" s="104"/>
      <c r="I2695" s="104"/>
      <c r="J2695" s="104"/>
      <c r="K2695" s="104"/>
      <c r="L2695" s="104"/>
      <c r="M2695" s="104"/>
      <c r="N2695" s="104"/>
      <c r="O2695" s="104"/>
      <c r="P2695" s="104"/>
      <c r="Q2695" s="104"/>
      <c r="R2695" s="104"/>
      <c r="S2695" s="104"/>
    </row>
    <row r="2696" spans="4:19">
      <c r="D2696" s="104"/>
      <c r="E2696" s="104"/>
      <c r="F2696" s="104"/>
      <c r="G2696" s="104"/>
      <c r="H2696" s="104"/>
      <c r="I2696" s="104"/>
      <c r="J2696" s="104"/>
      <c r="K2696" s="104"/>
      <c r="L2696" s="104"/>
      <c r="M2696" s="104"/>
      <c r="N2696" s="104"/>
      <c r="O2696" s="104"/>
      <c r="P2696" s="104"/>
      <c r="Q2696" s="104"/>
      <c r="R2696" s="104"/>
      <c r="S2696" s="104"/>
    </row>
    <row r="2697" spans="4:19">
      <c r="D2697" s="104"/>
      <c r="E2697" s="104"/>
      <c r="F2697" s="104"/>
      <c r="G2697" s="104"/>
      <c r="H2697" s="104"/>
      <c r="I2697" s="104"/>
      <c r="J2697" s="104"/>
      <c r="K2697" s="104"/>
      <c r="L2697" s="104"/>
      <c r="M2697" s="104"/>
      <c r="N2697" s="104"/>
      <c r="O2697" s="104"/>
      <c r="P2697" s="104"/>
      <c r="Q2697" s="104"/>
      <c r="R2697" s="104"/>
      <c r="S2697" s="104"/>
    </row>
    <row r="2698" spans="4:19">
      <c r="D2698" s="104"/>
      <c r="E2698" s="104"/>
      <c r="F2698" s="104"/>
      <c r="G2698" s="104"/>
      <c r="H2698" s="104"/>
      <c r="I2698" s="104"/>
      <c r="J2698" s="104"/>
      <c r="K2698" s="104"/>
      <c r="L2698" s="104"/>
      <c r="M2698" s="104"/>
      <c r="N2698" s="104"/>
      <c r="O2698" s="104"/>
      <c r="P2698" s="104"/>
      <c r="Q2698" s="104"/>
      <c r="R2698" s="104"/>
      <c r="S2698" s="104"/>
    </row>
    <row r="2699" spans="4:19">
      <c r="D2699" s="104"/>
      <c r="E2699" s="104"/>
      <c r="F2699" s="104"/>
      <c r="G2699" s="104"/>
      <c r="H2699" s="104"/>
      <c r="I2699" s="104"/>
      <c r="J2699" s="104"/>
      <c r="K2699" s="104"/>
      <c r="L2699" s="104"/>
      <c r="M2699" s="104"/>
      <c r="N2699" s="104"/>
      <c r="O2699" s="104"/>
      <c r="P2699" s="104"/>
      <c r="Q2699" s="104"/>
      <c r="R2699" s="104"/>
      <c r="S2699" s="104"/>
    </row>
    <row r="2700" spans="4:19">
      <c r="D2700" s="104"/>
      <c r="E2700" s="104"/>
      <c r="F2700" s="104"/>
      <c r="G2700" s="104"/>
      <c r="H2700" s="104"/>
      <c r="I2700" s="104"/>
      <c r="J2700" s="104"/>
      <c r="K2700" s="104"/>
      <c r="L2700" s="104"/>
      <c r="M2700" s="104"/>
      <c r="N2700" s="104"/>
      <c r="O2700" s="104"/>
      <c r="P2700" s="104"/>
      <c r="Q2700" s="104"/>
      <c r="R2700" s="104"/>
      <c r="S2700" s="104"/>
    </row>
    <row r="2701" spans="4:19">
      <c r="D2701" s="104"/>
      <c r="E2701" s="104"/>
      <c r="F2701" s="104"/>
      <c r="G2701" s="104"/>
      <c r="H2701" s="104"/>
      <c r="I2701" s="104"/>
      <c r="J2701" s="104"/>
      <c r="K2701" s="104"/>
      <c r="L2701" s="104"/>
      <c r="M2701" s="104"/>
      <c r="N2701" s="104"/>
      <c r="O2701" s="104"/>
      <c r="P2701" s="104"/>
      <c r="Q2701" s="104"/>
      <c r="R2701" s="104"/>
      <c r="S2701" s="104"/>
    </row>
    <row r="2702" spans="4:19">
      <c r="D2702" s="104"/>
      <c r="E2702" s="104"/>
      <c r="F2702" s="104"/>
      <c r="G2702" s="104"/>
      <c r="H2702" s="104"/>
      <c r="I2702" s="104"/>
      <c r="J2702" s="104"/>
      <c r="K2702" s="104"/>
      <c r="L2702" s="104"/>
      <c r="M2702" s="104"/>
      <c r="N2702" s="104"/>
      <c r="O2702" s="104"/>
      <c r="P2702" s="104"/>
      <c r="Q2702" s="104"/>
      <c r="R2702" s="104"/>
      <c r="S2702" s="104"/>
    </row>
    <row r="2703" spans="4:19">
      <c r="D2703" s="104"/>
      <c r="E2703" s="104"/>
      <c r="F2703" s="104"/>
      <c r="G2703" s="104"/>
      <c r="H2703" s="104"/>
      <c r="I2703" s="104"/>
      <c r="J2703" s="104"/>
      <c r="K2703" s="104"/>
      <c r="L2703" s="104"/>
      <c r="M2703" s="104"/>
      <c r="N2703" s="104"/>
      <c r="O2703" s="104"/>
      <c r="P2703" s="104"/>
      <c r="Q2703" s="104"/>
      <c r="R2703" s="104"/>
      <c r="S2703" s="104"/>
    </row>
    <row r="2704" spans="4:19">
      <c r="D2704" s="104"/>
      <c r="E2704" s="104"/>
      <c r="F2704" s="104"/>
      <c r="G2704" s="104"/>
      <c r="H2704" s="104"/>
      <c r="I2704" s="104"/>
      <c r="J2704" s="104"/>
      <c r="K2704" s="104"/>
      <c r="L2704" s="104"/>
      <c r="M2704" s="104"/>
      <c r="N2704" s="104"/>
      <c r="O2704" s="104"/>
      <c r="P2704" s="104"/>
      <c r="Q2704" s="104"/>
      <c r="R2704" s="104"/>
      <c r="S2704" s="104"/>
    </row>
    <row r="2705" spans="4:19">
      <c r="D2705" s="104"/>
      <c r="E2705" s="104"/>
      <c r="F2705" s="104"/>
      <c r="G2705" s="104"/>
      <c r="H2705" s="104"/>
      <c r="I2705" s="104"/>
      <c r="J2705" s="104"/>
      <c r="K2705" s="104"/>
      <c r="L2705" s="104"/>
      <c r="M2705" s="104"/>
      <c r="N2705" s="104"/>
      <c r="O2705" s="104"/>
      <c r="P2705" s="104"/>
      <c r="Q2705" s="104"/>
      <c r="R2705" s="104"/>
      <c r="S2705" s="104"/>
    </row>
    <row r="2706" spans="4:19">
      <c r="D2706" s="104"/>
      <c r="E2706" s="104"/>
      <c r="F2706" s="104"/>
      <c r="G2706" s="104"/>
      <c r="H2706" s="104"/>
      <c r="I2706" s="104"/>
      <c r="J2706" s="104"/>
      <c r="K2706" s="104"/>
      <c r="L2706" s="104"/>
      <c r="M2706" s="104"/>
      <c r="N2706" s="104"/>
      <c r="O2706" s="104"/>
      <c r="P2706" s="104"/>
      <c r="Q2706" s="104"/>
      <c r="R2706" s="104"/>
      <c r="S2706" s="104"/>
    </row>
    <row r="2707" spans="4:19">
      <c r="D2707" s="104"/>
      <c r="E2707" s="104"/>
      <c r="F2707" s="104"/>
      <c r="G2707" s="104"/>
      <c r="H2707" s="104"/>
      <c r="I2707" s="104"/>
      <c r="J2707" s="104"/>
      <c r="K2707" s="104"/>
      <c r="L2707" s="104"/>
      <c r="M2707" s="104"/>
      <c r="N2707" s="104"/>
      <c r="O2707" s="104"/>
      <c r="P2707" s="104"/>
      <c r="Q2707" s="104"/>
      <c r="R2707" s="104"/>
      <c r="S2707" s="104"/>
    </row>
    <row r="2708" spans="4:19">
      <c r="D2708" s="104"/>
      <c r="E2708" s="104"/>
      <c r="F2708" s="104"/>
      <c r="G2708" s="104"/>
      <c r="H2708" s="104"/>
      <c r="I2708" s="104"/>
      <c r="J2708" s="104"/>
      <c r="K2708" s="104"/>
      <c r="L2708" s="104"/>
      <c r="M2708" s="104"/>
      <c r="N2708" s="104"/>
      <c r="O2708" s="104"/>
      <c r="P2708" s="104"/>
      <c r="Q2708" s="104"/>
      <c r="R2708" s="104"/>
      <c r="S2708" s="104"/>
    </row>
    <row r="2709" spans="4:19">
      <c r="D2709" s="104"/>
      <c r="E2709" s="104"/>
      <c r="F2709" s="104"/>
      <c r="G2709" s="104"/>
      <c r="H2709" s="104"/>
      <c r="I2709" s="104"/>
      <c r="J2709" s="104"/>
      <c r="K2709" s="104"/>
      <c r="L2709" s="104"/>
      <c r="M2709" s="104"/>
      <c r="N2709" s="104"/>
      <c r="O2709" s="104"/>
      <c r="P2709" s="104"/>
      <c r="Q2709" s="104"/>
      <c r="R2709" s="104"/>
      <c r="S2709" s="104"/>
    </row>
    <row r="2710" spans="4:19">
      <c r="D2710" s="104"/>
      <c r="E2710" s="104"/>
      <c r="F2710" s="104"/>
      <c r="G2710" s="104"/>
      <c r="H2710" s="104"/>
      <c r="I2710" s="104"/>
      <c r="J2710" s="104"/>
      <c r="K2710" s="104"/>
      <c r="L2710" s="104"/>
      <c r="M2710" s="104"/>
      <c r="N2710" s="104"/>
      <c r="O2710" s="104"/>
      <c r="P2710" s="104"/>
      <c r="Q2710" s="104"/>
      <c r="R2710" s="104"/>
      <c r="S2710" s="104"/>
    </row>
    <row r="2711" spans="4:19">
      <c r="D2711" s="104"/>
      <c r="E2711" s="104"/>
      <c r="F2711" s="104"/>
      <c r="G2711" s="104"/>
      <c r="H2711" s="104"/>
      <c r="I2711" s="104"/>
      <c r="J2711" s="104"/>
      <c r="K2711" s="104"/>
      <c r="L2711" s="104"/>
      <c r="M2711" s="104"/>
      <c r="N2711" s="104"/>
      <c r="O2711" s="104"/>
      <c r="P2711" s="104"/>
      <c r="Q2711" s="104"/>
      <c r="R2711" s="104"/>
      <c r="S2711" s="104"/>
    </row>
    <row r="2712" spans="4:19">
      <c r="D2712" s="104"/>
      <c r="E2712" s="104"/>
      <c r="F2712" s="104"/>
      <c r="G2712" s="104"/>
      <c r="H2712" s="104"/>
      <c r="I2712" s="104"/>
      <c r="J2712" s="104"/>
      <c r="K2712" s="104"/>
      <c r="L2712" s="104"/>
      <c r="M2712" s="104"/>
      <c r="N2712" s="104"/>
      <c r="O2712" s="104"/>
      <c r="P2712" s="104"/>
      <c r="Q2712" s="104"/>
      <c r="R2712" s="104"/>
      <c r="S2712" s="104"/>
    </row>
    <row r="2713" spans="4:19">
      <c r="D2713" s="104"/>
      <c r="E2713" s="104"/>
      <c r="F2713" s="104"/>
      <c r="G2713" s="104"/>
      <c r="H2713" s="104"/>
      <c r="I2713" s="104"/>
      <c r="J2713" s="104"/>
      <c r="K2713" s="104"/>
      <c r="L2713" s="104"/>
      <c r="M2713" s="104"/>
      <c r="N2713" s="104"/>
      <c r="O2713" s="104"/>
      <c r="P2713" s="104"/>
      <c r="Q2713" s="104"/>
      <c r="R2713" s="104"/>
      <c r="S2713" s="104"/>
    </row>
    <row r="2714" spans="4:19">
      <c r="D2714" s="104"/>
      <c r="E2714" s="104"/>
      <c r="F2714" s="104"/>
      <c r="G2714" s="104"/>
      <c r="H2714" s="104"/>
      <c r="I2714" s="104"/>
      <c r="J2714" s="104"/>
      <c r="K2714" s="104"/>
      <c r="L2714" s="104"/>
      <c r="M2714" s="104"/>
      <c r="N2714" s="104"/>
      <c r="O2714" s="104"/>
      <c r="P2714" s="104"/>
      <c r="Q2714" s="104"/>
      <c r="R2714" s="104"/>
      <c r="S2714" s="104"/>
    </row>
    <row r="2715" spans="4:19">
      <c r="D2715" s="104"/>
      <c r="E2715" s="104"/>
      <c r="F2715" s="104"/>
      <c r="G2715" s="104"/>
      <c r="H2715" s="104"/>
      <c r="I2715" s="104"/>
      <c r="J2715" s="104"/>
      <c r="K2715" s="104"/>
      <c r="L2715" s="104"/>
      <c r="M2715" s="104"/>
      <c r="N2715" s="104"/>
      <c r="O2715" s="104"/>
      <c r="P2715" s="104"/>
      <c r="Q2715" s="104"/>
      <c r="R2715" s="104"/>
      <c r="S2715" s="104"/>
    </row>
    <row r="2716" spans="4:19">
      <c r="D2716" s="104"/>
      <c r="E2716" s="104"/>
      <c r="F2716" s="104"/>
      <c r="G2716" s="104"/>
      <c r="H2716" s="104"/>
      <c r="I2716" s="104"/>
      <c r="J2716" s="104"/>
      <c r="K2716" s="104"/>
      <c r="L2716" s="104"/>
      <c r="M2716" s="104"/>
      <c r="N2716" s="104"/>
      <c r="O2716" s="104"/>
      <c r="P2716" s="104"/>
      <c r="Q2716" s="104"/>
      <c r="R2716" s="104"/>
      <c r="S2716" s="104"/>
    </row>
    <row r="2717" spans="4:19">
      <c r="D2717" s="104"/>
      <c r="E2717" s="104"/>
      <c r="F2717" s="104"/>
      <c r="G2717" s="104"/>
      <c r="H2717" s="104"/>
      <c r="I2717" s="104"/>
      <c r="J2717" s="104"/>
      <c r="K2717" s="104"/>
      <c r="L2717" s="104"/>
      <c r="M2717" s="104"/>
      <c r="N2717" s="104"/>
      <c r="O2717" s="104"/>
      <c r="P2717" s="104"/>
      <c r="Q2717" s="104"/>
      <c r="R2717" s="104"/>
      <c r="S2717" s="104"/>
    </row>
    <row r="2718" spans="4:19">
      <c r="D2718" s="104"/>
      <c r="E2718" s="104"/>
      <c r="F2718" s="104"/>
      <c r="G2718" s="104"/>
      <c r="H2718" s="104"/>
      <c r="I2718" s="104"/>
      <c r="J2718" s="104"/>
      <c r="K2718" s="104"/>
      <c r="L2718" s="104"/>
      <c r="M2718" s="104"/>
      <c r="N2718" s="104"/>
      <c r="O2718" s="104"/>
      <c r="P2718" s="104"/>
      <c r="Q2718" s="104"/>
      <c r="R2718" s="104"/>
      <c r="S2718" s="104"/>
    </row>
    <row r="2719" spans="4:19">
      <c r="D2719" s="104"/>
      <c r="E2719" s="104"/>
      <c r="F2719" s="104"/>
      <c r="G2719" s="104"/>
      <c r="H2719" s="104"/>
      <c r="I2719" s="104"/>
      <c r="J2719" s="104"/>
      <c r="K2719" s="104"/>
      <c r="L2719" s="104"/>
      <c r="M2719" s="104"/>
      <c r="N2719" s="104"/>
      <c r="O2719" s="104"/>
      <c r="P2719" s="104"/>
      <c r="Q2719" s="104"/>
      <c r="R2719" s="104"/>
      <c r="S2719" s="104"/>
    </row>
    <row r="2720" spans="4:19">
      <c r="D2720" s="104"/>
      <c r="E2720" s="104"/>
      <c r="F2720" s="104"/>
      <c r="G2720" s="104"/>
      <c r="H2720" s="104"/>
      <c r="I2720" s="104"/>
      <c r="J2720" s="104"/>
      <c r="K2720" s="104"/>
      <c r="L2720" s="104"/>
      <c r="M2720" s="104"/>
      <c r="N2720" s="104"/>
      <c r="O2720" s="104"/>
      <c r="P2720" s="104"/>
      <c r="Q2720" s="104"/>
      <c r="R2720" s="104"/>
      <c r="S2720" s="104"/>
    </row>
    <row r="2721" spans="4:19">
      <c r="D2721" s="104"/>
      <c r="E2721" s="104"/>
      <c r="F2721" s="104"/>
      <c r="G2721" s="104"/>
      <c r="H2721" s="104"/>
      <c r="I2721" s="104"/>
      <c r="J2721" s="104"/>
      <c r="K2721" s="104"/>
      <c r="L2721" s="104"/>
      <c r="M2721" s="104"/>
      <c r="N2721" s="104"/>
      <c r="O2721" s="104"/>
      <c r="P2721" s="104"/>
      <c r="Q2721" s="104"/>
      <c r="R2721" s="104"/>
      <c r="S2721" s="104"/>
    </row>
    <row r="2722" spans="4:19">
      <c r="D2722" s="104"/>
      <c r="E2722" s="104"/>
      <c r="F2722" s="104"/>
      <c r="G2722" s="104"/>
      <c r="H2722" s="104"/>
      <c r="I2722" s="104"/>
      <c r="J2722" s="104"/>
      <c r="K2722" s="104"/>
      <c r="L2722" s="104"/>
      <c r="M2722" s="104"/>
      <c r="N2722" s="104"/>
      <c r="O2722" s="104"/>
      <c r="P2722" s="104"/>
      <c r="Q2722" s="104"/>
      <c r="R2722" s="104"/>
      <c r="S2722" s="104"/>
    </row>
    <row r="2723" spans="4:19">
      <c r="D2723" s="104"/>
      <c r="E2723" s="104"/>
      <c r="F2723" s="104"/>
      <c r="G2723" s="104"/>
      <c r="H2723" s="104"/>
      <c r="I2723" s="104"/>
      <c r="J2723" s="104"/>
      <c r="K2723" s="104"/>
      <c r="L2723" s="104"/>
      <c r="M2723" s="104"/>
      <c r="N2723" s="104"/>
      <c r="O2723" s="104"/>
      <c r="P2723" s="104"/>
      <c r="Q2723" s="104"/>
      <c r="R2723" s="104"/>
      <c r="S2723" s="104"/>
    </row>
    <row r="2724" spans="4:19">
      <c r="D2724" s="104"/>
      <c r="E2724" s="104"/>
      <c r="F2724" s="104"/>
      <c r="G2724" s="104"/>
      <c r="H2724" s="104"/>
      <c r="I2724" s="104"/>
      <c r="J2724" s="104"/>
      <c r="K2724" s="104"/>
      <c r="L2724" s="104"/>
      <c r="M2724" s="104"/>
      <c r="N2724" s="104"/>
      <c r="O2724" s="104"/>
      <c r="P2724" s="104"/>
      <c r="Q2724" s="104"/>
      <c r="R2724" s="104"/>
      <c r="S2724" s="104"/>
    </row>
    <row r="2725" spans="4:19">
      <c r="D2725" s="104"/>
      <c r="E2725" s="104"/>
      <c r="F2725" s="104"/>
      <c r="G2725" s="104"/>
      <c r="H2725" s="104"/>
      <c r="I2725" s="104"/>
      <c r="J2725" s="104"/>
      <c r="K2725" s="104"/>
      <c r="L2725" s="104"/>
      <c r="M2725" s="104"/>
      <c r="N2725" s="104"/>
      <c r="O2725" s="104"/>
      <c r="P2725" s="104"/>
      <c r="Q2725" s="104"/>
      <c r="R2725" s="104"/>
      <c r="S2725" s="104"/>
    </row>
    <row r="2726" spans="4:19">
      <c r="D2726" s="104"/>
      <c r="E2726" s="104"/>
      <c r="F2726" s="104"/>
      <c r="G2726" s="104"/>
      <c r="H2726" s="104"/>
      <c r="I2726" s="104"/>
      <c r="J2726" s="104"/>
      <c r="K2726" s="104"/>
      <c r="L2726" s="104"/>
      <c r="M2726" s="104"/>
      <c r="N2726" s="104"/>
      <c r="O2726" s="104"/>
      <c r="P2726" s="104"/>
      <c r="Q2726" s="104"/>
      <c r="R2726" s="104"/>
      <c r="S2726" s="104"/>
    </row>
    <row r="2727" spans="4:19">
      <c r="D2727" s="104"/>
      <c r="E2727" s="104"/>
      <c r="F2727" s="104"/>
      <c r="G2727" s="104"/>
      <c r="H2727" s="104"/>
      <c r="I2727" s="104"/>
      <c r="J2727" s="104"/>
      <c r="K2727" s="104"/>
      <c r="L2727" s="104"/>
      <c r="M2727" s="104"/>
      <c r="N2727" s="104"/>
      <c r="O2727" s="104"/>
      <c r="P2727" s="104"/>
      <c r="Q2727" s="104"/>
      <c r="R2727" s="104"/>
      <c r="S2727" s="104"/>
    </row>
    <row r="2728" spans="4:19">
      <c r="D2728" s="104"/>
      <c r="E2728" s="104"/>
      <c r="F2728" s="104"/>
      <c r="G2728" s="104"/>
      <c r="H2728" s="104"/>
      <c r="I2728" s="104"/>
      <c r="J2728" s="104"/>
      <c r="K2728" s="104"/>
      <c r="L2728" s="104"/>
      <c r="M2728" s="104"/>
      <c r="N2728" s="104"/>
      <c r="O2728" s="104"/>
      <c r="P2728" s="104"/>
      <c r="Q2728" s="104"/>
      <c r="R2728" s="104"/>
      <c r="S2728" s="104"/>
    </row>
    <row r="2729" spans="4:19">
      <c r="D2729" s="104"/>
      <c r="E2729" s="104"/>
      <c r="F2729" s="104"/>
      <c r="G2729" s="104"/>
      <c r="H2729" s="104"/>
      <c r="I2729" s="104"/>
      <c r="J2729" s="104"/>
      <c r="K2729" s="104"/>
      <c r="L2729" s="104"/>
      <c r="M2729" s="104"/>
      <c r="N2729" s="104"/>
      <c r="O2729" s="104"/>
      <c r="P2729" s="104"/>
      <c r="Q2729" s="104"/>
      <c r="R2729" s="104"/>
      <c r="S2729" s="104"/>
    </row>
    <row r="2730" spans="4:19">
      <c r="D2730" s="104"/>
      <c r="E2730" s="104"/>
      <c r="F2730" s="104"/>
      <c r="G2730" s="104"/>
      <c r="H2730" s="104"/>
      <c r="I2730" s="104"/>
      <c r="J2730" s="104"/>
      <c r="K2730" s="104"/>
      <c r="L2730" s="104"/>
      <c r="M2730" s="104"/>
      <c r="N2730" s="104"/>
      <c r="O2730" s="104"/>
      <c r="P2730" s="104"/>
      <c r="Q2730" s="104"/>
      <c r="R2730" s="104"/>
      <c r="S2730" s="104"/>
    </row>
    <row r="2731" spans="4:19">
      <c r="D2731" s="104"/>
      <c r="E2731" s="104"/>
      <c r="F2731" s="104"/>
      <c r="G2731" s="104"/>
      <c r="H2731" s="104"/>
      <c r="I2731" s="104"/>
      <c r="J2731" s="104"/>
      <c r="K2731" s="104"/>
      <c r="L2731" s="104"/>
      <c r="M2731" s="104"/>
      <c r="N2731" s="104"/>
      <c r="O2731" s="104"/>
      <c r="P2731" s="104"/>
      <c r="Q2731" s="104"/>
      <c r="R2731" s="104"/>
      <c r="S2731" s="104"/>
    </row>
    <row r="2732" spans="4:19">
      <c r="D2732" s="104"/>
      <c r="E2732" s="104"/>
      <c r="F2732" s="104"/>
      <c r="G2732" s="104"/>
      <c r="H2732" s="104"/>
      <c r="I2732" s="104"/>
      <c r="J2732" s="104"/>
      <c r="K2732" s="104"/>
      <c r="L2732" s="104"/>
      <c r="M2732" s="104"/>
      <c r="N2732" s="104"/>
      <c r="O2732" s="104"/>
      <c r="P2732" s="104"/>
      <c r="Q2732" s="104"/>
      <c r="R2732" s="104"/>
      <c r="S2732" s="104"/>
    </row>
    <row r="2733" spans="4:19">
      <c r="D2733" s="104"/>
      <c r="E2733" s="104"/>
      <c r="F2733" s="104"/>
      <c r="G2733" s="104"/>
      <c r="H2733" s="104"/>
      <c r="I2733" s="104"/>
      <c r="J2733" s="104"/>
      <c r="K2733" s="104"/>
      <c r="L2733" s="104"/>
      <c r="M2733" s="104"/>
      <c r="N2733" s="104"/>
      <c r="O2733" s="104"/>
      <c r="P2733" s="104"/>
      <c r="Q2733" s="104"/>
      <c r="R2733" s="104"/>
      <c r="S2733" s="104"/>
    </row>
    <row r="2734" spans="4:19">
      <c r="D2734" s="104"/>
      <c r="E2734" s="104"/>
      <c r="F2734" s="104"/>
      <c r="G2734" s="104"/>
      <c r="H2734" s="104"/>
      <c r="I2734" s="104"/>
      <c r="J2734" s="104"/>
      <c r="K2734" s="104"/>
      <c r="L2734" s="104"/>
      <c r="M2734" s="104"/>
      <c r="N2734" s="104"/>
      <c r="O2734" s="104"/>
      <c r="P2734" s="104"/>
      <c r="Q2734" s="104"/>
      <c r="R2734" s="104"/>
      <c r="S2734" s="104"/>
    </row>
    <row r="2735" spans="4:19">
      <c r="D2735" s="104"/>
      <c r="E2735" s="104"/>
      <c r="F2735" s="104"/>
      <c r="G2735" s="104"/>
      <c r="H2735" s="104"/>
      <c r="I2735" s="104"/>
      <c r="J2735" s="104"/>
      <c r="K2735" s="104"/>
      <c r="L2735" s="104"/>
      <c r="M2735" s="104"/>
      <c r="N2735" s="104"/>
      <c r="O2735" s="104"/>
      <c r="P2735" s="104"/>
      <c r="Q2735" s="104"/>
      <c r="R2735" s="104"/>
      <c r="S2735" s="104"/>
    </row>
    <row r="2736" spans="4:19">
      <c r="D2736" s="104"/>
      <c r="E2736" s="104"/>
      <c r="F2736" s="104"/>
      <c r="G2736" s="104"/>
      <c r="H2736" s="104"/>
      <c r="I2736" s="104"/>
      <c r="J2736" s="104"/>
      <c r="K2736" s="104"/>
      <c r="L2736" s="104"/>
      <c r="M2736" s="104"/>
      <c r="N2736" s="104"/>
      <c r="O2736" s="104"/>
      <c r="P2736" s="104"/>
      <c r="Q2736" s="104"/>
      <c r="R2736" s="104"/>
      <c r="S2736" s="104"/>
    </row>
    <row r="2737" spans="4:19">
      <c r="D2737" s="104"/>
      <c r="E2737" s="104"/>
      <c r="F2737" s="104"/>
      <c r="G2737" s="104"/>
      <c r="H2737" s="104"/>
      <c r="I2737" s="104"/>
      <c r="J2737" s="104"/>
      <c r="K2737" s="104"/>
      <c r="L2737" s="104"/>
      <c r="M2737" s="104"/>
      <c r="N2737" s="104"/>
      <c r="O2737" s="104"/>
      <c r="P2737" s="104"/>
      <c r="Q2737" s="104"/>
      <c r="R2737" s="104"/>
      <c r="S2737" s="104"/>
    </row>
    <row r="2738" spans="4:19">
      <c r="D2738" s="104"/>
      <c r="E2738" s="104"/>
      <c r="F2738" s="104"/>
      <c r="G2738" s="104"/>
      <c r="H2738" s="104"/>
      <c r="I2738" s="104"/>
      <c r="J2738" s="104"/>
      <c r="K2738" s="104"/>
      <c r="L2738" s="104"/>
      <c r="M2738" s="104"/>
      <c r="N2738" s="104"/>
      <c r="O2738" s="104"/>
      <c r="P2738" s="104"/>
      <c r="Q2738" s="104"/>
      <c r="R2738" s="104"/>
      <c r="S2738" s="104"/>
    </row>
    <row r="2739" spans="4:19">
      <c r="D2739" s="104"/>
      <c r="E2739" s="104"/>
      <c r="F2739" s="104"/>
      <c r="G2739" s="104"/>
      <c r="H2739" s="104"/>
      <c r="I2739" s="104"/>
      <c r="J2739" s="104"/>
      <c r="K2739" s="104"/>
      <c r="L2739" s="104"/>
      <c r="M2739" s="104"/>
      <c r="N2739" s="104"/>
      <c r="O2739" s="104"/>
      <c r="P2739" s="104"/>
      <c r="Q2739" s="104"/>
      <c r="R2739" s="104"/>
      <c r="S2739" s="104"/>
    </row>
    <row r="2740" spans="4:19">
      <c r="D2740" s="104"/>
      <c r="E2740" s="104"/>
      <c r="F2740" s="104"/>
      <c r="G2740" s="104"/>
      <c r="H2740" s="104"/>
      <c r="I2740" s="104"/>
      <c r="J2740" s="104"/>
      <c r="K2740" s="104"/>
      <c r="L2740" s="104"/>
      <c r="M2740" s="104"/>
      <c r="N2740" s="104"/>
      <c r="O2740" s="104"/>
      <c r="P2740" s="104"/>
      <c r="Q2740" s="104"/>
      <c r="R2740" s="104"/>
      <c r="S2740" s="104"/>
    </row>
    <row r="2741" spans="4:19">
      <c r="D2741" s="104"/>
      <c r="E2741" s="104"/>
      <c r="F2741" s="104"/>
      <c r="G2741" s="104"/>
      <c r="H2741" s="104"/>
      <c r="I2741" s="104"/>
      <c r="J2741" s="104"/>
      <c r="K2741" s="104"/>
      <c r="L2741" s="104"/>
      <c r="M2741" s="104"/>
      <c r="N2741" s="104"/>
      <c r="O2741" s="104"/>
      <c r="P2741" s="104"/>
      <c r="Q2741" s="104"/>
      <c r="R2741" s="104"/>
      <c r="S2741" s="104"/>
    </row>
    <row r="2742" spans="4:19">
      <c r="D2742" s="104"/>
      <c r="E2742" s="104"/>
      <c r="F2742" s="104"/>
      <c r="G2742" s="104"/>
      <c r="H2742" s="104"/>
      <c r="I2742" s="104"/>
      <c r="J2742" s="104"/>
      <c r="K2742" s="104"/>
      <c r="L2742" s="104"/>
      <c r="M2742" s="104"/>
      <c r="N2742" s="104"/>
      <c r="O2742" s="104"/>
      <c r="P2742" s="104"/>
      <c r="Q2742" s="104"/>
      <c r="R2742" s="104"/>
      <c r="S2742" s="104"/>
    </row>
    <row r="2743" spans="4:19">
      <c r="D2743" s="104"/>
      <c r="E2743" s="104"/>
      <c r="F2743" s="104"/>
      <c r="G2743" s="104"/>
      <c r="H2743" s="104"/>
      <c r="I2743" s="104"/>
      <c r="J2743" s="104"/>
      <c r="K2743" s="104"/>
      <c r="L2743" s="104"/>
      <c r="M2743" s="104"/>
      <c r="N2743" s="104"/>
      <c r="O2743" s="104"/>
      <c r="P2743" s="104"/>
      <c r="Q2743" s="104"/>
      <c r="R2743" s="104"/>
      <c r="S2743" s="104"/>
    </row>
    <row r="2744" spans="4:19">
      <c r="D2744" s="104"/>
      <c r="E2744" s="104"/>
      <c r="F2744" s="104"/>
      <c r="G2744" s="104"/>
      <c r="H2744" s="104"/>
      <c r="I2744" s="104"/>
      <c r="J2744" s="104"/>
      <c r="K2744" s="104"/>
      <c r="L2744" s="104"/>
      <c r="M2744" s="104"/>
      <c r="N2744" s="104"/>
      <c r="O2744" s="104"/>
      <c r="P2744" s="104"/>
      <c r="Q2744" s="104"/>
      <c r="R2744" s="104"/>
      <c r="S2744" s="104"/>
    </row>
    <row r="2745" spans="4:19">
      <c r="D2745" s="104"/>
      <c r="E2745" s="104"/>
      <c r="F2745" s="104"/>
      <c r="G2745" s="104"/>
      <c r="H2745" s="104"/>
      <c r="I2745" s="104"/>
      <c r="J2745" s="104"/>
      <c r="K2745" s="104"/>
      <c r="L2745" s="104"/>
      <c r="M2745" s="104"/>
      <c r="N2745" s="104"/>
      <c r="O2745" s="104"/>
      <c r="P2745" s="104"/>
      <c r="Q2745" s="104"/>
      <c r="R2745" s="104"/>
      <c r="S2745" s="104"/>
    </row>
    <row r="2746" spans="4:19">
      <c r="D2746" s="104"/>
      <c r="E2746" s="104"/>
      <c r="F2746" s="104"/>
      <c r="G2746" s="104"/>
      <c r="H2746" s="104"/>
      <c r="I2746" s="104"/>
      <c r="J2746" s="104"/>
      <c r="K2746" s="104"/>
      <c r="L2746" s="104"/>
      <c r="M2746" s="104"/>
      <c r="N2746" s="104"/>
      <c r="O2746" s="104"/>
      <c r="P2746" s="104"/>
      <c r="Q2746" s="104"/>
      <c r="R2746" s="104"/>
      <c r="S2746" s="104"/>
    </row>
    <row r="2747" spans="4:19">
      <c r="D2747" s="104"/>
      <c r="E2747" s="104"/>
      <c r="F2747" s="104"/>
      <c r="G2747" s="104"/>
      <c r="H2747" s="104"/>
      <c r="I2747" s="104"/>
      <c r="J2747" s="104"/>
      <c r="K2747" s="104"/>
      <c r="L2747" s="104"/>
      <c r="M2747" s="104"/>
      <c r="N2747" s="104"/>
      <c r="O2747" s="104"/>
      <c r="P2747" s="104"/>
      <c r="Q2747" s="104"/>
      <c r="R2747" s="104"/>
      <c r="S2747" s="104"/>
    </row>
    <row r="2748" spans="4:19">
      <c r="D2748" s="104"/>
      <c r="E2748" s="104"/>
      <c r="F2748" s="104"/>
      <c r="G2748" s="104"/>
      <c r="H2748" s="104"/>
      <c r="I2748" s="104"/>
      <c r="J2748" s="104"/>
      <c r="K2748" s="104"/>
      <c r="L2748" s="104"/>
      <c r="M2748" s="104"/>
      <c r="N2748" s="104"/>
      <c r="O2748" s="104"/>
      <c r="P2748" s="104"/>
      <c r="Q2748" s="104"/>
      <c r="R2748" s="104"/>
      <c r="S2748" s="104"/>
    </row>
    <row r="2749" spans="4:19">
      <c r="D2749" s="104"/>
      <c r="E2749" s="104"/>
      <c r="F2749" s="104"/>
      <c r="G2749" s="104"/>
      <c r="H2749" s="104"/>
      <c r="I2749" s="104"/>
      <c r="J2749" s="104"/>
      <c r="K2749" s="104"/>
      <c r="L2749" s="104"/>
      <c r="M2749" s="104"/>
      <c r="N2749" s="104"/>
      <c r="O2749" s="104"/>
      <c r="P2749" s="104"/>
      <c r="Q2749" s="104"/>
      <c r="R2749" s="104"/>
      <c r="S2749" s="104"/>
    </row>
    <row r="2750" spans="4:19">
      <c r="D2750" s="104"/>
      <c r="E2750" s="104"/>
      <c r="F2750" s="104"/>
      <c r="G2750" s="104"/>
      <c r="H2750" s="104"/>
      <c r="I2750" s="104"/>
      <c r="J2750" s="104"/>
      <c r="K2750" s="104"/>
      <c r="L2750" s="104"/>
      <c r="M2750" s="104"/>
      <c r="N2750" s="104"/>
      <c r="O2750" s="104"/>
      <c r="P2750" s="104"/>
      <c r="Q2750" s="104"/>
      <c r="R2750" s="104"/>
      <c r="S2750" s="104"/>
    </row>
    <row r="2751" spans="4:19">
      <c r="D2751" s="104"/>
      <c r="E2751" s="104"/>
      <c r="F2751" s="104"/>
      <c r="G2751" s="104"/>
      <c r="H2751" s="104"/>
      <c r="I2751" s="104"/>
      <c r="J2751" s="104"/>
      <c r="K2751" s="104"/>
      <c r="L2751" s="104"/>
      <c r="M2751" s="104"/>
      <c r="N2751" s="104"/>
      <c r="O2751" s="104"/>
      <c r="P2751" s="104"/>
      <c r="Q2751" s="104"/>
      <c r="R2751" s="104"/>
      <c r="S2751" s="104"/>
    </row>
    <row r="2752" spans="4:19">
      <c r="D2752" s="104"/>
      <c r="E2752" s="104"/>
      <c r="F2752" s="104"/>
      <c r="G2752" s="104"/>
      <c r="H2752" s="104"/>
      <c r="I2752" s="104"/>
      <c r="J2752" s="104"/>
      <c r="K2752" s="104"/>
      <c r="L2752" s="104"/>
      <c r="M2752" s="104"/>
      <c r="N2752" s="104"/>
      <c r="O2752" s="104"/>
      <c r="P2752" s="104"/>
      <c r="Q2752" s="104"/>
      <c r="R2752" s="104"/>
      <c r="S2752" s="104"/>
    </row>
    <row r="2753" spans="4:19">
      <c r="D2753" s="104"/>
      <c r="E2753" s="104"/>
      <c r="F2753" s="104"/>
      <c r="G2753" s="104"/>
      <c r="H2753" s="104"/>
      <c r="I2753" s="104"/>
      <c r="J2753" s="104"/>
      <c r="K2753" s="104"/>
      <c r="L2753" s="104"/>
      <c r="M2753" s="104"/>
      <c r="N2753" s="104"/>
      <c r="O2753" s="104"/>
      <c r="P2753" s="104"/>
      <c r="Q2753" s="104"/>
      <c r="R2753" s="104"/>
      <c r="S2753" s="104"/>
    </row>
    <row r="2754" spans="4:19">
      <c r="D2754" s="104"/>
      <c r="E2754" s="104"/>
      <c r="F2754" s="104"/>
      <c r="G2754" s="104"/>
      <c r="H2754" s="104"/>
      <c r="I2754" s="104"/>
      <c r="J2754" s="104"/>
      <c r="K2754" s="104"/>
      <c r="L2754" s="104"/>
      <c r="M2754" s="104"/>
      <c r="N2754" s="104"/>
      <c r="O2754" s="104"/>
      <c r="P2754" s="104"/>
      <c r="Q2754" s="104"/>
      <c r="R2754" s="104"/>
      <c r="S2754" s="104"/>
    </row>
    <row r="2755" spans="4:19">
      <c r="D2755" s="104"/>
      <c r="E2755" s="104"/>
      <c r="F2755" s="104"/>
      <c r="G2755" s="104"/>
      <c r="H2755" s="104"/>
      <c r="I2755" s="104"/>
      <c r="J2755" s="104"/>
      <c r="K2755" s="104"/>
      <c r="L2755" s="104"/>
      <c r="M2755" s="104"/>
      <c r="N2755" s="104"/>
      <c r="O2755" s="104"/>
      <c r="P2755" s="104"/>
      <c r="Q2755" s="104"/>
      <c r="R2755" s="104"/>
      <c r="S2755" s="104"/>
    </row>
    <row r="2756" spans="4:19">
      <c r="D2756" s="104"/>
      <c r="E2756" s="104"/>
      <c r="F2756" s="104"/>
      <c r="G2756" s="104"/>
      <c r="H2756" s="104"/>
      <c r="I2756" s="104"/>
      <c r="J2756" s="104"/>
      <c r="K2756" s="104"/>
      <c r="L2756" s="104"/>
      <c r="M2756" s="104"/>
      <c r="N2756" s="104"/>
      <c r="O2756" s="104"/>
      <c r="P2756" s="104"/>
      <c r="Q2756" s="104"/>
      <c r="R2756" s="104"/>
      <c r="S2756" s="104"/>
    </row>
    <row r="2757" spans="4:19">
      <c r="D2757" s="104"/>
      <c r="E2757" s="104"/>
      <c r="F2757" s="104"/>
      <c r="G2757" s="104"/>
      <c r="H2757" s="104"/>
      <c r="I2757" s="104"/>
      <c r="J2757" s="104"/>
      <c r="K2757" s="104"/>
      <c r="L2757" s="104"/>
      <c r="M2757" s="104"/>
      <c r="N2757" s="104"/>
      <c r="O2757" s="104"/>
      <c r="P2757" s="104"/>
      <c r="Q2757" s="104"/>
      <c r="R2757" s="104"/>
      <c r="S2757" s="104"/>
    </row>
    <row r="2758" spans="4:19">
      <c r="D2758" s="104"/>
      <c r="E2758" s="104"/>
      <c r="F2758" s="104"/>
      <c r="G2758" s="104"/>
      <c r="H2758" s="104"/>
      <c r="I2758" s="104"/>
      <c r="J2758" s="104"/>
      <c r="K2758" s="104"/>
      <c r="L2758" s="104"/>
      <c r="M2758" s="104"/>
      <c r="N2758" s="104"/>
      <c r="O2758" s="104"/>
      <c r="P2758" s="104"/>
      <c r="Q2758" s="104"/>
      <c r="R2758" s="104"/>
      <c r="S2758" s="104"/>
    </row>
    <row r="2759" spans="4:19">
      <c r="D2759" s="104"/>
      <c r="E2759" s="104"/>
      <c r="F2759" s="104"/>
      <c r="G2759" s="104"/>
      <c r="H2759" s="104"/>
      <c r="I2759" s="104"/>
      <c r="J2759" s="104"/>
      <c r="K2759" s="104"/>
      <c r="L2759" s="104"/>
      <c r="M2759" s="104"/>
      <c r="N2759" s="104"/>
      <c r="O2759" s="104"/>
      <c r="P2759" s="104"/>
      <c r="Q2759" s="104"/>
      <c r="R2759" s="104"/>
      <c r="S2759" s="104"/>
    </row>
    <row r="2760" spans="4:19">
      <c r="D2760" s="104"/>
      <c r="E2760" s="104"/>
      <c r="F2760" s="104"/>
      <c r="G2760" s="104"/>
      <c r="H2760" s="104"/>
      <c r="I2760" s="104"/>
      <c r="J2760" s="104"/>
      <c r="K2760" s="104"/>
      <c r="L2760" s="104"/>
      <c r="M2760" s="104"/>
      <c r="N2760" s="104"/>
      <c r="O2760" s="104"/>
      <c r="P2760" s="104"/>
      <c r="Q2760" s="104"/>
      <c r="R2760" s="104"/>
      <c r="S2760" s="104"/>
    </row>
    <row r="2761" spans="4:19">
      <c r="D2761" s="104"/>
      <c r="E2761" s="104"/>
      <c r="F2761" s="104"/>
      <c r="G2761" s="104"/>
      <c r="H2761" s="104"/>
      <c r="I2761" s="104"/>
      <c r="J2761" s="104"/>
      <c r="K2761" s="104"/>
      <c r="L2761" s="104"/>
      <c r="M2761" s="104"/>
      <c r="N2761" s="104"/>
      <c r="O2761" s="104"/>
      <c r="P2761" s="104"/>
      <c r="Q2761" s="104"/>
      <c r="R2761" s="104"/>
      <c r="S2761" s="104"/>
    </row>
    <row r="2762" spans="4:19">
      <c r="D2762" s="104"/>
      <c r="E2762" s="104"/>
      <c r="F2762" s="104"/>
      <c r="G2762" s="104"/>
      <c r="H2762" s="104"/>
      <c r="I2762" s="104"/>
      <c r="J2762" s="104"/>
      <c r="K2762" s="104"/>
      <c r="L2762" s="104"/>
      <c r="M2762" s="104"/>
      <c r="N2762" s="104"/>
      <c r="O2762" s="104"/>
      <c r="P2762" s="104"/>
      <c r="Q2762" s="104"/>
      <c r="R2762" s="104"/>
      <c r="S2762" s="104"/>
    </row>
    <row r="2763" spans="4:19">
      <c r="D2763" s="104"/>
      <c r="E2763" s="104"/>
      <c r="F2763" s="104"/>
      <c r="G2763" s="104"/>
      <c r="H2763" s="104"/>
      <c r="I2763" s="104"/>
      <c r="J2763" s="104"/>
      <c r="K2763" s="104"/>
      <c r="L2763" s="104"/>
      <c r="M2763" s="104"/>
      <c r="N2763" s="104"/>
      <c r="O2763" s="104"/>
      <c r="P2763" s="104"/>
      <c r="Q2763" s="104"/>
      <c r="R2763" s="104"/>
      <c r="S2763" s="104"/>
    </row>
    <row r="2764" spans="4:19">
      <c r="D2764" s="104"/>
      <c r="E2764" s="104"/>
      <c r="F2764" s="104"/>
      <c r="G2764" s="104"/>
      <c r="H2764" s="104"/>
      <c r="I2764" s="104"/>
      <c r="J2764" s="104"/>
      <c r="K2764" s="104"/>
      <c r="L2764" s="104"/>
      <c r="M2764" s="104"/>
      <c r="N2764" s="104"/>
      <c r="O2764" s="104"/>
      <c r="P2764" s="104"/>
      <c r="Q2764" s="104"/>
      <c r="R2764" s="104"/>
      <c r="S2764" s="104"/>
    </row>
    <row r="2765" spans="4:19">
      <c r="D2765" s="104"/>
      <c r="E2765" s="104"/>
      <c r="F2765" s="104"/>
      <c r="G2765" s="104"/>
      <c r="H2765" s="104"/>
      <c r="I2765" s="104"/>
      <c r="J2765" s="104"/>
      <c r="K2765" s="104"/>
      <c r="L2765" s="104"/>
      <c r="M2765" s="104"/>
      <c r="N2765" s="104"/>
      <c r="O2765" s="104"/>
      <c r="P2765" s="104"/>
      <c r="Q2765" s="104"/>
      <c r="R2765" s="104"/>
      <c r="S2765" s="104"/>
    </row>
    <row r="2766" spans="4:19">
      <c r="D2766" s="104"/>
      <c r="E2766" s="104"/>
      <c r="F2766" s="104"/>
      <c r="G2766" s="104"/>
      <c r="H2766" s="104"/>
      <c r="I2766" s="104"/>
      <c r="J2766" s="104"/>
      <c r="K2766" s="104"/>
      <c r="L2766" s="104"/>
      <c r="M2766" s="104"/>
      <c r="N2766" s="104"/>
      <c r="O2766" s="104"/>
      <c r="P2766" s="104"/>
      <c r="Q2766" s="104"/>
      <c r="R2766" s="104"/>
      <c r="S2766" s="104"/>
    </row>
    <row r="2767" spans="4:19">
      <c r="D2767" s="104"/>
      <c r="E2767" s="104"/>
      <c r="F2767" s="104"/>
      <c r="G2767" s="104"/>
      <c r="H2767" s="104"/>
      <c r="I2767" s="104"/>
      <c r="J2767" s="104"/>
      <c r="K2767" s="104"/>
      <c r="L2767" s="104"/>
      <c r="M2767" s="104"/>
      <c r="N2767" s="104"/>
      <c r="O2767" s="104"/>
      <c r="P2767" s="104"/>
      <c r="Q2767" s="104"/>
      <c r="R2767" s="104"/>
      <c r="S2767" s="104"/>
    </row>
    <row r="2768" spans="4:19">
      <c r="D2768" s="104"/>
      <c r="E2768" s="104"/>
      <c r="F2768" s="104"/>
      <c r="G2768" s="104"/>
      <c r="H2768" s="104"/>
      <c r="I2768" s="104"/>
      <c r="J2768" s="104"/>
      <c r="K2768" s="104"/>
      <c r="L2768" s="104"/>
      <c r="M2768" s="104"/>
      <c r="N2768" s="104"/>
      <c r="O2768" s="104"/>
      <c r="P2768" s="104"/>
      <c r="Q2768" s="104"/>
      <c r="R2768" s="104"/>
      <c r="S2768" s="104"/>
    </row>
    <row r="2769" spans="4:19">
      <c r="D2769" s="104"/>
      <c r="E2769" s="104"/>
      <c r="F2769" s="104"/>
      <c r="G2769" s="104"/>
      <c r="H2769" s="104"/>
      <c r="I2769" s="104"/>
      <c r="J2769" s="104"/>
      <c r="K2769" s="104"/>
      <c r="L2769" s="104"/>
      <c r="M2769" s="104"/>
      <c r="N2769" s="104"/>
      <c r="O2769" s="104"/>
      <c r="P2769" s="104"/>
      <c r="Q2769" s="104"/>
      <c r="R2769" s="104"/>
      <c r="S2769" s="104"/>
    </row>
    <row r="2770" spans="4:19">
      <c r="D2770" s="104"/>
      <c r="E2770" s="104"/>
      <c r="F2770" s="104"/>
      <c r="G2770" s="104"/>
      <c r="H2770" s="104"/>
      <c r="I2770" s="104"/>
      <c r="J2770" s="104"/>
      <c r="K2770" s="104"/>
      <c r="L2770" s="104"/>
      <c r="M2770" s="104"/>
      <c r="N2770" s="104"/>
      <c r="O2770" s="104"/>
      <c r="P2770" s="104"/>
      <c r="Q2770" s="104"/>
      <c r="R2770" s="104"/>
      <c r="S2770" s="104"/>
    </row>
    <row r="2771" spans="4:19">
      <c r="D2771" s="104"/>
      <c r="E2771" s="104"/>
      <c r="F2771" s="104"/>
      <c r="G2771" s="104"/>
      <c r="H2771" s="104"/>
      <c r="I2771" s="104"/>
      <c r="J2771" s="104"/>
      <c r="K2771" s="104"/>
      <c r="L2771" s="104"/>
      <c r="M2771" s="104"/>
      <c r="N2771" s="104"/>
      <c r="O2771" s="104"/>
      <c r="P2771" s="104"/>
      <c r="Q2771" s="104"/>
      <c r="R2771" s="104"/>
      <c r="S2771" s="104"/>
    </row>
    <row r="2772" spans="4:19">
      <c r="D2772" s="104"/>
      <c r="E2772" s="104"/>
      <c r="F2772" s="104"/>
      <c r="G2772" s="104"/>
      <c r="H2772" s="104"/>
      <c r="I2772" s="104"/>
      <c r="J2772" s="104"/>
      <c r="K2772" s="104"/>
      <c r="L2772" s="104"/>
      <c r="M2772" s="104"/>
      <c r="N2772" s="104"/>
      <c r="O2772" s="104"/>
      <c r="P2772" s="104"/>
      <c r="Q2772" s="104"/>
      <c r="R2772" s="104"/>
      <c r="S2772" s="104"/>
    </row>
    <row r="2773" spans="4:19">
      <c r="D2773" s="104"/>
      <c r="E2773" s="104"/>
      <c r="F2773" s="104"/>
      <c r="G2773" s="104"/>
      <c r="H2773" s="104"/>
      <c r="I2773" s="104"/>
      <c r="J2773" s="104"/>
      <c r="K2773" s="104"/>
      <c r="L2773" s="104"/>
      <c r="M2773" s="104"/>
      <c r="N2773" s="104"/>
      <c r="O2773" s="104"/>
      <c r="P2773" s="104"/>
      <c r="Q2773" s="104"/>
      <c r="R2773" s="104"/>
      <c r="S2773" s="104"/>
    </row>
    <row r="2774" spans="4:19">
      <c r="D2774" s="104"/>
      <c r="E2774" s="104"/>
      <c r="F2774" s="104"/>
      <c r="G2774" s="104"/>
      <c r="H2774" s="104"/>
      <c r="I2774" s="104"/>
      <c r="J2774" s="104"/>
      <c r="K2774" s="104"/>
      <c r="L2774" s="104"/>
      <c r="M2774" s="104"/>
      <c r="N2774" s="104"/>
      <c r="O2774" s="104"/>
      <c r="P2774" s="104"/>
      <c r="Q2774" s="104"/>
      <c r="R2774" s="104"/>
      <c r="S2774" s="104"/>
    </row>
    <row r="2775" spans="4:19">
      <c r="D2775" s="104"/>
      <c r="E2775" s="104"/>
      <c r="F2775" s="104"/>
      <c r="G2775" s="104"/>
      <c r="H2775" s="104"/>
      <c r="I2775" s="104"/>
      <c r="J2775" s="104"/>
      <c r="K2775" s="104"/>
      <c r="L2775" s="104"/>
      <c r="M2775" s="104"/>
      <c r="N2775" s="104"/>
      <c r="O2775" s="104"/>
      <c r="P2775" s="104"/>
      <c r="Q2775" s="104"/>
      <c r="R2775" s="104"/>
      <c r="S2775" s="104"/>
    </row>
    <row r="2776" spans="4:19">
      <c r="D2776" s="104"/>
      <c r="E2776" s="104"/>
      <c r="F2776" s="104"/>
      <c r="G2776" s="104"/>
      <c r="H2776" s="104"/>
      <c r="I2776" s="104"/>
      <c r="J2776" s="104"/>
      <c r="K2776" s="104"/>
      <c r="L2776" s="104"/>
      <c r="M2776" s="104"/>
      <c r="N2776" s="104"/>
      <c r="O2776" s="104"/>
      <c r="P2776" s="104"/>
      <c r="Q2776" s="104"/>
      <c r="R2776" s="104"/>
      <c r="S2776" s="104"/>
    </row>
    <row r="2777" spans="4:19">
      <c r="D2777" s="104"/>
      <c r="E2777" s="104"/>
      <c r="F2777" s="104"/>
      <c r="G2777" s="104"/>
      <c r="H2777" s="104"/>
      <c r="I2777" s="104"/>
      <c r="J2777" s="104"/>
      <c r="K2777" s="104"/>
      <c r="L2777" s="104"/>
      <c r="M2777" s="104"/>
      <c r="N2777" s="104"/>
      <c r="O2777" s="104"/>
      <c r="P2777" s="104"/>
      <c r="Q2777" s="104"/>
      <c r="R2777" s="104"/>
      <c r="S2777" s="104"/>
    </row>
    <row r="2778" spans="4:19">
      <c r="D2778" s="104"/>
      <c r="E2778" s="104"/>
      <c r="F2778" s="104"/>
      <c r="G2778" s="104"/>
      <c r="H2778" s="104"/>
      <c r="I2778" s="104"/>
      <c r="J2778" s="104"/>
      <c r="K2778" s="104"/>
      <c r="L2778" s="104"/>
      <c r="M2778" s="104"/>
      <c r="N2778" s="104"/>
      <c r="O2778" s="104"/>
      <c r="P2778" s="104"/>
      <c r="Q2778" s="104"/>
      <c r="R2778" s="104"/>
      <c r="S2778" s="104"/>
    </row>
    <row r="2779" spans="4:19">
      <c r="D2779" s="104"/>
      <c r="E2779" s="104"/>
      <c r="F2779" s="104"/>
      <c r="G2779" s="104"/>
      <c r="H2779" s="104"/>
      <c r="I2779" s="104"/>
      <c r="J2779" s="104"/>
      <c r="K2779" s="104"/>
      <c r="L2779" s="104"/>
      <c r="M2779" s="104"/>
      <c r="N2779" s="104"/>
      <c r="O2779" s="104"/>
      <c r="P2779" s="104"/>
      <c r="Q2779" s="104"/>
      <c r="R2779" s="104"/>
      <c r="S2779" s="104"/>
    </row>
    <row r="2780" spans="4:19">
      <c r="D2780" s="104"/>
      <c r="E2780" s="104"/>
      <c r="F2780" s="104"/>
      <c r="G2780" s="104"/>
      <c r="H2780" s="104"/>
      <c r="I2780" s="104"/>
      <c r="J2780" s="104"/>
      <c r="K2780" s="104"/>
      <c r="L2780" s="104"/>
      <c r="M2780" s="104"/>
      <c r="N2780" s="104"/>
      <c r="O2780" s="104"/>
      <c r="P2780" s="104"/>
      <c r="Q2780" s="104"/>
      <c r="R2780" s="104"/>
      <c r="S2780" s="104"/>
    </row>
    <row r="2781" spans="4:19">
      <c r="D2781" s="104"/>
      <c r="E2781" s="104"/>
      <c r="F2781" s="104"/>
      <c r="G2781" s="104"/>
      <c r="H2781" s="104"/>
      <c r="I2781" s="104"/>
      <c r="J2781" s="104"/>
      <c r="K2781" s="104"/>
      <c r="L2781" s="104"/>
      <c r="M2781" s="104"/>
      <c r="N2781" s="104"/>
      <c r="O2781" s="104"/>
      <c r="P2781" s="104"/>
      <c r="Q2781" s="104"/>
      <c r="R2781" s="104"/>
      <c r="S2781" s="104"/>
    </row>
    <row r="2782" spans="4:19">
      <c r="D2782" s="104"/>
      <c r="E2782" s="104"/>
      <c r="F2782" s="104"/>
      <c r="G2782" s="104"/>
      <c r="H2782" s="104"/>
      <c r="I2782" s="104"/>
      <c r="J2782" s="104"/>
      <c r="K2782" s="104"/>
      <c r="L2782" s="104"/>
      <c r="M2782" s="104"/>
      <c r="N2782" s="104"/>
      <c r="O2782" s="104"/>
      <c r="P2782" s="104"/>
      <c r="Q2782" s="104"/>
      <c r="R2782" s="104"/>
      <c r="S2782" s="104"/>
    </row>
    <row r="2783" spans="4:19">
      <c r="D2783" s="104"/>
      <c r="E2783" s="104"/>
      <c r="F2783" s="104"/>
      <c r="G2783" s="104"/>
      <c r="H2783" s="104"/>
      <c r="I2783" s="104"/>
      <c r="J2783" s="104"/>
      <c r="K2783" s="104"/>
      <c r="L2783" s="104"/>
      <c r="M2783" s="104"/>
      <c r="N2783" s="104"/>
      <c r="O2783" s="104"/>
      <c r="P2783" s="104"/>
      <c r="Q2783" s="104"/>
      <c r="R2783" s="104"/>
      <c r="S2783" s="104"/>
    </row>
    <row r="2784" spans="4:19">
      <c r="D2784" s="104"/>
      <c r="E2784" s="104"/>
      <c r="F2784" s="104"/>
      <c r="G2784" s="104"/>
      <c r="H2784" s="104"/>
      <c r="I2784" s="104"/>
      <c r="J2784" s="104"/>
      <c r="K2784" s="104"/>
      <c r="L2784" s="104"/>
      <c r="M2784" s="104"/>
      <c r="N2784" s="104"/>
      <c r="O2784" s="104"/>
      <c r="P2784" s="104"/>
      <c r="Q2784" s="104"/>
      <c r="R2784" s="104"/>
      <c r="S2784" s="104"/>
    </row>
    <row r="2785" spans="4:19">
      <c r="D2785" s="104"/>
      <c r="E2785" s="104"/>
      <c r="F2785" s="104"/>
      <c r="G2785" s="104"/>
      <c r="H2785" s="104"/>
      <c r="I2785" s="104"/>
      <c r="J2785" s="104"/>
      <c r="K2785" s="104"/>
      <c r="L2785" s="104"/>
      <c r="M2785" s="104"/>
      <c r="N2785" s="104"/>
      <c r="O2785" s="104"/>
      <c r="P2785" s="104"/>
      <c r="Q2785" s="104"/>
      <c r="R2785" s="104"/>
      <c r="S2785" s="104"/>
    </row>
    <row r="2786" spans="4:19">
      <c r="D2786" s="104"/>
      <c r="E2786" s="104"/>
      <c r="F2786" s="104"/>
      <c r="G2786" s="104"/>
      <c r="H2786" s="104"/>
      <c r="I2786" s="104"/>
      <c r="J2786" s="104"/>
      <c r="K2786" s="104"/>
      <c r="L2786" s="104"/>
      <c r="M2786" s="104"/>
      <c r="N2786" s="104"/>
      <c r="O2786" s="104"/>
      <c r="P2786" s="104"/>
      <c r="Q2786" s="104"/>
      <c r="R2786" s="104"/>
      <c r="S2786" s="104"/>
    </row>
    <row r="2787" spans="4:19">
      <c r="D2787" s="104"/>
      <c r="E2787" s="104"/>
      <c r="F2787" s="104"/>
      <c r="G2787" s="104"/>
      <c r="H2787" s="104"/>
      <c r="I2787" s="104"/>
      <c r="J2787" s="104"/>
      <c r="K2787" s="104"/>
      <c r="L2787" s="104"/>
      <c r="M2787" s="104"/>
      <c r="N2787" s="104"/>
      <c r="O2787" s="104"/>
      <c r="P2787" s="104"/>
      <c r="Q2787" s="104"/>
      <c r="R2787" s="104"/>
      <c r="S2787" s="104"/>
    </row>
    <row r="2788" spans="4:19">
      <c r="D2788" s="104"/>
      <c r="E2788" s="104"/>
      <c r="F2788" s="104"/>
      <c r="G2788" s="104"/>
      <c r="H2788" s="104"/>
      <c r="I2788" s="104"/>
      <c r="J2788" s="104"/>
      <c r="K2788" s="104"/>
      <c r="L2788" s="104"/>
      <c r="M2788" s="104"/>
      <c r="N2788" s="104"/>
      <c r="O2788" s="104"/>
      <c r="P2788" s="104"/>
      <c r="Q2788" s="104"/>
      <c r="R2788" s="104"/>
      <c r="S2788" s="104"/>
    </row>
    <row r="2789" spans="4:19">
      <c r="D2789" s="104"/>
      <c r="E2789" s="104"/>
      <c r="F2789" s="104"/>
      <c r="G2789" s="104"/>
      <c r="H2789" s="104"/>
      <c r="I2789" s="104"/>
      <c r="J2789" s="104"/>
      <c r="K2789" s="104"/>
      <c r="L2789" s="104"/>
      <c r="M2789" s="104"/>
      <c r="N2789" s="104"/>
      <c r="O2789" s="104"/>
      <c r="P2789" s="104"/>
      <c r="Q2789" s="104"/>
      <c r="R2789" s="104"/>
      <c r="S2789" s="104"/>
    </row>
    <row r="2790" spans="4:19">
      <c r="D2790" s="104"/>
      <c r="E2790" s="104"/>
      <c r="F2790" s="104"/>
      <c r="G2790" s="104"/>
      <c r="H2790" s="104"/>
      <c r="I2790" s="104"/>
      <c r="J2790" s="104"/>
      <c r="K2790" s="104"/>
      <c r="L2790" s="104"/>
      <c r="M2790" s="104"/>
      <c r="N2790" s="104"/>
      <c r="O2790" s="104"/>
      <c r="P2790" s="104"/>
      <c r="Q2790" s="104"/>
      <c r="R2790" s="104"/>
      <c r="S2790" s="104"/>
    </row>
    <row r="2791" spans="4:19">
      <c r="D2791" s="104"/>
      <c r="E2791" s="104"/>
      <c r="F2791" s="104"/>
      <c r="G2791" s="104"/>
      <c r="H2791" s="104"/>
      <c r="I2791" s="104"/>
      <c r="J2791" s="104"/>
      <c r="K2791" s="104"/>
      <c r="L2791" s="104"/>
      <c r="M2791" s="104"/>
      <c r="N2791" s="104"/>
      <c r="O2791" s="104"/>
      <c r="P2791" s="104"/>
      <c r="Q2791" s="104"/>
      <c r="R2791" s="104"/>
      <c r="S2791" s="104"/>
    </row>
    <row r="2792" spans="4:19">
      <c r="D2792" s="104"/>
      <c r="E2792" s="104"/>
      <c r="F2792" s="104"/>
      <c r="G2792" s="104"/>
      <c r="H2792" s="104"/>
      <c r="I2792" s="104"/>
      <c r="J2792" s="104"/>
      <c r="K2792" s="104"/>
      <c r="L2792" s="104"/>
      <c r="M2792" s="104"/>
      <c r="N2792" s="104"/>
      <c r="O2792" s="104"/>
      <c r="P2792" s="104"/>
      <c r="Q2792" s="104"/>
      <c r="R2792" s="104"/>
      <c r="S2792" s="104"/>
    </row>
    <row r="2793" spans="4:19">
      <c r="D2793" s="104"/>
      <c r="E2793" s="104"/>
      <c r="F2793" s="104"/>
      <c r="G2793" s="104"/>
      <c r="H2793" s="104"/>
      <c r="I2793" s="104"/>
      <c r="J2793" s="104"/>
      <c r="K2793" s="104"/>
      <c r="L2793" s="104"/>
      <c r="M2793" s="104"/>
      <c r="N2793" s="104"/>
      <c r="O2793" s="104"/>
      <c r="P2793" s="104"/>
      <c r="Q2793" s="104"/>
      <c r="R2793" s="104"/>
      <c r="S2793" s="104"/>
    </row>
    <row r="2794" spans="4:19">
      <c r="D2794" s="104"/>
      <c r="E2794" s="104"/>
      <c r="F2794" s="104"/>
      <c r="G2794" s="104"/>
      <c r="H2794" s="104"/>
      <c r="I2794" s="104"/>
      <c r="J2794" s="104"/>
      <c r="K2794" s="104"/>
      <c r="L2794" s="104"/>
      <c r="M2794" s="104"/>
      <c r="N2794" s="104"/>
      <c r="O2794" s="104"/>
      <c r="P2794" s="104"/>
      <c r="Q2794" s="104"/>
      <c r="R2794" s="104"/>
      <c r="S2794" s="104"/>
    </row>
    <row r="2795" spans="4:19">
      <c r="D2795" s="104"/>
      <c r="E2795" s="104"/>
      <c r="F2795" s="104"/>
      <c r="G2795" s="104"/>
      <c r="H2795" s="104"/>
      <c r="I2795" s="104"/>
      <c r="J2795" s="104"/>
      <c r="K2795" s="104"/>
      <c r="L2795" s="104"/>
      <c r="M2795" s="104"/>
      <c r="N2795" s="104"/>
      <c r="O2795" s="104"/>
      <c r="P2795" s="104"/>
      <c r="Q2795" s="104"/>
      <c r="R2795" s="104"/>
      <c r="S2795" s="104"/>
    </row>
    <row r="2796" spans="4:19">
      <c r="D2796" s="104"/>
      <c r="E2796" s="104"/>
      <c r="F2796" s="104"/>
      <c r="G2796" s="104"/>
      <c r="H2796" s="104"/>
      <c r="I2796" s="104"/>
      <c r="J2796" s="104"/>
      <c r="K2796" s="104"/>
      <c r="L2796" s="104"/>
      <c r="M2796" s="104"/>
      <c r="N2796" s="104"/>
      <c r="O2796" s="104"/>
      <c r="P2796" s="104"/>
      <c r="Q2796" s="104"/>
      <c r="R2796" s="104"/>
      <c r="S2796" s="104"/>
    </row>
    <row r="2797" spans="4:19">
      <c r="D2797" s="104"/>
      <c r="E2797" s="104"/>
      <c r="F2797" s="104"/>
      <c r="G2797" s="104"/>
      <c r="H2797" s="104"/>
      <c r="I2797" s="104"/>
      <c r="J2797" s="104"/>
      <c r="K2797" s="104"/>
      <c r="L2797" s="104"/>
      <c r="M2797" s="104"/>
      <c r="N2797" s="104"/>
      <c r="O2797" s="104"/>
      <c r="P2797" s="104"/>
      <c r="Q2797" s="104"/>
      <c r="R2797" s="104"/>
      <c r="S2797" s="104"/>
    </row>
    <row r="2798" spans="4:19">
      <c r="D2798" s="104"/>
      <c r="E2798" s="104"/>
      <c r="F2798" s="104"/>
      <c r="G2798" s="104"/>
      <c r="H2798" s="104"/>
      <c r="I2798" s="104"/>
      <c r="J2798" s="104"/>
      <c r="K2798" s="104"/>
      <c r="L2798" s="104"/>
      <c r="M2798" s="104"/>
      <c r="N2798" s="104"/>
      <c r="O2798" s="104"/>
      <c r="P2798" s="104"/>
      <c r="Q2798" s="104"/>
      <c r="R2798" s="104"/>
      <c r="S2798" s="104"/>
    </row>
    <row r="2799" spans="4:19">
      <c r="D2799" s="104"/>
      <c r="E2799" s="104"/>
      <c r="F2799" s="104"/>
      <c r="G2799" s="104"/>
      <c r="H2799" s="104"/>
      <c r="I2799" s="104"/>
      <c r="J2799" s="104"/>
      <c r="K2799" s="104"/>
      <c r="L2799" s="104"/>
      <c r="M2799" s="104"/>
      <c r="N2799" s="104"/>
      <c r="O2799" s="104"/>
      <c r="P2799" s="104"/>
      <c r="Q2799" s="104"/>
      <c r="R2799" s="104"/>
      <c r="S2799" s="104"/>
    </row>
    <row r="2800" spans="4:19">
      <c r="D2800" s="104"/>
      <c r="E2800" s="104"/>
      <c r="F2800" s="104"/>
      <c r="G2800" s="104"/>
      <c r="H2800" s="104"/>
      <c r="I2800" s="104"/>
      <c r="J2800" s="104"/>
      <c r="K2800" s="104"/>
      <c r="L2800" s="104"/>
      <c r="M2800" s="104"/>
      <c r="N2800" s="104"/>
      <c r="O2800" s="104"/>
      <c r="P2800" s="104"/>
      <c r="Q2800" s="104"/>
      <c r="R2800" s="104"/>
      <c r="S2800" s="104"/>
    </row>
    <row r="2801" spans="4:19">
      <c r="D2801" s="104"/>
      <c r="E2801" s="104"/>
      <c r="F2801" s="104"/>
      <c r="G2801" s="104"/>
      <c r="H2801" s="104"/>
      <c r="I2801" s="104"/>
      <c r="J2801" s="104"/>
      <c r="K2801" s="104"/>
      <c r="L2801" s="104"/>
      <c r="M2801" s="104"/>
      <c r="N2801" s="104"/>
      <c r="O2801" s="104"/>
      <c r="P2801" s="104"/>
      <c r="Q2801" s="104"/>
      <c r="R2801" s="104"/>
      <c r="S2801" s="104"/>
    </row>
    <row r="2802" spans="4:19">
      <c r="D2802" s="104"/>
      <c r="E2802" s="104"/>
      <c r="F2802" s="104"/>
      <c r="G2802" s="104"/>
      <c r="H2802" s="104"/>
      <c r="I2802" s="104"/>
      <c r="J2802" s="104"/>
      <c r="K2802" s="104"/>
      <c r="L2802" s="104"/>
      <c r="M2802" s="104"/>
      <c r="N2802" s="104"/>
      <c r="O2802" s="104"/>
      <c r="P2802" s="104"/>
      <c r="Q2802" s="104"/>
      <c r="R2802" s="104"/>
      <c r="S2802" s="104"/>
    </row>
    <row r="2803" spans="4:19">
      <c r="D2803" s="104"/>
      <c r="E2803" s="104"/>
      <c r="F2803" s="104"/>
      <c r="G2803" s="104"/>
      <c r="H2803" s="104"/>
      <c r="I2803" s="104"/>
      <c r="J2803" s="104"/>
      <c r="K2803" s="104"/>
      <c r="L2803" s="104"/>
      <c r="M2803" s="104"/>
      <c r="N2803" s="104"/>
      <c r="O2803" s="104"/>
      <c r="P2803" s="104"/>
      <c r="Q2803" s="104"/>
      <c r="R2803" s="104"/>
      <c r="S2803" s="104"/>
    </row>
    <row r="2804" spans="4:19">
      <c r="D2804" s="104"/>
      <c r="E2804" s="104"/>
      <c r="F2804" s="104"/>
      <c r="G2804" s="104"/>
      <c r="H2804" s="104"/>
      <c r="I2804" s="104"/>
      <c r="J2804" s="104"/>
      <c r="K2804" s="104"/>
      <c r="L2804" s="104"/>
      <c r="M2804" s="104"/>
      <c r="N2804" s="104"/>
      <c r="O2804" s="104"/>
      <c r="P2804" s="104"/>
      <c r="Q2804" s="104"/>
      <c r="R2804" s="104"/>
      <c r="S2804" s="104"/>
    </row>
    <row r="2805" spans="4:19">
      <c r="D2805" s="104"/>
      <c r="E2805" s="104"/>
      <c r="F2805" s="104"/>
      <c r="G2805" s="104"/>
      <c r="H2805" s="104"/>
      <c r="I2805" s="104"/>
      <c r="J2805" s="104"/>
      <c r="K2805" s="104"/>
      <c r="L2805" s="104"/>
      <c r="M2805" s="104"/>
      <c r="N2805" s="104"/>
      <c r="O2805" s="104"/>
      <c r="P2805" s="104"/>
      <c r="Q2805" s="104"/>
      <c r="R2805" s="104"/>
      <c r="S2805" s="104"/>
    </row>
    <row r="2806" spans="4:19">
      <c r="D2806" s="104"/>
      <c r="E2806" s="104"/>
      <c r="F2806" s="104"/>
      <c r="G2806" s="104"/>
      <c r="H2806" s="104"/>
      <c r="I2806" s="104"/>
      <c r="J2806" s="104"/>
      <c r="K2806" s="104"/>
      <c r="L2806" s="104"/>
      <c r="M2806" s="104"/>
      <c r="N2806" s="104"/>
      <c r="O2806" s="104"/>
      <c r="P2806" s="104"/>
      <c r="Q2806" s="104"/>
      <c r="R2806" s="104"/>
      <c r="S2806" s="104"/>
    </row>
    <row r="2807" spans="4:19">
      <c r="D2807" s="104"/>
      <c r="E2807" s="104"/>
      <c r="F2807" s="104"/>
      <c r="G2807" s="104"/>
      <c r="H2807" s="104"/>
      <c r="I2807" s="104"/>
      <c r="J2807" s="104"/>
      <c r="K2807" s="104"/>
      <c r="L2807" s="104"/>
      <c r="M2807" s="104"/>
      <c r="N2807" s="104"/>
      <c r="O2807" s="104"/>
      <c r="P2807" s="104"/>
      <c r="Q2807" s="104"/>
      <c r="R2807" s="104"/>
      <c r="S2807" s="104"/>
    </row>
    <row r="2808" spans="4:19">
      <c r="D2808" s="104"/>
      <c r="E2808" s="104"/>
      <c r="F2808" s="104"/>
      <c r="G2808" s="104"/>
      <c r="H2808" s="104"/>
      <c r="I2808" s="104"/>
      <c r="J2808" s="104"/>
      <c r="K2808" s="104"/>
      <c r="L2808" s="104"/>
      <c r="M2808" s="104"/>
      <c r="N2808" s="104"/>
      <c r="O2808" s="104"/>
      <c r="P2808" s="104"/>
      <c r="Q2808" s="104"/>
      <c r="R2808" s="104"/>
      <c r="S2808" s="104"/>
    </row>
    <row r="2809" spans="4:19">
      <c r="D2809" s="104"/>
      <c r="E2809" s="104"/>
      <c r="F2809" s="104"/>
      <c r="G2809" s="104"/>
      <c r="H2809" s="104"/>
      <c r="I2809" s="104"/>
      <c r="J2809" s="104"/>
      <c r="K2809" s="104"/>
      <c r="L2809" s="104"/>
      <c r="M2809" s="104"/>
      <c r="N2809" s="104"/>
      <c r="O2809" s="104"/>
      <c r="P2809" s="104"/>
      <c r="Q2809" s="104"/>
      <c r="R2809" s="104"/>
      <c r="S2809" s="104"/>
    </row>
    <row r="2810" spans="4:19">
      <c r="D2810" s="104"/>
      <c r="E2810" s="104"/>
      <c r="F2810" s="104"/>
      <c r="G2810" s="104"/>
      <c r="H2810" s="104"/>
      <c r="I2810" s="104"/>
      <c r="J2810" s="104"/>
      <c r="K2810" s="104"/>
      <c r="L2810" s="104"/>
      <c r="M2810" s="104"/>
      <c r="N2810" s="104"/>
      <c r="O2810" s="104"/>
      <c r="P2810" s="104"/>
      <c r="Q2810" s="104"/>
      <c r="R2810" s="104"/>
      <c r="S2810" s="104"/>
    </row>
    <row r="2811" spans="4:19">
      <c r="D2811" s="104"/>
      <c r="E2811" s="104"/>
      <c r="F2811" s="104"/>
      <c r="G2811" s="104"/>
      <c r="H2811" s="104"/>
      <c r="I2811" s="104"/>
      <c r="J2811" s="104"/>
      <c r="K2811" s="104"/>
      <c r="L2811" s="104"/>
      <c r="M2811" s="104"/>
      <c r="N2811" s="104"/>
      <c r="O2811" s="104"/>
      <c r="P2811" s="104"/>
      <c r="Q2811" s="104"/>
      <c r="R2811" s="104"/>
      <c r="S2811" s="104"/>
    </row>
    <row r="2812" spans="4:19">
      <c r="D2812" s="104"/>
      <c r="E2812" s="104"/>
      <c r="F2812" s="104"/>
      <c r="G2812" s="104"/>
      <c r="H2812" s="104"/>
      <c r="I2812" s="104"/>
      <c r="J2812" s="104"/>
      <c r="K2812" s="104"/>
      <c r="L2812" s="104"/>
      <c r="M2812" s="104"/>
      <c r="N2812" s="104"/>
      <c r="O2812" s="104"/>
      <c r="P2812" s="104"/>
      <c r="Q2812" s="104"/>
      <c r="R2812" s="104"/>
      <c r="S2812" s="104"/>
    </row>
    <row r="2813" spans="4:19">
      <c r="D2813" s="104"/>
      <c r="E2813" s="104"/>
      <c r="F2813" s="104"/>
      <c r="G2813" s="104"/>
      <c r="H2813" s="104"/>
      <c r="I2813" s="104"/>
      <c r="J2813" s="104"/>
      <c r="K2813" s="104"/>
      <c r="L2813" s="104"/>
      <c r="M2813" s="104"/>
      <c r="N2813" s="104"/>
      <c r="O2813" s="104"/>
      <c r="P2813" s="104"/>
      <c r="Q2813" s="104"/>
      <c r="R2813" s="104"/>
      <c r="S2813" s="104"/>
    </row>
    <row r="2814" spans="4:19">
      <c r="D2814" s="104"/>
      <c r="E2814" s="104"/>
      <c r="F2814" s="104"/>
      <c r="G2814" s="104"/>
      <c r="H2814" s="104"/>
      <c r="I2814" s="104"/>
      <c r="J2814" s="104"/>
      <c r="K2814" s="104"/>
      <c r="L2814" s="104"/>
      <c r="M2814" s="104"/>
      <c r="N2814" s="104"/>
      <c r="O2814" s="104"/>
      <c r="P2814" s="104"/>
      <c r="Q2814" s="104"/>
      <c r="R2814" s="104"/>
      <c r="S2814" s="104"/>
    </row>
    <row r="2815" spans="4:19">
      <c r="D2815" s="104"/>
      <c r="E2815" s="104"/>
      <c r="F2815" s="104"/>
      <c r="G2815" s="104"/>
      <c r="H2815" s="104"/>
      <c r="I2815" s="104"/>
      <c r="J2815" s="104"/>
      <c r="K2815" s="104"/>
      <c r="L2815" s="104"/>
      <c r="M2815" s="104"/>
      <c r="N2815" s="104"/>
      <c r="O2815" s="104"/>
      <c r="P2815" s="104"/>
      <c r="Q2815" s="104"/>
      <c r="R2815" s="104"/>
      <c r="S2815" s="104"/>
    </row>
    <row r="2816" spans="4:19">
      <c r="D2816" s="104"/>
      <c r="E2816" s="104"/>
      <c r="F2816" s="104"/>
      <c r="G2816" s="104"/>
      <c r="H2816" s="104"/>
      <c r="I2816" s="104"/>
      <c r="J2816" s="104"/>
      <c r="K2816" s="104"/>
      <c r="L2816" s="104"/>
      <c r="M2816" s="104"/>
      <c r="N2816" s="104"/>
      <c r="O2816" s="104"/>
      <c r="P2816" s="104"/>
      <c r="Q2816" s="104"/>
      <c r="R2816" s="104"/>
      <c r="S2816" s="104"/>
    </row>
    <row r="2817" spans="4:19">
      <c r="D2817" s="104"/>
      <c r="E2817" s="104"/>
      <c r="F2817" s="104"/>
      <c r="G2817" s="104"/>
      <c r="H2817" s="104"/>
      <c r="I2817" s="104"/>
      <c r="J2817" s="104"/>
      <c r="K2817" s="104"/>
      <c r="L2817" s="104"/>
      <c r="M2817" s="104"/>
      <c r="N2817" s="104"/>
      <c r="O2817" s="104"/>
      <c r="P2817" s="104"/>
      <c r="Q2817" s="104"/>
      <c r="R2817" s="104"/>
      <c r="S2817" s="104"/>
    </row>
    <row r="2818" spans="4:19">
      <c r="D2818" s="104"/>
      <c r="E2818" s="104"/>
      <c r="F2818" s="104"/>
      <c r="G2818" s="104"/>
      <c r="H2818" s="104"/>
      <c r="I2818" s="104"/>
      <c r="J2818" s="104"/>
      <c r="K2818" s="104"/>
      <c r="L2818" s="104"/>
      <c r="M2818" s="104"/>
      <c r="N2818" s="104"/>
      <c r="O2818" s="104"/>
      <c r="P2818" s="104"/>
      <c r="Q2818" s="104"/>
      <c r="R2818" s="104"/>
      <c r="S2818" s="104"/>
    </row>
    <row r="2819" spans="4:19">
      <c r="D2819" s="104"/>
      <c r="E2819" s="104"/>
      <c r="F2819" s="104"/>
      <c r="G2819" s="104"/>
      <c r="H2819" s="104"/>
      <c r="I2819" s="104"/>
      <c r="J2819" s="104"/>
      <c r="K2819" s="104"/>
      <c r="L2819" s="104"/>
      <c r="M2819" s="104"/>
      <c r="N2819" s="104"/>
      <c r="O2819" s="104"/>
      <c r="P2819" s="104"/>
      <c r="Q2819" s="104"/>
      <c r="R2819" s="104"/>
      <c r="S2819" s="104"/>
    </row>
    <row r="2820" spans="4:19">
      <c r="D2820" s="104"/>
      <c r="E2820" s="104"/>
      <c r="F2820" s="104"/>
      <c r="G2820" s="104"/>
      <c r="H2820" s="104"/>
      <c r="I2820" s="104"/>
      <c r="J2820" s="104"/>
      <c r="K2820" s="104"/>
      <c r="L2820" s="104"/>
      <c r="M2820" s="104"/>
      <c r="N2820" s="104"/>
      <c r="O2820" s="104"/>
      <c r="P2820" s="104"/>
      <c r="Q2820" s="104"/>
      <c r="R2820" s="104"/>
      <c r="S2820" s="104"/>
    </row>
    <row r="2821" spans="4:19">
      <c r="D2821" s="104"/>
      <c r="E2821" s="104"/>
      <c r="F2821" s="104"/>
      <c r="G2821" s="104"/>
      <c r="H2821" s="104"/>
      <c r="I2821" s="104"/>
      <c r="J2821" s="104"/>
      <c r="K2821" s="104"/>
      <c r="L2821" s="104"/>
      <c r="M2821" s="104"/>
      <c r="N2821" s="104"/>
      <c r="O2821" s="104"/>
      <c r="P2821" s="104"/>
      <c r="Q2821" s="104"/>
      <c r="R2821" s="104"/>
      <c r="S2821" s="104"/>
    </row>
    <row r="2822" spans="4:19">
      <c r="D2822" s="104"/>
      <c r="E2822" s="104"/>
      <c r="F2822" s="104"/>
      <c r="G2822" s="104"/>
      <c r="H2822" s="104"/>
      <c r="I2822" s="104"/>
      <c r="J2822" s="104"/>
      <c r="K2822" s="104"/>
      <c r="L2822" s="104"/>
      <c r="M2822" s="104"/>
      <c r="N2822" s="104"/>
      <c r="O2822" s="104"/>
      <c r="P2822" s="104"/>
      <c r="Q2822" s="104"/>
      <c r="R2822" s="104"/>
      <c r="S2822" s="104"/>
    </row>
    <row r="2823" spans="4:19">
      <c r="D2823" s="104"/>
      <c r="E2823" s="104"/>
      <c r="F2823" s="104"/>
      <c r="G2823" s="104"/>
      <c r="H2823" s="104"/>
      <c r="I2823" s="104"/>
      <c r="J2823" s="104"/>
      <c r="K2823" s="104"/>
      <c r="L2823" s="104"/>
      <c r="M2823" s="104"/>
      <c r="N2823" s="104"/>
      <c r="O2823" s="104"/>
      <c r="P2823" s="104"/>
      <c r="Q2823" s="104"/>
      <c r="R2823" s="104"/>
      <c r="S2823" s="104"/>
    </row>
    <row r="2824" spans="4:19">
      <c r="D2824" s="104"/>
      <c r="E2824" s="104"/>
      <c r="F2824" s="104"/>
      <c r="G2824" s="104"/>
      <c r="H2824" s="104"/>
      <c r="I2824" s="104"/>
      <c r="J2824" s="104"/>
      <c r="K2824" s="104"/>
      <c r="L2824" s="104"/>
      <c r="M2824" s="104"/>
      <c r="N2824" s="104"/>
      <c r="O2824" s="104"/>
      <c r="P2824" s="104"/>
      <c r="Q2824" s="104"/>
      <c r="R2824" s="104"/>
      <c r="S2824" s="104"/>
    </row>
    <row r="2825" spans="4:19">
      <c r="D2825" s="104"/>
      <c r="E2825" s="104"/>
      <c r="F2825" s="104"/>
      <c r="G2825" s="104"/>
      <c r="H2825" s="104"/>
      <c r="I2825" s="104"/>
      <c r="J2825" s="104"/>
      <c r="K2825" s="104"/>
      <c r="L2825" s="104"/>
      <c r="M2825" s="104"/>
      <c r="N2825" s="104"/>
      <c r="O2825" s="104"/>
      <c r="P2825" s="104"/>
      <c r="Q2825" s="104"/>
      <c r="R2825" s="104"/>
      <c r="S2825" s="104"/>
    </row>
    <row r="2826" spans="4:19">
      <c r="D2826" s="104"/>
      <c r="E2826" s="104"/>
      <c r="F2826" s="104"/>
      <c r="G2826" s="104"/>
      <c r="H2826" s="104"/>
      <c r="I2826" s="104"/>
      <c r="J2826" s="104"/>
      <c r="K2826" s="104"/>
      <c r="L2826" s="104"/>
      <c r="M2826" s="104"/>
      <c r="N2826" s="104"/>
      <c r="O2826" s="104"/>
      <c r="P2826" s="104"/>
      <c r="Q2826" s="104"/>
      <c r="R2826" s="104"/>
      <c r="S2826" s="104"/>
    </row>
    <row r="2827" spans="4:19">
      <c r="D2827" s="104"/>
      <c r="E2827" s="104"/>
      <c r="F2827" s="104"/>
      <c r="G2827" s="104"/>
      <c r="H2827" s="104"/>
      <c r="I2827" s="104"/>
      <c r="J2827" s="104"/>
      <c r="K2827" s="104"/>
      <c r="L2827" s="104"/>
      <c r="M2827" s="104"/>
      <c r="N2827" s="104"/>
      <c r="O2827" s="104"/>
      <c r="P2827" s="104"/>
      <c r="Q2827" s="104"/>
      <c r="R2827" s="104"/>
      <c r="S2827" s="104"/>
    </row>
    <row r="2828" spans="4:19">
      <c r="D2828" s="104"/>
      <c r="E2828" s="104"/>
      <c r="F2828" s="104"/>
      <c r="G2828" s="104"/>
      <c r="H2828" s="104"/>
      <c r="I2828" s="104"/>
      <c r="J2828" s="104"/>
      <c r="K2828" s="104"/>
      <c r="L2828" s="104"/>
      <c r="M2828" s="104"/>
      <c r="N2828" s="104"/>
      <c r="O2828" s="104"/>
      <c r="P2828" s="104"/>
      <c r="Q2828" s="104"/>
      <c r="R2828" s="104"/>
      <c r="S2828" s="104"/>
    </row>
    <row r="2829" spans="4:19">
      <c r="D2829" s="104"/>
      <c r="E2829" s="104"/>
      <c r="F2829" s="104"/>
      <c r="G2829" s="104"/>
      <c r="H2829" s="104"/>
      <c r="I2829" s="104"/>
      <c r="J2829" s="104"/>
      <c r="K2829" s="104"/>
      <c r="L2829" s="104"/>
      <c r="M2829" s="104"/>
      <c r="N2829" s="104"/>
      <c r="O2829" s="104"/>
      <c r="P2829" s="104"/>
      <c r="Q2829" s="104"/>
      <c r="R2829" s="104"/>
      <c r="S2829" s="104"/>
    </row>
    <row r="2830" spans="4:19">
      <c r="D2830" s="104"/>
      <c r="E2830" s="104"/>
      <c r="F2830" s="104"/>
      <c r="G2830" s="104"/>
      <c r="H2830" s="104"/>
      <c r="I2830" s="104"/>
      <c r="J2830" s="104"/>
      <c r="K2830" s="104"/>
      <c r="L2830" s="104"/>
      <c r="M2830" s="104"/>
      <c r="N2830" s="104"/>
      <c r="O2830" s="104"/>
      <c r="P2830" s="104"/>
      <c r="Q2830" s="104"/>
      <c r="R2830" s="104"/>
      <c r="S2830" s="104"/>
    </row>
    <row r="2831" spans="4:19">
      <c r="D2831" s="104"/>
      <c r="E2831" s="104"/>
      <c r="F2831" s="104"/>
      <c r="G2831" s="104"/>
      <c r="H2831" s="104"/>
      <c r="I2831" s="104"/>
      <c r="J2831" s="104"/>
      <c r="K2831" s="104"/>
      <c r="L2831" s="104"/>
      <c r="M2831" s="104"/>
      <c r="N2831" s="104"/>
      <c r="O2831" s="104"/>
      <c r="P2831" s="104"/>
      <c r="Q2831" s="104"/>
      <c r="R2831" s="104"/>
      <c r="S2831" s="104"/>
    </row>
    <row r="2832" spans="4:19">
      <c r="D2832" s="104"/>
      <c r="E2832" s="104"/>
      <c r="F2832" s="104"/>
      <c r="G2832" s="104"/>
      <c r="H2832" s="104"/>
      <c r="I2832" s="104"/>
      <c r="J2832" s="104"/>
      <c r="K2832" s="104"/>
      <c r="L2832" s="104"/>
      <c r="M2832" s="104"/>
      <c r="N2832" s="104"/>
      <c r="O2832" s="104"/>
      <c r="P2832" s="104"/>
      <c r="Q2832" s="104"/>
      <c r="R2832" s="104"/>
      <c r="S2832" s="104"/>
    </row>
    <row r="2833" spans="4:19">
      <c r="D2833" s="104"/>
      <c r="E2833" s="104"/>
      <c r="F2833" s="104"/>
      <c r="G2833" s="104"/>
      <c r="H2833" s="104"/>
      <c r="I2833" s="104"/>
      <c r="J2833" s="104"/>
      <c r="K2833" s="104"/>
      <c r="L2833" s="104"/>
      <c r="M2833" s="104"/>
      <c r="N2833" s="104"/>
      <c r="O2833" s="104"/>
      <c r="P2833" s="104"/>
      <c r="Q2833" s="104"/>
      <c r="R2833" s="104"/>
      <c r="S2833" s="104"/>
    </row>
    <row r="2834" spans="4:19">
      <c r="D2834" s="104"/>
      <c r="E2834" s="104"/>
      <c r="F2834" s="104"/>
      <c r="G2834" s="104"/>
      <c r="H2834" s="104"/>
      <c r="I2834" s="104"/>
      <c r="J2834" s="104"/>
      <c r="K2834" s="104"/>
      <c r="L2834" s="104"/>
      <c r="M2834" s="104"/>
      <c r="N2834" s="104"/>
      <c r="O2834" s="104"/>
      <c r="P2834" s="104"/>
      <c r="Q2834" s="104"/>
      <c r="R2834" s="104"/>
      <c r="S2834" s="104"/>
    </row>
    <row r="2835" spans="4:19">
      <c r="D2835" s="104"/>
      <c r="E2835" s="104"/>
      <c r="F2835" s="104"/>
      <c r="G2835" s="104"/>
      <c r="H2835" s="104"/>
      <c r="I2835" s="104"/>
      <c r="J2835" s="104"/>
      <c r="K2835" s="104"/>
      <c r="L2835" s="104"/>
      <c r="M2835" s="104"/>
      <c r="N2835" s="104"/>
      <c r="O2835" s="104"/>
      <c r="P2835" s="104"/>
      <c r="Q2835" s="104"/>
      <c r="R2835" s="104"/>
      <c r="S2835" s="104"/>
    </row>
    <row r="2836" spans="4:19">
      <c r="D2836" s="104"/>
      <c r="E2836" s="104"/>
      <c r="F2836" s="104"/>
      <c r="G2836" s="104"/>
      <c r="H2836" s="104"/>
      <c r="I2836" s="104"/>
      <c r="J2836" s="104"/>
      <c r="K2836" s="104"/>
      <c r="L2836" s="104"/>
      <c r="M2836" s="104"/>
      <c r="N2836" s="104"/>
      <c r="O2836" s="104"/>
      <c r="P2836" s="104"/>
      <c r="Q2836" s="104"/>
      <c r="R2836" s="104"/>
      <c r="S2836" s="104"/>
    </row>
    <row r="2837" spans="4:19">
      <c r="D2837" s="104"/>
      <c r="E2837" s="104"/>
      <c r="F2837" s="104"/>
      <c r="G2837" s="104"/>
      <c r="H2837" s="104"/>
      <c r="I2837" s="104"/>
      <c r="J2837" s="104"/>
      <c r="K2837" s="104"/>
      <c r="L2837" s="104"/>
      <c r="M2837" s="104"/>
      <c r="N2837" s="104"/>
      <c r="O2837" s="104"/>
      <c r="P2837" s="104"/>
      <c r="Q2837" s="104"/>
      <c r="R2837" s="104"/>
      <c r="S2837" s="104"/>
    </row>
    <row r="2838" spans="4:19">
      <c r="D2838" s="104"/>
      <c r="E2838" s="104"/>
      <c r="F2838" s="104"/>
      <c r="G2838" s="104"/>
      <c r="H2838" s="104"/>
      <c r="I2838" s="104"/>
      <c r="J2838" s="104"/>
      <c r="K2838" s="104"/>
      <c r="L2838" s="104"/>
      <c r="M2838" s="104"/>
      <c r="N2838" s="104"/>
      <c r="O2838" s="104"/>
      <c r="P2838" s="104"/>
      <c r="Q2838" s="104"/>
      <c r="R2838" s="104"/>
      <c r="S2838" s="104"/>
    </row>
    <row r="2839" spans="4:19">
      <c r="D2839" s="104"/>
      <c r="E2839" s="104"/>
      <c r="F2839" s="104"/>
      <c r="G2839" s="104"/>
      <c r="H2839" s="104"/>
      <c r="I2839" s="104"/>
      <c r="J2839" s="104"/>
      <c r="K2839" s="104"/>
      <c r="L2839" s="104"/>
      <c r="M2839" s="104"/>
      <c r="N2839" s="104"/>
      <c r="O2839" s="104"/>
      <c r="P2839" s="104"/>
      <c r="Q2839" s="104"/>
      <c r="R2839" s="104"/>
      <c r="S2839" s="104"/>
    </row>
    <row r="2840" spans="4:19">
      <c r="D2840" s="104"/>
      <c r="E2840" s="104"/>
      <c r="F2840" s="104"/>
      <c r="G2840" s="104"/>
      <c r="H2840" s="104"/>
      <c r="I2840" s="104"/>
      <c r="J2840" s="104"/>
      <c r="K2840" s="104"/>
      <c r="L2840" s="104"/>
      <c r="M2840" s="104"/>
      <c r="N2840" s="104"/>
      <c r="O2840" s="104"/>
      <c r="P2840" s="104"/>
      <c r="Q2840" s="104"/>
      <c r="R2840" s="104"/>
      <c r="S2840" s="104"/>
    </row>
    <row r="2841" spans="4:19">
      <c r="D2841" s="104"/>
      <c r="E2841" s="104"/>
      <c r="F2841" s="104"/>
      <c r="G2841" s="104"/>
      <c r="H2841" s="104"/>
      <c r="I2841" s="104"/>
      <c r="J2841" s="104"/>
      <c r="K2841" s="104"/>
      <c r="L2841" s="104"/>
      <c r="M2841" s="104"/>
      <c r="N2841" s="104"/>
      <c r="O2841" s="104"/>
      <c r="P2841" s="104"/>
      <c r="Q2841" s="104"/>
      <c r="R2841" s="104"/>
      <c r="S2841" s="104"/>
    </row>
    <row r="2842" spans="4:19">
      <c r="D2842" s="104"/>
      <c r="E2842" s="104"/>
      <c r="F2842" s="104"/>
      <c r="G2842" s="104"/>
      <c r="H2842" s="104"/>
      <c r="I2842" s="104"/>
      <c r="J2842" s="104"/>
      <c r="K2842" s="104"/>
      <c r="L2842" s="104"/>
      <c r="M2842" s="104"/>
      <c r="N2842" s="104"/>
      <c r="O2842" s="104"/>
      <c r="P2842" s="104"/>
      <c r="Q2842" s="104"/>
      <c r="R2842" s="104"/>
      <c r="S2842" s="104"/>
    </row>
    <row r="2843" spans="4:19">
      <c r="D2843" s="104"/>
      <c r="E2843" s="104"/>
      <c r="F2843" s="104"/>
      <c r="G2843" s="104"/>
      <c r="H2843" s="104"/>
      <c r="I2843" s="104"/>
      <c r="J2843" s="104"/>
      <c r="K2843" s="104"/>
      <c r="L2843" s="104"/>
      <c r="M2843" s="104"/>
      <c r="N2843" s="104"/>
      <c r="O2843" s="104"/>
      <c r="P2843" s="104"/>
      <c r="Q2843" s="104"/>
      <c r="R2843" s="104"/>
      <c r="S2843" s="104"/>
    </row>
    <row r="2844" spans="4:19">
      <c r="D2844" s="104"/>
      <c r="E2844" s="104"/>
      <c r="F2844" s="104"/>
      <c r="G2844" s="104"/>
      <c r="H2844" s="104"/>
      <c r="I2844" s="104"/>
      <c r="J2844" s="104"/>
      <c r="K2844" s="104"/>
      <c r="L2844" s="104"/>
      <c r="M2844" s="104"/>
      <c r="N2844" s="104"/>
      <c r="O2844" s="104"/>
      <c r="P2844" s="104"/>
      <c r="Q2844" s="104"/>
      <c r="R2844" s="104"/>
      <c r="S2844" s="104"/>
    </row>
    <row r="2845" spans="4:19">
      <c r="D2845" s="104"/>
      <c r="E2845" s="104"/>
      <c r="F2845" s="104"/>
      <c r="G2845" s="104"/>
      <c r="H2845" s="104"/>
      <c r="I2845" s="104"/>
      <c r="J2845" s="104"/>
      <c r="K2845" s="104"/>
      <c r="L2845" s="104"/>
      <c r="M2845" s="104"/>
      <c r="N2845" s="104"/>
      <c r="O2845" s="104"/>
      <c r="P2845" s="104"/>
      <c r="Q2845" s="104"/>
      <c r="R2845" s="104"/>
      <c r="S2845" s="104"/>
    </row>
    <row r="2846" spans="4:19">
      <c r="D2846" s="104"/>
      <c r="E2846" s="104"/>
      <c r="F2846" s="104"/>
      <c r="G2846" s="104"/>
      <c r="H2846" s="104"/>
      <c r="I2846" s="104"/>
      <c r="J2846" s="104"/>
      <c r="K2846" s="104"/>
      <c r="L2846" s="104"/>
      <c r="M2846" s="104"/>
      <c r="N2846" s="104"/>
      <c r="O2846" s="104"/>
      <c r="P2846" s="104"/>
      <c r="Q2846" s="104"/>
      <c r="R2846" s="104"/>
      <c r="S2846" s="104"/>
    </row>
    <row r="2847" spans="4:19">
      <c r="D2847" s="104"/>
      <c r="E2847" s="104"/>
      <c r="F2847" s="104"/>
      <c r="G2847" s="104"/>
      <c r="H2847" s="104"/>
      <c r="I2847" s="104"/>
      <c r="J2847" s="104"/>
      <c r="K2847" s="104"/>
      <c r="L2847" s="104"/>
      <c r="M2847" s="104"/>
      <c r="N2847" s="104"/>
      <c r="O2847" s="104"/>
      <c r="P2847" s="104"/>
      <c r="Q2847" s="104"/>
      <c r="R2847" s="104"/>
      <c r="S2847" s="104"/>
    </row>
    <row r="2848" spans="4:19">
      <c r="D2848" s="104"/>
      <c r="E2848" s="104"/>
      <c r="F2848" s="104"/>
      <c r="G2848" s="104"/>
      <c r="H2848" s="104"/>
      <c r="I2848" s="104"/>
      <c r="J2848" s="104"/>
      <c r="K2848" s="104"/>
      <c r="L2848" s="104"/>
      <c r="M2848" s="104"/>
      <c r="N2848" s="104"/>
      <c r="O2848" s="104"/>
      <c r="P2848" s="104"/>
      <c r="Q2848" s="104"/>
      <c r="R2848" s="104"/>
      <c r="S2848" s="104"/>
    </row>
    <row r="2849" spans="4:19">
      <c r="D2849" s="104"/>
      <c r="E2849" s="104"/>
      <c r="F2849" s="104"/>
      <c r="G2849" s="104"/>
      <c r="H2849" s="104"/>
      <c r="I2849" s="104"/>
      <c r="J2849" s="104"/>
      <c r="K2849" s="104"/>
      <c r="L2849" s="104"/>
      <c r="M2849" s="104"/>
      <c r="N2849" s="104"/>
      <c r="O2849" s="104"/>
      <c r="P2849" s="104"/>
      <c r="Q2849" s="104"/>
      <c r="R2849" s="104"/>
      <c r="S2849" s="104"/>
    </row>
    <row r="2850" spans="4:19">
      <c r="D2850" s="104"/>
      <c r="E2850" s="104"/>
      <c r="F2850" s="104"/>
      <c r="G2850" s="104"/>
      <c r="H2850" s="104"/>
      <c r="I2850" s="104"/>
      <c r="J2850" s="104"/>
      <c r="K2850" s="104"/>
      <c r="L2850" s="104"/>
      <c r="M2850" s="104"/>
      <c r="N2850" s="104"/>
      <c r="O2850" s="104"/>
      <c r="P2850" s="104"/>
      <c r="Q2850" s="104"/>
      <c r="R2850" s="104"/>
      <c r="S2850" s="104"/>
    </row>
    <row r="2851" spans="4:19">
      <c r="D2851" s="104"/>
      <c r="E2851" s="104"/>
      <c r="F2851" s="104"/>
      <c r="G2851" s="104"/>
      <c r="H2851" s="104"/>
      <c r="I2851" s="104"/>
      <c r="J2851" s="104"/>
      <c r="K2851" s="104"/>
      <c r="L2851" s="104"/>
      <c r="M2851" s="104"/>
      <c r="N2851" s="104"/>
      <c r="O2851" s="104"/>
      <c r="P2851" s="104"/>
      <c r="Q2851" s="104"/>
      <c r="R2851" s="104"/>
      <c r="S2851" s="104"/>
    </row>
    <row r="2852" spans="4:19">
      <c r="D2852" s="104"/>
      <c r="E2852" s="104"/>
      <c r="F2852" s="104"/>
      <c r="G2852" s="104"/>
      <c r="H2852" s="104"/>
      <c r="I2852" s="104"/>
      <c r="J2852" s="104"/>
      <c r="K2852" s="104"/>
      <c r="L2852" s="104"/>
      <c r="M2852" s="104"/>
      <c r="N2852" s="104"/>
      <c r="O2852" s="104"/>
      <c r="P2852" s="104"/>
      <c r="Q2852" s="104"/>
      <c r="R2852" s="104"/>
      <c r="S2852" s="104"/>
    </row>
    <row r="2853" spans="4:19">
      <c r="D2853" s="104"/>
      <c r="E2853" s="104"/>
      <c r="F2853" s="104"/>
      <c r="G2853" s="104"/>
      <c r="H2853" s="104"/>
      <c r="I2853" s="104"/>
      <c r="J2853" s="104"/>
      <c r="K2853" s="104"/>
      <c r="L2853" s="104"/>
      <c r="M2853" s="104"/>
      <c r="N2853" s="104"/>
      <c r="O2853" s="104"/>
      <c r="P2853" s="104"/>
      <c r="Q2853" s="104"/>
      <c r="R2853" s="104"/>
      <c r="S2853" s="104"/>
    </row>
    <row r="2854" spans="4:19">
      <c r="D2854" s="104"/>
      <c r="E2854" s="104"/>
      <c r="F2854" s="104"/>
      <c r="G2854" s="104"/>
      <c r="H2854" s="104"/>
      <c r="I2854" s="104"/>
      <c r="J2854" s="104"/>
      <c r="K2854" s="104"/>
      <c r="L2854" s="104"/>
      <c r="M2854" s="104"/>
      <c r="N2854" s="104"/>
      <c r="O2854" s="104"/>
      <c r="P2854" s="104"/>
      <c r="Q2854" s="104"/>
      <c r="R2854" s="104"/>
      <c r="S2854" s="104"/>
    </row>
    <row r="2855" spans="4:19">
      <c r="D2855" s="104"/>
      <c r="E2855" s="104"/>
      <c r="F2855" s="104"/>
      <c r="G2855" s="104"/>
      <c r="H2855" s="104"/>
      <c r="I2855" s="104"/>
      <c r="J2855" s="104"/>
      <c r="K2855" s="104"/>
      <c r="L2855" s="104"/>
      <c r="M2855" s="104"/>
      <c r="N2855" s="104"/>
      <c r="O2855" s="104"/>
      <c r="P2855" s="104"/>
      <c r="Q2855" s="104"/>
      <c r="R2855" s="104"/>
      <c r="S2855" s="104"/>
    </row>
    <row r="2856" spans="4:19">
      <c r="D2856" s="104"/>
      <c r="E2856" s="104"/>
      <c r="F2856" s="104"/>
      <c r="G2856" s="104"/>
      <c r="H2856" s="104"/>
      <c r="I2856" s="104"/>
      <c r="J2856" s="104"/>
      <c r="K2856" s="104"/>
      <c r="L2856" s="104"/>
      <c r="M2856" s="104"/>
      <c r="N2856" s="104"/>
      <c r="O2856" s="104"/>
      <c r="P2856" s="104"/>
      <c r="Q2856" s="104"/>
      <c r="R2856" s="104"/>
      <c r="S2856" s="104"/>
    </row>
    <row r="2857" spans="4:19">
      <c r="D2857" s="104"/>
      <c r="E2857" s="104"/>
      <c r="F2857" s="104"/>
      <c r="G2857" s="104"/>
      <c r="H2857" s="104"/>
      <c r="I2857" s="104"/>
      <c r="J2857" s="104"/>
      <c r="K2857" s="104"/>
      <c r="L2857" s="104"/>
      <c r="M2857" s="104"/>
      <c r="N2857" s="104"/>
      <c r="O2857" s="104"/>
      <c r="P2857" s="104"/>
      <c r="Q2857" s="104"/>
      <c r="R2857" s="104"/>
      <c r="S2857" s="104"/>
    </row>
    <row r="2858" spans="4:19">
      <c r="D2858" s="104"/>
      <c r="E2858" s="104"/>
      <c r="F2858" s="104"/>
      <c r="G2858" s="104"/>
      <c r="H2858" s="104"/>
      <c r="I2858" s="104"/>
      <c r="J2858" s="104"/>
      <c r="K2858" s="104"/>
      <c r="L2858" s="104"/>
      <c r="M2858" s="104"/>
      <c r="N2858" s="104"/>
      <c r="O2858" s="104"/>
      <c r="P2858" s="104"/>
      <c r="Q2858" s="104"/>
      <c r="R2858" s="104"/>
      <c r="S2858" s="104"/>
    </row>
    <row r="2859" spans="4:19">
      <c r="D2859" s="104"/>
      <c r="E2859" s="104"/>
      <c r="F2859" s="104"/>
      <c r="G2859" s="104"/>
      <c r="H2859" s="104"/>
      <c r="I2859" s="104"/>
      <c r="J2859" s="104"/>
      <c r="K2859" s="104"/>
      <c r="L2859" s="104"/>
      <c r="M2859" s="104"/>
      <c r="N2859" s="104"/>
      <c r="O2859" s="104"/>
      <c r="P2859" s="104"/>
      <c r="Q2859" s="104"/>
      <c r="R2859" s="104"/>
      <c r="S2859" s="104"/>
    </row>
    <row r="2860" spans="4:19">
      <c r="D2860" s="104"/>
      <c r="E2860" s="104"/>
      <c r="F2860" s="104"/>
      <c r="G2860" s="104"/>
      <c r="H2860" s="104"/>
      <c r="I2860" s="104"/>
      <c r="J2860" s="104"/>
      <c r="K2860" s="104"/>
      <c r="L2860" s="104"/>
      <c r="M2860" s="104"/>
      <c r="N2860" s="104"/>
      <c r="O2860" s="104"/>
      <c r="P2860" s="104"/>
      <c r="Q2860" s="104"/>
      <c r="R2860" s="104"/>
      <c r="S2860" s="104"/>
    </row>
    <row r="2861" spans="4:19">
      <c r="D2861" s="104"/>
      <c r="E2861" s="104"/>
      <c r="F2861" s="104"/>
      <c r="G2861" s="104"/>
      <c r="H2861" s="104"/>
      <c r="I2861" s="104"/>
      <c r="J2861" s="104"/>
      <c r="K2861" s="104"/>
      <c r="L2861" s="104"/>
      <c r="M2861" s="104"/>
      <c r="N2861" s="104"/>
      <c r="O2861" s="104"/>
      <c r="P2861" s="104"/>
      <c r="Q2861" s="104"/>
      <c r="R2861" s="104"/>
      <c r="S2861" s="104"/>
    </row>
    <row r="2862" spans="4:19">
      <c r="D2862" s="104"/>
      <c r="E2862" s="104"/>
      <c r="F2862" s="104"/>
      <c r="G2862" s="104"/>
      <c r="H2862" s="104"/>
      <c r="I2862" s="104"/>
      <c r="J2862" s="104"/>
      <c r="K2862" s="104"/>
      <c r="L2862" s="104"/>
      <c r="M2862" s="104"/>
      <c r="N2862" s="104"/>
      <c r="O2862" s="104"/>
      <c r="P2862" s="104"/>
      <c r="Q2862" s="104"/>
      <c r="R2862" s="104"/>
      <c r="S2862" s="104"/>
    </row>
    <row r="2863" spans="4:19">
      <c r="D2863" s="104"/>
      <c r="E2863" s="104"/>
      <c r="F2863" s="104"/>
      <c r="G2863" s="104"/>
      <c r="H2863" s="104"/>
      <c r="I2863" s="104"/>
      <c r="J2863" s="104"/>
      <c r="K2863" s="104"/>
      <c r="L2863" s="104"/>
      <c r="M2863" s="104"/>
      <c r="N2863" s="104"/>
      <c r="O2863" s="104"/>
      <c r="P2863" s="104"/>
      <c r="Q2863" s="104"/>
      <c r="R2863" s="104"/>
      <c r="S2863" s="104"/>
    </row>
    <row r="2864" spans="4:19">
      <c r="D2864" s="104"/>
      <c r="E2864" s="104"/>
      <c r="F2864" s="104"/>
      <c r="G2864" s="104"/>
      <c r="H2864" s="104"/>
      <c r="I2864" s="104"/>
      <c r="J2864" s="104"/>
      <c r="K2864" s="104"/>
      <c r="L2864" s="104"/>
      <c r="M2864" s="104"/>
      <c r="N2864" s="104"/>
      <c r="O2864" s="104"/>
      <c r="P2864" s="104"/>
      <c r="Q2864" s="104"/>
      <c r="R2864" s="104"/>
      <c r="S2864" s="104"/>
    </row>
    <row r="2865" spans="4:19">
      <c r="D2865" s="104"/>
      <c r="E2865" s="104"/>
      <c r="F2865" s="104"/>
      <c r="G2865" s="104"/>
      <c r="H2865" s="104"/>
      <c r="I2865" s="104"/>
      <c r="J2865" s="104"/>
      <c r="K2865" s="104"/>
      <c r="L2865" s="104"/>
      <c r="M2865" s="104"/>
      <c r="N2865" s="104"/>
      <c r="O2865" s="104"/>
      <c r="P2865" s="104"/>
      <c r="Q2865" s="104"/>
      <c r="R2865" s="104"/>
      <c r="S2865" s="104"/>
    </row>
    <row r="2866" spans="4:19">
      <c r="D2866" s="104"/>
      <c r="E2866" s="104"/>
      <c r="F2866" s="104"/>
      <c r="G2866" s="104"/>
      <c r="H2866" s="104"/>
      <c r="I2866" s="104"/>
      <c r="J2866" s="104"/>
      <c r="K2866" s="104"/>
      <c r="L2866" s="104"/>
      <c r="M2866" s="104"/>
      <c r="N2866" s="104"/>
      <c r="O2866" s="104"/>
      <c r="P2866" s="104"/>
      <c r="Q2866" s="104"/>
      <c r="R2866" s="104"/>
      <c r="S2866" s="104"/>
    </row>
    <row r="2867" spans="4:19">
      <c r="D2867" s="104"/>
      <c r="E2867" s="104"/>
      <c r="F2867" s="104"/>
      <c r="G2867" s="104"/>
      <c r="H2867" s="104"/>
      <c r="I2867" s="104"/>
      <c r="J2867" s="104"/>
      <c r="K2867" s="104"/>
      <c r="L2867" s="104"/>
      <c r="M2867" s="104"/>
      <c r="N2867" s="104"/>
      <c r="O2867" s="104"/>
      <c r="P2867" s="104"/>
      <c r="Q2867" s="104"/>
      <c r="R2867" s="104"/>
      <c r="S2867" s="104"/>
    </row>
    <row r="2868" spans="4:19">
      <c r="D2868" s="104"/>
      <c r="E2868" s="104"/>
      <c r="F2868" s="104"/>
      <c r="G2868" s="104"/>
      <c r="H2868" s="104"/>
      <c r="I2868" s="104"/>
      <c r="J2868" s="104"/>
      <c r="K2868" s="104"/>
      <c r="L2868" s="104"/>
      <c r="M2868" s="104"/>
      <c r="N2868" s="104"/>
      <c r="O2868" s="104"/>
      <c r="P2868" s="104"/>
      <c r="Q2868" s="104"/>
      <c r="R2868" s="104"/>
      <c r="S2868" s="104"/>
    </row>
    <row r="2869" spans="4:19">
      <c r="D2869" s="104"/>
      <c r="E2869" s="104"/>
      <c r="F2869" s="104"/>
      <c r="G2869" s="104"/>
      <c r="H2869" s="104"/>
      <c r="I2869" s="104"/>
      <c r="J2869" s="104"/>
      <c r="K2869" s="104"/>
      <c r="L2869" s="104"/>
      <c r="M2869" s="104"/>
      <c r="N2869" s="104"/>
      <c r="O2869" s="104"/>
      <c r="P2869" s="104"/>
      <c r="Q2869" s="104"/>
      <c r="R2869" s="104"/>
      <c r="S2869" s="104"/>
    </row>
    <row r="2870" spans="4:19">
      <c r="D2870" s="104"/>
      <c r="E2870" s="104"/>
      <c r="F2870" s="104"/>
      <c r="G2870" s="104"/>
      <c r="H2870" s="104"/>
      <c r="I2870" s="104"/>
      <c r="J2870" s="104"/>
      <c r="K2870" s="104"/>
      <c r="L2870" s="104"/>
      <c r="M2870" s="104"/>
      <c r="N2870" s="104"/>
      <c r="O2870" s="104"/>
      <c r="P2870" s="104"/>
      <c r="Q2870" s="104"/>
      <c r="R2870" s="104"/>
      <c r="S2870" s="104"/>
    </row>
    <row r="2871" spans="4:19">
      <c r="D2871" s="104"/>
      <c r="E2871" s="104"/>
      <c r="F2871" s="104"/>
      <c r="G2871" s="104"/>
      <c r="H2871" s="104"/>
      <c r="I2871" s="104"/>
      <c r="J2871" s="104"/>
      <c r="K2871" s="104"/>
      <c r="L2871" s="104"/>
      <c r="M2871" s="104"/>
      <c r="N2871" s="104"/>
      <c r="O2871" s="104"/>
      <c r="P2871" s="104"/>
      <c r="Q2871" s="104"/>
      <c r="R2871" s="104"/>
      <c r="S2871" s="104"/>
    </row>
    <row r="2872" spans="4:19">
      <c r="D2872" s="104"/>
      <c r="E2872" s="104"/>
      <c r="F2872" s="104"/>
      <c r="G2872" s="104"/>
      <c r="H2872" s="104"/>
      <c r="I2872" s="104"/>
      <c r="J2872" s="104"/>
      <c r="K2872" s="104"/>
      <c r="L2872" s="104"/>
      <c r="M2872" s="104"/>
      <c r="N2872" s="104"/>
      <c r="O2872" s="104"/>
      <c r="P2872" s="104"/>
      <c r="Q2872" s="104"/>
      <c r="R2872" s="104"/>
      <c r="S2872" s="104"/>
    </row>
    <row r="2873" spans="4:19">
      <c r="D2873" s="104"/>
      <c r="E2873" s="104"/>
      <c r="F2873" s="104"/>
      <c r="G2873" s="104"/>
      <c r="H2873" s="104"/>
      <c r="I2873" s="104"/>
      <c r="J2873" s="104"/>
      <c r="K2873" s="104"/>
      <c r="L2873" s="104"/>
      <c r="M2873" s="104"/>
      <c r="N2873" s="104"/>
      <c r="O2873" s="104"/>
      <c r="P2873" s="104"/>
      <c r="Q2873" s="104"/>
      <c r="R2873" s="104"/>
      <c r="S2873" s="104"/>
    </row>
    <row r="2874" spans="4:19">
      <c r="D2874" s="104"/>
      <c r="E2874" s="104"/>
      <c r="F2874" s="104"/>
      <c r="G2874" s="104"/>
      <c r="H2874" s="104"/>
      <c r="I2874" s="104"/>
      <c r="J2874" s="104"/>
      <c r="K2874" s="104"/>
      <c r="L2874" s="104"/>
      <c r="M2874" s="104"/>
      <c r="N2874" s="104"/>
      <c r="O2874" s="104"/>
      <c r="P2874" s="104"/>
      <c r="Q2874" s="104"/>
      <c r="R2874" s="104"/>
      <c r="S2874" s="104"/>
    </row>
    <row r="2875" spans="4:19">
      <c r="D2875" s="104"/>
      <c r="E2875" s="104"/>
      <c r="F2875" s="104"/>
      <c r="G2875" s="104"/>
      <c r="H2875" s="104"/>
      <c r="I2875" s="104"/>
      <c r="J2875" s="104"/>
      <c r="K2875" s="104"/>
      <c r="L2875" s="104"/>
      <c r="M2875" s="104"/>
      <c r="N2875" s="104"/>
      <c r="O2875" s="104"/>
      <c r="P2875" s="104"/>
      <c r="Q2875" s="104"/>
      <c r="R2875" s="104"/>
      <c r="S2875" s="104"/>
    </row>
    <row r="2876" spans="4:19">
      <c r="D2876" s="104"/>
      <c r="E2876" s="104"/>
      <c r="F2876" s="104"/>
      <c r="G2876" s="104"/>
      <c r="H2876" s="104"/>
      <c r="I2876" s="104"/>
      <c r="J2876" s="104"/>
      <c r="K2876" s="104"/>
      <c r="L2876" s="104"/>
      <c r="M2876" s="104"/>
      <c r="N2876" s="104"/>
      <c r="O2876" s="104"/>
      <c r="P2876" s="104"/>
      <c r="Q2876" s="104"/>
      <c r="R2876" s="104"/>
      <c r="S2876" s="104"/>
    </row>
    <row r="2877" spans="4:19">
      <c r="D2877" s="104"/>
      <c r="E2877" s="104"/>
      <c r="F2877" s="104"/>
      <c r="G2877" s="104"/>
      <c r="H2877" s="104"/>
      <c r="I2877" s="104"/>
      <c r="J2877" s="104"/>
      <c r="K2877" s="104"/>
      <c r="L2877" s="104"/>
      <c r="M2877" s="104"/>
      <c r="N2877" s="104"/>
      <c r="O2877" s="104"/>
      <c r="P2877" s="104"/>
      <c r="Q2877" s="104"/>
      <c r="R2877" s="104"/>
      <c r="S2877" s="104"/>
    </row>
    <row r="2878" spans="4:19">
      <c r="D2878" s="104"/>
      <c r="E2878" s="104"/>
      <c r="F2878" s="104"/>
      <c r="G2878" s="104"/>
      <c r="H2878" s="104"/>
      <c r="I2878" s="104"/>
      <c r="J2878" s="104"/>
      <c r="K2878" s="104"/>
      <c r="L2878" s="104"/>
      <c r="M2878" s="104"/>
      <c r="N2878" s="104"/>
      <c r="O2878" s="104"/>
      <c r="P2878" s="104"/>
      <c r="Q2878" s="104"/>
      <c r="R2878" s="104"/>
      <c r="S2878" s="104"/>
    </row>
    <row r="2879" spans="4:19">
      <c r="D2879" s="104"/>
      <c r="E2879" s="104"/>
      <c r="F2879" s="104"/>
      <c r="G2879" s="104"/>
      <c r="H2879" s="104"/>
      <c r="I2879" s="104"/>
      <c r="J2879" s="104"/>
      <c r="K2879" s="104"/>
      <c r="L2879" s="104"/>
      <c r="M2879" s="104"/>
      <c r="N2879" s="104"/>
      <c r="O2879" s="104"/>
      <c r="P2879" s="104"/>
      <c r="Q2879" s="104"/>
      <c r="R2879" s="104"/>
      <c r="S2879" s="104"/>
    </row>
    <row r="2880" spans="4:19">
      <c r="D2880" s="104"/>
      <c r="E2880" s="104"/>
      <c r="F2880" s="104"/>
      <c r="G2880" s="104"/>
      <c r="H2880" s="104"/>
      <c r="I2880" s="104"/>
      <c r="J2880" s="104"/>
      <c r="K2880" s="104"/>
      <c r="L2880" s="104"/>
      <c r="M2880" s="104"/>
      <c r="N2880" s="104"/>
      <c r="O2880" s="104"/>
      <c r="P2880" s="104"/>
      <c r="Q2880" s="104"/>
      <c r="R2880" s="104"/>
      <c r="S2880" s="104"/>
    </row>
    <row r="2881" spans="4:19">
      <c r="D2881" s="104"/>
      <c r="E2881" s="104"/>
      <c r="F2881" s="104"/>
      <c r="G2881" s="104"/>
      <c r="H2881" s="104"/>
      <c r="I2881" s="104"/>
      <c r="J2881" s="104"/>
      <c r="K2881" s="104"/>
      <c r="L2881" s="104"/>
      <c r="M2881" s="104"/>
      <c r="N2881" s="104"/>
      <c r="O2881" s="104"/>
      <c r="P2881" s="104"/>
      <c r="Q2881" s="104"/>
      <c r="R2881" s="104"/>
      <c r="S2881" s="104"/>
    </row>
    <row r="2882" spans="4:19">
      <c r="D2882" s="104"/>
      <c r="E2882" s="104"/>
      <c r="F2882" s="104"/>
      <c r="G2882" s="104"/>
      <c r="H2882" s="104"/>
      <c r="I2882" s="104"/>
      <c r="J2882" s="104"/>
      <c r="K2882" s="104"/>
      <c r="L2882" s="104"/>
      <c r="M2882" s="104"/>
      <c r="N2882" s="104"/>
      <c r="O2882" s="104"/>
      <c r="P2882" s="104"/>
      <c r="Q2882" s="104"/>
      <c r="R2882" s="104"/>
      <c r="S2882" s="104"/>
    </row>
    <row r="2883" spans="4:19">
      <c r="D2883" s="104"/>
      <c r="E2883" s="104"/>
      <c r="F2883" s="104"/>
      <c r="G2883" s="104"/>
      <c r="H2883" s="104"/>
      <c r="I2883" s="104"/>
      <c r="J2883" s="104"/>
      <c r="K2883" s="104"/>
      <c r="L2883" s="104"/>
      <c r="M2883" s="104"/>
      <c r="N2883" s="104"/>
      <c r="O2883" s="104"/>
      <c r="P2883" s="104"/>
      <c r="Q2883" s="104"/>
      <c r="R2883" s="104"/>
      <c r="S2883" s="104"/>
    </row>
    <row r="2884" spans="4:19">
      <c r="D2884" s="104"/>
      <c r="E2884" s="104"/>
      <c r="F2884" s="104"/>
      <c r="G2884" s="104"/>
      <c r="H2884" s="104"/>
      <c r="I2884" s="104"/>
      <c r="J2884" s="104"/>
      <c r="K2884" s="104"/>
      <c r="L2884" s="104"/>
      <c r="M2884" s="104"/>
      <c r="N2884" s="104"/>
      <c r="O2884" s="104"/>
      <c r="P2884" s="104"/>
      <c r="Q2884" s="104"/>
      <c r="R2884" s="104"/>
      <c r="S2884" s="104"/>
    </row>
    <row r="2885" spans="4:19">
      <c r="D2885" s="104"/>
      <c r="E2885" s="104"/>
      <c r="F2885" s="104"/>
      <c r="G2885" s="104"/>
      <c r="H2885" s="104"/>
      <c r="I2885" s="104"/>
      <c r="J2885" s="104"/>
      <c r="K2885" s="104"/>
      <c r="L2885" s="104"/>
      <c r="M2885" s="104"/>
      <c r="N2885" s="104"/>
      <c r="O2885" s="104"/>
      <c r="P2885" s="104"/>
      <c r="Q2885" s="104"/>
      <c r="R2885" s="104"/>
      <c r="S2885" s="104"/>
    </row>
    <row r="2886" spans="4:19">
      <c r="D2886" s="104"/>
      <c r="E2886" s="104"/>
      <c r="F2886" s="104"/>
      <c r="G2886" s="104"/>
      <c r="H2886" s="104"/>
      <c r="I2886" s="104"/>
      <c r="J2886" s="104"/>
      <c r="K2886" s="104"/>
      <c r="L2886" s="104"/>
      <c r="M2886" s="104"/>
      <c r="N2886" s="104"/>
      <c r="O2886" s="104"/>
      <c r="P2886" s="104"/>
      <c r="Q2886" s="104"/>
      <c r="R2886" s="104"/>
      <c r="S2886" s="104"/>
    </row>
    <row r="2887" spans="4:19">
      <c r="D2887" s="104"/>
      <c r="E2887" s="104"/>
      <c r="F2887" s="104"/>
      <c r="G2887" s="104"/>
      <c r="H2887" s="104"/>
      <c r="I2887" s="104"/>
      <c r="J2887" s="104"/>
      <c r="K2887" s="104"/>
      <c r="L2887" s="104"/>
      <c r="M2887" s="104"/>
      <c r="N2887" s="104"/>
      <c r="O2887" s="104"/>
      <c r="P2887" s="104"/>
      <c r="Q2887" s="104"/>
      <c r="R2887" s="104"/>
      <c r="S2887" s="104"/>
    </row>
    <row r="2888" spans="4:19">
      <c r="D2888" s="104"/>
      <c r="E2888" s="104"/>
      <c r="F2888" s="104"/>
      <c r="G2888" s="104"/>
      <c r="H2888" s="104"/>
      <c r="I2888" s="104"/>
      <c r="J2888" s="104"/>
      <c r="K2888" s="104"/>
      <c r="L2888" s="104"/>
      <c r="M2888" s="104"/>
      <c r="N2888" s="104"/>
      <c r="O2888" s="104"/>
      <c r="P2888" s="104"/>
      <c r="Q2888" s="104"/>
      <c r="R2888" s="104"/>
      <c r="S2888" s="104"/>
    </row>
    <row r="2889" spans="4:19">
      <c r="D2889" s="104"/>
      <c r="E2889" s="104"/>
      <c r="F2889" s="104"/>
      <c r="G2889" s="104"/>
      <c r="H2889" s="104"/>
      <c r="I2889" s="104"/>
      <c r="J2889" s="104"/>
      <c r="K2889" s="104"/>
      <c r="L2889" s="104"/>
      <c r="M2889" s="104"/>
      <c r="N2889" s="104"/>
      <c r="O2889" s="104"/>
      <c r="P2889" s="104"/>
      <c r="Q2889" s="104"/>
      <c r="R2889" s="104"/>
      <c r="S2889" s="104"/>
    </row>
    <row r="2890" spans="4:19">
      <c r="D2890" s="104"/>
      <c r="E2890" s="104"/>
      <c r="F2890" s="104"/>
      <c r="G2890" s="104"/>
      <c r="H2890" s="104"/>
      <c r="I2890" s="104"/>
      <c r="J2890" s="104"/>
      <c r="K2890" s="104"/>
      <c r="L2890" s="104"/>
      <c r="M2890" s="104"/>
      <c r="N2890" s="104"/>
      <c r="O2890" s="104"/>
      <c r="P2890" s="104"/>
      <c r="Q2890" s="104"/>
      <c r="R2890" s="104"/>
      <c r="S2890" s="104"/>
    </row>
    <row r="2891" spans="4:19">
      <c r="D2891" s="104"/>
      <c r="E2891" s="104"/>
      <c r="F2891" s="104"/>
      <c r="G2891" s="104"/>
      <c r="H2891" s="104"/>
      <c r="I2891" s="104"/>
      <c r="J2891" s="104"/>
      <c r="K2891" s="104"/>
      <c r="L2891" s="104"/>
      <c r="M2891" s="104"/>
      <c r="N2891" s="104"/>
      <c r="O2891" s="104"/>
      <c r="P2891" s="104"/>
      <c r="Q2891" s="104"/>
      <c r="R2891" s="104"/>
      <c r="S2891" s="104"/>
    </row>
    <row r="2892" spans="4:19">
      <c r="D2892" s="104"/>
      <c r="E2892" s="104"/>
      <c r="F2892" s="104"/>
      <c r="G2892" s="104"/>
      <c r="H2892" s="104"/>
      <c r="I2892" s="104"/>
      <c r="J2892" s="104"/>
      <c r="K2892" s="104"/>
      <c r="L2892" s="104"/>
      <c r="M2892" s="104"/>
      <c r="N2892" s="104"/>
      <c r="O2892" s="104"/>
      <c r="P2892" s="104"/>
      <c r="Q2892" s="104"/>
      <c r="R2892" s="104"/>
      <c r="S2892" s="104"/>
    </row>
    <row r="2893" spans="4:19">
      <c r="D2893" s="104"/>
      <c r="E2893" s="104"/>
      <c r="F2893" s="104"/>
      <c r="G2893" s="104"/>
      <c r="H2893" s="104"/>
      <c r="I2893" s="104"/>
      <c r="J2893" s="104"/>
      <c r="K2893" s="104"/>
      <c r="L2893" s="104"/>
      <c r="M2893" s="104"/>
      <c r="N2893" s="104"/>
      <c r="O2893" s="104"/>
      <c r="P2893" s="104"/>
      <c r="Q2893" s="104"/>
      <c r="R2893" s="104"/>
      <c r="S2893" s="104"/>
    </row>
    <row r="2894" spans="4:19">
      <c r="D2894" s="104"/>
      <c r="E2894" s="104"/>
      <c r="F2894" s="104"/>
      <c r="G2894" s="104"/>
      <c r="H2894" s="104"/>
      <c r="I2894" s="104"/>
      <c r="J2894" s="104"/>
      <c r="K2894" s="104"/>
      <c r="L2894" s="104"/>
      <c r="M2894" s="104"/>
      <c r="N2894" s="104"/>
      <c r="O2894" s="104"/>
      <c r="P2894" s="104"/>
      <c r="Q2894" s="104"/>
      <c r="R2894" s="104"/>
      <c r="S2894" s="104"/>
    </row>
    <row r="2895" spans="4:19">
      <c r="D2895" s="104"/>
      <c r="E2895" s="104"/>
      <c r="F2895" s="104"/>
      <c r="G2895" s="104"/>
      <c r="H2895" s="104"/>
      <c r="I2895" s="104"/>
      <c r="J2895" s="104"/>
      <c r="K2895" s="104"/>
      <c r="L2895" s="104"/>
      <c r="M2895" s="104"/>
      <c r="N2895" s="104"/>
      <c r="O2895" s="104"/>
      <c r="P2895" s="104"/>
      <c r="Q2895" s="104"/>
      <c r="R2895" s="104"/>
      <c r="S2895" s="104"/>
    </row>
    <row r="2896" spans="4:19">
      <c r="D2896" s="104"/>
      <c r="E2896" s="104"/>
      <c r="F2896" s="104"/>
      <c r="G2896" s="104"/>
      <c r="H2896" s="104"/>
      <c r="I2896" s="104"/>
      <c r="J2896" s="104"/>
      <c r="K2896" s="104"/>
      <c r="L2896" s="104"/>
      <c r="M2896" s="104"/>
      <c r="N2896" s="104"/>
      <c r="O2896" s="104"/>
      <c r="P2896" s="104"/>
      <c r="Q2896" s="104"/>
      <c r="R2896" s="104"/>
      <c r="S2896" s="104"/>
    </row>
    <row r="2897" spans="4:19">
      <c r="D2897" s="104"/>
      <c r="E2897" s="104"/>
      <c r="F2897" s="104"/>
      <c r="G2897" s="104"/>
      <c r="H2897" s="104"/>
      <c r="I2897" s="104"/>
      <c r="J2897" s="104"/>
      <c r="K2897" s="104"/>
      <c r="L2897" s="104"/>
      <c r="M2897" s="104"/>
      <c r="N2897" s="104"/>
      <c r="O2897" s="104"/>
      <c r="P2897" s="104"/>
      <c r="Q2897" s="104"/>
      <c r="R2897" s="104"/>
      <c r="S2897" s="104"/>
    </row>
    <row r="2898" spans="4:19">
      <c r="D2898" s="104"/>
      <c r="E2898" s="104"/>
      <c r="F2898" s="104"/>
      <c r="G2898" s="104"/>
      <c r="H2898" s="104"/>
      <c r="I2898" s="104"/>
      <c r="J2898" s="104"/>
      <c r="K2898" s="104"/>
      <c r="L2898" s="104"/>
      <c r="M2898" s="104"/>
      <c r="N2898" s="104"/>
      <c r="O2898" s="104"/>
      <c r="P2898" s="104"/>
      <c r="Q2898" s="104"/>
      <c r="R2898" s="104"/>
      <c r="S2898" s="104"/>
    </row>
    <row r="2899" spans="4:19">
      <c r="D2899" s="104"/>
      <c r="E2899" s="104"/>
      <c r="F2899" s="104"/>
      <c r="G2899" s="104"/>
      <c r="H2899" s="104"/>
      <c r="I2899" s="104"/>
      <c r="J2899" s="104"/>
      <c r="K2899" s="104"/>
      <c r="L2899" s="104"/>
      <c r="M2899" s="104"/>
      <c r="N2899" s="104"/>
      <c r="O2899" s="104"/>
      <c r="P2899" s="104"/>
      <c r="Q2899" s="104"/>
      <c r="R2899" s="104"/>
      <c r="S2899" s="104"/>
    </row>
    <row r="2900" spans="4:19">
      <c r="D2900" s="104"/>
      <c r="E2900" s="104"/>
      <c r="F2900" s="104"/>
      <c r="G2900" s="104"/>
      <c r="H2900" s="104"/>
      <c r="I2900" s="104"/>
      <c r="J2900" s="104"/>
      <c r="K2900" s="104"/>
      <c r="L2900" s="104"/>
      <c r="M2900" s="104"/>
      <c r="N2900" s="104"/>
      <c r="O2900" s="104"/>
      <c r="P2900" s="104"/>
      <c r="Q2900" s="104"/>
      <c r="R2900" s="104"/>
      <c r="S2900" s="104"/>
    </row>
    <row r="2901" spans="4:19">
      <c r="D2901" s="104"/>
      <c r="E2901" s="104"/>
      <c r="F2901" s="104"/>
      <c r="G2901" s="104"/>
      <c r="H2901" s="104"/>
      <c r="I2901" s="104"/>
      <c r="J2901" s="104"/>
      <c r="K2901" s="104"/>
      <c r="L2901" s="104"/>
      <c r="M2901" s="104"/>
      <c r="N2901" s="104"/>
      <c r="O2901" s="104"/>
      <c r="P2901" s="104"/>
      <c r="Q2901" s="104"/>
      <c r="R2901" s="104"/>
      <c r="S2901" s="104"/>
    </row>
    <row r="2902" spans="4:19">
      <c r="D2902" s="104"/>
      <c r="E2902" s="104"/>
      <c r="F2902" s="104"/>
      <c r="G2902" s="104"/>
      <c r="H2902" s="104"/>
      <c r="I2902" s="104"/>
      <c r="J2902" s="104"/>
      <c r="K2902" s="104"/>
      <c r="L2902" s="104"/>
      <c r="M2902" s="104"/>
      <c r="N2902" s="104"/>
      <c r="O2902" s="104"/>
      <c r="P2902" s="104"/>
      <c r="Q2902" s="104"/>
      <c r="R2902" s="104"/>
      <c r="S2902" s="104"/>
    </row>
    <row r="2903" spans="4:19">
      <c r="D2903" s="104"/>
      <c r="E2903" s="104"/>
      <c r="F2903" s="104"/>
      <c r="G2903" s="104"/>
      <c r="H2903" s="104"/>
      <c r="I2903" s="104"/>
      <c r="J2903" s="104"/>
      <c r="K2903" s="104"/>
      <c r="L2903" s="104"/>
      <c r="M2903" s="104"/>
      <c r="N2903" s="104"/>
      <c r="O2903" s="104"/>
      <c r="P2903" s="104"/>
      <c r="Q2903" s="104"/>
      <c r="R2903" s="104"/>
      <c r="S2903" s="104"/>
    </row>
    <row r="2904" spans="4:19">
      <c r="D2904" s="104"/>
      <c r="E2904" s="104"/>
      <c r="F2904" s="104"/>
      <c r="G2904" s="104"/>
      <c r="H2904" s="104"/>
      <c r="I2904" s="104"/>
      <c r="J2904" s="104"/>
      <c r="K2904" s="104"/>
      <c r="L2904" s="104"/>
      <c r="M2904" s="104"/>
      <c r="N2904" s="104"/>
      <c r="O2904" s="104"/>
      <c r="P2904" s="104"/>
      <c r="Q2904" s="104"/>
      <c r="R2904" s="104"/>
      <c r="S2904" s="104"/>
    </row>
    <row r="2905" spans="4:19">
      <c r="D2905" s="104"/>
      <c r="E2905" s="104"/>
      <c r="F2905" s="104"/>
      <c r="G2905" s="104"/>
      <c r="H2905" s="104"/>
      <c r="I2905" s="104"/>
      <c r="J2905" s="104"/>
      <c r="K2905" s="104"/>
      <c r="L2905" s="104"/>
      <c r="M2905" s="104"/>
      <c r="N2905" s="104"/>
      <c r="O2905" s="104"/>
      <c r="P2905" s="104"/>
      <c r="Q2905" s="104"/>
      <c r="R2905" s="104"/>
      <c r="S2905" s="104"/>
    </row>
    <row r="2906" spans="4:19">
      <c r="D2906" s="104"/>
      <c r="E2906" s="104"/>
      <c r="F2906" s="104"/>
      <c r="G2906" s="104"/>
      <c r="H2906" s="104"/>
      <c r="I2906" s="104"/>
      <c r="J2906" s="104"/>
      <c r="K2906" s="104"/>
      <c r="L2906" s="104"/>
      <c r="M2906" s="104"/>
      <c r="N2906" s="104"/>
      <c r="O2906" s="104"/>
      <c r="P2906" s="104"/>
      <c r="Q2906" s="104"/>
      <c r="R2906" s="104"/>
      <c r="S2906" s="104"/>
    </row>
    <row r="2907" spans="4:19">
      <c r="D2907" s="104"/>
      <c r="E2907" s="104"/>
      <c r="F2907" s="104"/>
      <c r="G2907" s="104"/>
      <c r="H2907" s="104"/>
      <c r="I2907" s="104"/>
      <c r="J2907" s="104"/>
      <c r="K2907" s="104"/>
      <c r="L2907" s="104"/>
      <c r="M2907" s="104"/>
      <c r="N2907" s="104"/>
      <c r="O2907" s="104"/>
      <c r="P2907" s="104"/>
      <c r="Q2907" s="104"/>
      <c r="R2907" s="104"/>
      <c r="S2907" s="104"/>
    </row>
    <row r="2908" spans="4:19">
      <c r="D2908" s="104"/>
      <c r="E2908" s="104"/>
      <c r="F2908" s="104"/>
      <c r="G2908" s="104"/>
      <c r="H2908" s="104"/>
      <c r="I2908" s="104"/>
      <c r="J2908" s="104"/>
      <c r="K2908" s="104"/>
      <c r="L2908" s="104"/>
      <c r="M2908" s="104"/>
      <c r="N2908" s="104"/>
      <c r="O2908" s="104"/>
      <c r="P2908" s="104"/>
      <c r="Q2908" s="104"/>
      <c r="R2908" s="104"/>
      <c r="S2908" s="104"/>
    </row>
    <row r="2909" spans="4:19">
      <c r="D2909" s="104"/>
      <c r="E2909" s="104"/>
      <c r="F2909" s="104"/>
      <c r="G2909" s="104"/>
      <c r="H2909" s="104"/>
      <c r="I2909" s="104"/>
      <c r="J2909" s="104"/>
      <c r="K2909" s="104"/>
      <c r="L2909" s="104"/>
      <c r="M2909" s="104"/>
      <c r="N2909" s="104"/>
      <c r="O2909" s="104"/>
      <c r="P2909" s="104"/>
      <c r="Q2909" s="104"/>
      <c r="R2909" s="104"/>
      <c r="S2909" s="104"/>
    </row>
    <row r="2910" spans="4:19">
      <c r="D2910" s="104"/>
      <c r="E2910" s="104"/>
      <c r="F2910" s="104"/>
      <c r="G2910" s="104"/>
      <c r="H2910" s="104"/>
      <c r="I2910" s="104"/>
      <c r="J2910" s="104"/>
      <c r="K2910" s="104"/>
      <c r="L2910" s="104"/>
      <c r="M2910" s="104"/>
      <c r="N2910" s="104"/>
      <c r="O2910" s="104"/>
      <c r="P2910" s="104"/>
      <c r="Q2910" s="104"/>
      <c r="R2910" s="104"/>
      <c r="S2910" s="104"/>
    </row>
    <row r="2911" spans="4:19">
      <c r="D2911" s="104"/>
      <c r="E2911" s="104"/>
      <c r="F2911" s="104"/>
      <c r="G2911" s="104"/>
      <c r="H2911" s="104"/>
      <c r="I2911" s="104"/>
      <c r="J2911" s="104"/>
      <c r="K2911" s="104"/>
      <c r="L2911" s="104"/>
      <c r="M2911" s="104"/>
      <c r="N2911" s="104"/>
      <c r="O2911" s="104"/>
      <c r="P2911" s="104"/>
      <c r="Q2911" s="104"/>
      <c r="R2911" s="104"/>
      <c r="S2911" s="104"/>
    </row>
    <row r="2912" spans="4:19">
      <c r="D2912" s="104"/>
      <c r="E2912" s="104"/>
      <c r="F2912" s="104"/>
      <c r="G2912" s="104"/>
      <c r="H2912" s="104"/>
      <c r="I2912" s="104"/>
      <c r="J2912" s="104"/>
      <c r="K2912" s="104"/>
      <c r="L2912" s="104"/>
      <c r="M2912" s="104"/>
      <c r="N2912" s="104"/>
      <c r="O2912" s="104"/>
      <c r="P2912" s="104"/>
      <c r="Q2912" s="104"/>
      <c r="R2912" s="104"/>
      <c r="S2912" s="104"/>
    </row>
    <row r="2913" spans="4:19">
      <c r="D2913" s="104"/>
      <c r="E2913" s="104"/>
      <c r="F2913" s="104"/>
      <c r="G2913" s="104"/>
      <c r="H2913" s="104"/>
      <c r="I2913" s="104"/>
      <c r="J2913" s="104"/>
      <c r="K2913" s="104"/>
      <c r="L2913" s="104"/>
      <c r="M2913" s="104"/>
      <c r="N2913" s="104"/>
      <c r="O2913" s="104"/>
      <c r="P2913" s="104"/>
      <c r="Q2913" s="104"/>
      <c r="R2913" s="104"/>
      <c r="S2913" s="104"/>
    </row>
    <row r="2914" spans="4:19">
      <c r="D2914" s="104"/>
      <c r="E2914" s="104"/>
      <c r="F2914" s="104"/>
      <c r="G2914" s="104"/>
      <c r="H2914" s="104"/>
      <c r="I2914" s="104"/>
      <c r="J2914" s="104"/>
      <c r="K2914" s="104"/>
      <c r="L2914" s="104"/>
      <c r="M2914" s="104"/>
      <c r="N2914" s="104"/>
      <c r="O2914" s="104"/>
      <c r="P2914" s="104"/>
      <c r="Q2914" s="104"/>
      <c r="R2914" s="104"/>
      <c r="S2914" s="104"/>
    </row>
    <row r="2915" spans="4:19">
      <c r="D2915" s="104"/>
      <c r="E2915" s="104"/>
      <c r="F2915" s="104"/>
      <c r="G2915" s="104"/>
      <c r="H2915" s="104"/>
      <c r="I2915" s="104"/>
      <c r="J2915" s="104"/>
      <c r="K2915" s="104"/>
      <c r="L2915" s="104"/>
      <c r="M2915" s="104"/>
      <c r="N2915" s="104"/>
      <c r="O2915" s="104"/>
      <c r="P2915" s="104"/>
      <c r="Q2915" s="104"/>
      <c r="R2915" s="104"/>
      <c r="S2915" s="104"/>
    </row>
    <row r="2916" spans="4:19">
      <c r="D2916" s="104"/>
      <c r="E2916" s="104"/>
      <c r="F2916" s="104"/>
      <c r="G2916" s="104"/>
      <c r="H2916" s="104"/>
      <c r="I2916" s="104"/>
      <c r="J2916" s="104"/>
      <c r="K2916" s="104"/>
      <c r="L2916" s="104"/>
      <c r="M2916" s="104"/>
      <c r="N2916" s="104"/>
      <c r="O2916" s="104"/>
      <c r="P2916" s="104"/>
      <c r="Q2916" s="104"/>
      <c r="R2916" s="104"/>
      <c r="S2916" s="104"/>
    </row>
    <row r="2917" spans="4:19">
      <c r="D2917" s="104"/>
      <c r="E2917" s="104"/>
      <c r="F2917" s="104"/>
      <c r="G2917" s="104"/>
      <c r="H2917" s="104"/>
      <c r="I2917" s="104"/>
      <c r="J2917" s="104"/>
      <c r="K2917" s="104"/>
      <c r="L2917" s="104"/>
      <c r="M2917" s="104"/>
      <c r="N2917" s="104"/>
      <c r="O2917" s="104"/>
      <c r="P2917" s="104"/>
      <c r="Q2917" s="104"/>
      <c r="R2917" s="104"/>
      <c r="S2917" s="104"/>
    </row>
    <row r="2918" spans="4:19">
      <c r="D2918" s="104"/>
      <c r="E2918" s="104"/>
      <c r="F2918" s="104"/>
      <c r="G2918" s="104"/>
      <c r="H2918" s="104"/>
      <c r="I2918" s="104"/>
      <c r="J2918" s="104"/>
      <c r="K2918" s="104"/>
      <c r="L2918" s="104"/>
      <c r="M2918" s="104"/>
      <c r="N2918" s="104"/>
      <c r="O2918" s="104"/>
      <c r="P2918" s="104"/>
      <c r="Q2918" s="104"/>
      <c r="R2918" s="104"/>
      <c r="S2918" s="104"/>
    </row>
    <row r="2919" spans="4:19">
      <c r="D2919" s="104"/>
      <c r="E2919" s="104"/>
      <c r="F2919" s="104"/>
      <c r="G2919" s="104"/>
      <c r="H2919" s="104"/>
      <c r="I2919" s="104"/>
      <c r="J2919" s="104"/>
      <c r="K2919" s="104"/>
      <c r="L2919" s="104"/>
      <c r="M2919" s="104"/>
      <c r="N2919" s="104"/>
      <c r="O2919" s="104"/>
      <c r="P2919" s="104"/>
      <c r="Q2919" s="104"/>
      <c r="R2919" s="104"/>
      <c r="S2919" s="104"/>
    </row>
    <row r="2920" spans="4:19">
      <c r="D2920" s="104"/>
      <c r="E2920" s="104"/>
      <c r="F2920" s="104"/>
      <c r="G2920" s="104"/>
      <c r="H2920" s="104"/>
      <c r="I2920" s="104"/>
      <c r="J2920" s="104"/>
      <c r="K2920" s="104"/>
      <c r="L2920" s="104"/>
      <c r="M2920" s="104"/>
      <c r="N2920" s="104"/>
      <c r="O2920" s="104"/>
      <c r="P2920" s="104"/>
      <c r="Q2920" s="104"/>
      <c r="R2920" s="104"/>
      <c r="S2920" s="104"/>
    </row>
    <row r="2921" spans="4:19">
      <c r="D2921" s="104"/>
      <c r="E2921" s="104"/>
      <c r="F2921" s="104"/>
      <c r="G2921" s="104"/>
      <c r="H2921" s="104"/>
      <c r="I2921" s="104"/>
      <c r="J2921" s="104"/>
      <c r="K2921" s="104"/>
      <c r="L2921" s="104"/>
      <c r="M2921" s="104"/>
      <c r="N2921" s="104"/>
      <c r="O2921" s="104"/>
      <c r="P2921" s="104"/>
      <c r="Q2921" s="104"/>
      <c r="R2921" s="104"/>
      <c r="S2921" s="104"/>
    </row>
    <row r="2922" spans="4:19">
      <c r="D2922" s="104"/>
      <c r="E2922" s="104"/>
      <c r="F2922" s="104"/>
      <c r="G2922" s="104"/>
      <c r="H2922" s="104"/>
      <c r="I2922" s="104"/>
      <c r="J2922" s="104"/>
      <c r="K2922" s="104"/>
      <c r="L2922" s="104"/>
      <c r="M2922" s="104"/>
      <c r="N2922" s="104"/>
      <c r="O2922" s="104"/>
      <c r="P2922" s="104"/>
      <c r="Q2922" s="104"/>
      <c r="R2922" s="104"/>
      <c r="S2922" s="104"/>
    </row>
    <row r="2923" spans="4:19">
      <c r="D2923" s="104"/>
      <c r="E2923" s="104"/>
      <c r="F2923" s="104"/>
      <c r="G2923" s="104"/>
      <c r="H2923" s="104"/>
      <c r="I2923" s="104"/>
      <c r="J2923" s="104"/>
      <c r="K2923" s="104"/>
      <c r="L2923" s="104"/>
      <c r="M2923" s="104"/>
      <c r="N2923" s="104"/>
      <c r="O2923" s="104"/>
      <c r="P2923" s="104"/>
      <c r="Q2923" s="104"/>
      <c r="R2923" s="104"/>
      <c r="S2923" s="104"/>
    </row>
    <row r="2924" spans="4:19">
      <c r="D2924" s="104"/>
      <c r="E2924" s="104"/>
      <c r="F2924" s="104"/>
      <c r="G2924" s="104"/>
      <c r="H2924" s="104"/>
      <c r="I2924" s="104"/>
      <c r="J2924" s="104"/>
      <c r="K2924" s="104"/>
      <c r="L2924" s="104"/>
      <c r="M2924" s="104"/>
      <c r="N2924" s="104"/>
      <c r="O2924" s="104"/>
      <c r="P2924" s="104"/>
      <c r="Q2924" s="104"/>
      <c r="R2924" s="104"/>
      <c r="S2924" s="104"/>
    </row>
    <row r="2925" spans="4:19">
      <c r="D2925" s="104"/>
      <c r="E2925" s="104"/>
      <c r="F2925" s="104"/>
      <c r="G2925" s="104"/>
      <c r="H2925" s="104"/>
      <c r="I2925" s="104"/>
      <c r="J2925" s="104"/>
      <c r="K2925" s="104"/>
      <c r="L2925" s="104"/>
      <c r="M2925" s="104"/>
      <c r="N2925" s="104"/>
      <c r="O2925" s="104"/>
      <c r="P2925" s="104"/>
      <c r="Q2925" s="104"/>
      <c r="R2925" s="104"/>
      <c r="S2925" s="104"/>
    </row>
    <row r="2926" spans="4:19">
      <c r="D2926" s="104"/>
      <c r="E2926" s="104"/>
      <c r="F2926" s="104"/>
      <c r="G2926" s="104"/>
      <c r="H2926" s="104"/>
      <c r="I2926" s="104"/>
      <c r="J2926" s="104"/>
      <c r="K2926" s="104"/>
      <c r="L2926" s="104"/>
      <c r="M2926" s="104"/>
      <c r="N2926" s="104"/>
      <c r="O2926" s="104"/>
      <c r="P2926" s="104"/>
      <c r="Q2926" s="104"/>
      <c r="R2926" s="104"/>
      <c r="S2926" s="104"/>
    </row>
    <row r="2927" spans="4:19">
      <c r="D2927" s="104"/>
      <c r="E2927" s="104"/>
      <c r="F2927" s="104"/>
      <c r="G2927" s="104"/>
      <c r="H2927" s="104"/>
      <c r="I2927" s="104"/>
      <c r="J2927" s="104"/>
      <c r="K2927" s="104"/>
      <c r="L2927" s="104"/>
      <c r="M2927" s="104"/>
      <c r="N2927" s="104"/>
      <c r="O2927" s="104"/>
      <c r="P2927" s="104"/>
      <c r="Q2927" s="104"/>
      <c r="R2927" s="104"/>
      <c r="S2927" s="104"/>
    </row>
    <row r="2928" spans="4:19">
      <c r="D2928" s="104"/>
      <c r="E2928" s="104"/>
      <c r="F2928" s="104"/>
      <c r="G2928" s="104"/>
      <c r="H2928" s="104"/>
      <c r="I2928" s="104"/>
      <c r="J2928" s="104"/>
      <c r="K2928" s="104"/>
      <c r="L2928" s="104"/>
      <c r="M2928" s="104"/>
      <c r="N2928" s="104"/>
      <c r="O2928" s="104"/>
      <c r="P2928" s="104"/>
      <c r="Q2928" s="104"/>
      <c r="R2928" s="104"/>
      <c r="S2928" s="104"/>
    </row>
    <row r="2929" spans="4:19">
      <c r="D2929" s="104"/>
      <c r="E2929" s="104"/>
      <c r="F2929" s="104"/>
      <c r="G2929" s="104"/>
      <c r="H2929" s="104"/>
      <c r="I2929" s="104"/>
      <c r="J2929" s="104"/>
      <c r="K2929" s="104"/>
      <c r="L2929" s="104"/>
      <c r="M2929" s="104"/>
      <c r="N2929" s="104"/>
      <c r="O2929" s="104"/>
      <c r="P2929" s="104"/>
      <c r="Q2929" s="104"/>
      <c r="R2929" s="104"/>
      <c r="S2929" s="104"/>
    </row>
    <row r="2930" spans="4:19">
      <c r="D2930" s="104"/>
      <c r="E2930" s="104"/>
      <c r="F2930" s="104"/>
      <c r="G2930" s="104"/>
      <c r="H2930" s="104"/>
      <c r="I2930" s="104"/>
      <c r="J2930" s="104"/>
      <c r="K2930" s="104"/>
      <c r="L2930" s="104"/>
      <c r="M2930" s="104"/>
      <c r="N2930" s="104"/>
      <c r="O2930" s="104"/>
      <c r="P2930" s="104"/>
      <c r="Q2930" s="104"/>
      <c r="R2930" s="104"/>
      <c r="S2930" s="104"/>
    </row>
    <row r="2931" spans="4:19">
      <c r="D2931" s="104"/>
      <c r="E2931" s="104"/>
      <c r="F2931" s="104"/>
      <c r="G2931" s="104"/>
      <c r="H2931" s="104"/>
      <c r="I2931" s="104"/>
      <c r="J2931" s="104"/>
      <c r="K2931" s="104"/>
      <c r="L2931" s="104"/>
      <c r="M2931" s="104"/>
      <c r="N2931" s="104"/>
      <c r="O2931" s="104"/>
      <c r="P2931" s="104"/>
      <c r="Q2931" s="104"/>
      <c r="R2931" s="104"/>
      <c r="S2931" s="104"/>
    </row>
    <row r="2932" spans="4:19">
      <c r="D2932" s="104"/>
      <c r="E2932" s="104"/>
      <c r="F2932" s="104"/>
      <c r="G2932" s="104"/>
      <c r="H2932" s="104"/>
      <c r="I2932" s="104"/>
      <c r="J2932" s="104"/>
      <c r="K2932" s="104"/>
      <c r="L2932" s="104"/>
      <c r="M2932" s="104"/>
      <c r="N2932" s="104"/>
      <c r="O2932" s="104"/>
      <c r="P2932" s="104"/>
      <c r="Q2932" s="104"/>
      <c r="R2932" s="104"/>
      <c r="S2932" s="104"/>
    </row>
    <row r="2933" spans="4:19">
      <c r="D2933" s="104"/>
      <c r="E2933" s="104"/>
      <c r="F2933" s="104"/>
      <c r="G2933" s="104"/>
      <c r="H2933" s="104"/>
      <c r="I2933" s="104"/>
      <c r="J2933" s="104"/>
      <c r="K2933" s="104"/>
      <c r="L2933" s="104"/>
      <c r="M2933" s="104"/>
      <c r="N2933" s="104"/>
      <c r="O2933" s="104"/>
      <c r="P2933" s="104"/>
      <c r="Q2933" s="104"/>
      <c r="R2933" s="104"/>
      <c r="S2933" s="104"/>
    </row>
    <row r="2934" spans="4:19">
      <c r="D2934" s="104"/>
      <c r="E2934" s="104"/>
      <c r="F2934" s="104"/>
      <c r="G2934" s="104"/>
      <c r="H2934" s="104"/>
      <c r="I2934" s="104"/>
      <c r="J2934" s="104"/>
      <c r="K2934" s="104"/>
      <c r="L2934" s="104"/>
      <c r="M2934" s="104"/>
      <c r="N2934" s="104"/>
      <c r="O2934" s="104"/>
      <c r="P2934" s="104"/>
      <c r="Q2934" s="104"/>
      <c r="R2934" s="104"/>
      <c r="S2934" s="104"/>
    </row>
    <row r="2935" spans="4:19">
      <c r="D2935" s="104"/>
      <c r="E2935" s="104"/>
      <c r="F2935" s="104"/>
      <c r="G2935" s="104"/>
      <c r="H2935" s="104"/>
      <c r="I2935" s="104"/>
      <c r="J2935" s="104"/>
      <c r="K2935" s="104"/>
      <c r="L2935" s="104"/>
      <c r="M2935" s="104"/>
      <c r="N2935" s="104"/>
      <c r="O2935" s="104"/>
      <c r="P2935" s="104"/>
      <c r="Q2935" s="104"/>
      <c r="R2935" s="104"/>
      <c r="S2935" s="104"/>
    </row>
    <row r="2936" spans="4:19">
      <c r="D2936" s="104"/>
      <c r="E2936" s="104"/>
      <c r="F2936" s="104"/>
      <c r="G2936" s="104"/>
      <c r="H2936" s="104"/>
      <c r="I2936" s="104"/>
      <c r="J2936" s="104"/>
      <c r="K2936" s="104"/>
      <c r="L2936" s="104"/>
      <c r="M2936" s="104"/>
      <c r="N2936" s="104"/>
      <c r="O2936" s="104"/>
      <c r="P2936" s="104"/>
      <c r="Q2936" s="104"/>
      <c r="R2936" s="104"/>
      <c r="S2936" s="104"/>
    </row>
    <row r="2937" spans="4:19">
      <c r="D2937" s="104"/>
      <c r="E2937" s="104"/>
      <c r="F2937" s="104"/>
      <c r="G2937" s="104"/>
      <c r="H2937" s="104"/>
      <c r="I2937" s="104"/>
      <c r="J2937" s="104"/>
      <c r="K2937" s="104"/>
      <c r="L2937" s="104"/>
      <c r="M2937" s="104"/>
      <c r="N2937" s="104"/>
      <c r="O2937" s="104"/>
      <c r="P2937" s="104"/>
      <c r="Q2937" s="104"/>
      <c r="R2937" s="104"/>
      <c r="S2937" s="104"/>
    </row>
    <row r="2938" spans="4:19">
      <c r="D2938" s="104"/>
      <c r="E2938" s="104"/>
      <c r="F2938" s="104"/>
      <c r="G2938" s="104"/>
      <c r="H2938" s="104"/>
      <c r="I2938" s="104"/>
      <c r="J2938" s="104"/>
      <c r="K2938" s="104"/>
      <c r="L2938" s="104"/>
      <c r="M2938" s="104"/>
      <c r="N2938" s="104"/>
      <c r="O2938" s="104"/>
      <c r="P2938" s="104"/>
      <c r="Q2938" s="104"/>
      <c r="R2938" s="104"/>
      <c r="S2938" s="104"/>
    </row>
    <row r="2939" spans="4:19">
      <c r="D2939" s="104"/>
      <c r="E2939" s="104"/>
      <c r="F2939" s="104"/>
      <c r="G2939" s="104"/>
      <c r="H2939" s="104"/>
      <c r="I2939" s="104"/>
      <c r="J2939" s="104"/>
      <c r="K2939" s="104"/>
      <c r="L2939" s="104"/>
      <c r="M2939" s="104"/>
      <c r="N2939" s="104"/>
      <c r="O2939" s="104"/>
      <c r="P2939" s="104"/>
      <c r="Q2939" s="104"/>
      <c r="R2939" s="104"/>
      <c r="S2939" s="104"/>
    </row>
    <row r="2940" spans="4:19">
      <c r="D2940" s="104"/>
      <c r="E2940" s="104"/>
      <c r="F2940" s="104"/>
      <c r="G2940" s="104"/>
      <c r="H2940" s="104"/>
      <c r="I2940" s="104"/>
      <c r="J2940" s="104"/>
      <c r="K2940" s="104"/>
      <c r="L2940" s="104"/>
      <c r="M2940" s="104"/>
      <c r="N2940" s="104"/>
      <c r="O2940" s="104"/>
      <c r="P2940" s="104"/>
      <c r="Q2940" s="104"/>
      <c r="R2940" s="104"/>
      <c r="S2940" s="104"/>
    </row>
    <row r="2941" spans="4:19">
      <c r="D2941" s="104"/>
      <c r="E2941" s="104"/>
      <c r="F2941" s="104"/>
      <c r="G2941" s="104"/>
      <c r="H2941" s="104"/>
      <c r="I2941" s="104"/>
      <c r="J2941" s="104"/>
      <c r="K2941" s="104"/>
      <c r="L2941" s="104"/>
      <c r="M2941" s="104"/>
      <c r="N2941" s="104"/>
      <c r="O2941" s="104"/>
      <c r="P2941" s="104"/>
      <c r="Q2941" s="104"/>
      <c r="R2941" s="104"/>
      <c r="S2941" s="104"/>
    </row>
    <row r="2942" spans="4:19">
      <c r="D2942" s="104"/>
      <c r="E2942" s="104"/>
      <c r="F2942" s="104"/>
      <c r="G2942" s="104"/>
      <c r="H2942" s="104"/>
      <c r="I2942" s="104"/>
      <c r="J2942" s="104"/>
      <c r="K2942" s="104"/>
      <c r="L2942" s="104"/>
      <c r="M2942" s="104"/>
      <c r="N2942" s="104"/>
      <c r="O2942" s="104"/>
      <c r="P2942" s="104"/>
      <c r="Q2942" s="104"/>
      <c r="R2942" s="104"/>
      <c r="S2942" s="104"/>
    </row>
    <row r="2943" spans="4:19">
      <c r="D2943" s="104"/>
      <c r="E2943" s="104"/>
      <c r="F2943" s="104"/>
      <c r="G2943" s="104"/>
      <c r="H2943" s="104"/>
      <c r="I2943" s="104"/>
      <c r="J2943" s="104"/>
      <c r="K2943" s="104"/>
      <c r="L2943" s="104"/>
      <c r="M2943" s="104"/>
      <c r="N2943" s="104"/>
      <c r="O2943" s="104"/>
      <c r="P2943" s="104"/>
      <c r="Q2943" s="104"/>
      <c r="R2943" s="104"/>
      <c r="S2943" s="104"/>
    </row>
    <row r="2944" spans="4:19">
      <c r="D2944" s="104"/>
      <c r="E2944" s="104"/>
      <c r="F2944" s="104"/>
      <c r="G2944" s="104"/>
      <c r="H2944" s="104"/>
      <c r="I2944" s="104"/>
      <c r="J2944" s="104"/>
      <c r="K2944" s="104"/>
      <c r="L2944" s="104"/>
      <c r="M2944" s="104"/>
      <c r="N2944" s="104"/>
      <c r="O2944" s="104"/>
      <c r="P2944" s="104"/>
      <c r="Q2944" s="104"/>
      <c r="R2944" s="104"/>
      <c r="S2944" s="104"/>
    </row>
    <row r="2945" spans="4:19">
      <c r="D2945" s="104"/>
      <c r="E2945" s="104"/>
      <c r="F2945" s="104"/>
      <c r="G2945" s="104"/>
      <c r="H2945" s="104"/>
      <c r="I2945" s="104"/>
      <c r="J2945" s="104"/>
      <c r="K2945" s="104"/>
      <c r="L2945" s="104"/>
      <c r="M2945" s="104"/>
      <c r="N2945" s="104"/>
      <c r="O2945" s="104"/>
      <c r="P2945" s="104"/>
      <c r="Q2945" s="104"/>
      <c r="R2945" s="104"/>
      <c r="S2945" s="104"/>
    </row>
    <row r="2946" spans="4:19">
      <c r="D2946" s="104"/>
      <c r="E2946" s="104"/>
      <c r="F2946" s="104"/>
      <c r="G2946" s="104"/>
      <c r="H2946" s="104"/>
      <c r="I2946" s="104"/>
      <c r="J2946" s="104"/>
      <c r="K2946" s="104"/>
      <c r="L2946" s="104"/>
      <c r="M2946" s="104"/>
      <c r="N2946" s="104"/>
      <c r="O2946" s="104"/>
      <c r="P2946" s="104"/>
      <c r="Q2946" s="104"/>
      <c r="R2946" s="104"/>
      <c r="S2946" s="104"/>
    </row>
    <row r="2947" spans="4:19">
      <c r="D2947" s="104"/>
      <c r="E2947" s="104"/>
      <c r="F2947" s="104"/>
      <c r="G2947" s="104"/>
      <c r="H2947" s="104"/>
      <c r="I2947" s="104"/>
      <c r="J2947" s="104"/>
      <c r="K2947" s="104"/>
      <c r="L2947" s="104"/>
      <c r="M2947" s="104"/>
      <c r="N2947" s="104"/>
      <c r="O2947" s="104"/>
      <c r="P2947" s="104"/>
      <c r="Q2947" s="104"/>
      <c r="R2947" s="104"/>
      <c r="S2947" s="104"/>
    </row>
    <row r="2948" spans="4:19">
      <c r="D2948" s="104"/>
      <c r="E2948" s="104"/>
      <c r="F2948" s="104"/>
      <c r="G2948" s="104"/>
      <c r="H2948" s="104"/>
      <c r="I2948" s="104"/>
      <c r="J2948" s="104"/>
      <c r="K2948" s="104"/>
      <c r="L2948" s="104"/>
      <c r="M2948" s="104"/>
      <c r="N2948" s="104"/>
      <c r="O2948" s="104"/>
      <c r="P2948" s="104"/>
      <c r="Q2948" s="104"/>
      <c r="R2948" s="104"/>
      <c r="S2948" s="104"/>
    </row>
    <row r="2949" spans="4:19">
      <c r="D2949" s="104"/>
      <c r="E2949" s="104"/>
      <c r="F2949" s="104"/>
      <c r="G2949" s="104"/>
      <c r="H2949" s="104"/>
      <c r="I2949" s="104"/>
      <c r="J2949" s="104"/>
      <c r="K2949" s="104"/>
      <c r="L2949" s="104"/>
      <c r="M2949" s="104"/>
      <c r="N2949" s="104"/>
      <c r="O2949" s="104"/>
      <c r="P2949" s="104"/>
      <c r="Q2949" s="104"/>
      <c r="R2949" s="104"/>
      <c r="S2949" s="104"/>
    </row>
    <row r="2950" spans="4:19">
      <c r="D2950" s="104"/>
      <c r="E2950" s="104"/>
      <c r="F2950" s="104"/>
      <c r="G2950" s="104"/>
      <c r="H2950" s="104"/>
      <c r="I2950" s="104"/>
      <c r="J2950" s="104"/>
      <c r="K2950" s="104"/>
      <c r="L2950" s="104"/>
      <c r="M2950" s="104"/>
      <c r="N2950" s="104"/>
      <c r="O2950" s="104"/>
      <c r="P2950" s="104"/>
      <c r="Q2950" s="104"/>
      <c r="R2950" s="104"/>
      <c r="S2950" s="104"/>
    </row>
    <row r="2951" spans="4:19">
      <c r="D2951" s="104"/>
      <c r="E2951" s="104"/>
      <c r="F2951" s="104"/>
      <c r="G2951" s="104"/>
      <c r="H2951" s="104"/>
      <c r="I2951" s="104"/>
      <c r="J2951" s="104"/>
      <c r="K2951" s="104"/>
      <c r="L2951" s="104"/>
      <c r="M2951" s="104"/>
      <c r="N2951" s="104"/>
      <c r="O2951" s="104"/>
      <c r="P2951" s="104"/>
      <c r="Q2951" s="104"/>
      <c r="R2951" s="104"/>
      <c r="S2951" s="104"/>
    </row>
    <row r="2952" spans="4:19">
      <c r="D2952" s="104"/>
      <c r="E2952" s="104"/>
      <c r="F2952" s="104"/>
      <c r="G2952" s="104"/>
      <c r="H2952" s="104"/>
      <c r="I2952" s="104"/>
      <c r="J2952" s="104"/>
      <c r="K2952" s="104"/>
      <c r="L2952" s="104"/>
      <c r="M2952" s="104"/>
      <c r="N2952" s="104"/>
      <c r="O2952" s="104"/>
      <c r="P2952" s="104"/>
      <c r="Q2952" s="104"/>
      <c r="R2952" s="104"/>
      <c r="S2952" s="104"/>
    </row>
    <row r="2953" spans="4:19">
      <c r="D2953" s="104"/>
      <c r="E2953" s="104"/>
      <c r="F2953" s="104"/>
      <c r="G2953" s="104"/>
      <c r="H2953" s="104"/>
      <c r="I2953" s="104"/>
      <c r="J2953" s="104"/>
      <c r="K2953" s="104"/>
      <c r="L2953" s="104"/>
      <c r="M2953" s="104"/>
      <c r="N2953" s="104"/>
      <c r="O2953" s="104"/>
      <c r="P2953" s="104"/>
      <c r="Q2953" s="104"/>
      <c r="R2953" s="104"/>
      <c r="S2953" s="104"/>
    </row>
    <row r="2954" spans="4:19">
      <c r="D2954" s="104"/>
      <c r="E2954" s="104"/>
      <c r="F2954" s="104"/>
      <c r="G2954" s="104"/>
      <c r="H2954" s="104"/>
      <c r="I2954" s="104"/>
      <c r="J2954" s="104"/>
      <c r="K2954" s="104"/>
      <c r="L2954" s="104"/>
      <c r="M2954" s="104"/>
      <c r="N2954" s="104"/>
      <c r="O2954" s="104"/>
      <c r="P2954" s="104"/>
      <c r="Q2954" s="104"/>
      <c r="R2954" s="104"/>
      <c r="S2954" s="104"/>
    </row>
    <row r="2955" spans="4:19">
      <c r="D2955" s="104"/>
      <c r="E2955" s="104"/>
      <c r="F2955" s="104"/>
      <c r="G2955" s="104"/>
      <c r="H2955" s="104"/>
      <c r="I2955" s="104"/>
      <c r="J2955" s="104"/>
      <c r="K2955" s="104"/>
      <c r="L2955" s="104"/>
      <c r="M2955" s="104"/>
      <c r="N2955" s="104"/>
      <c r="O2955" s="104"/>
      <c r="P2955" s="104"/>
      <c r="Q2955" s="104"/>
      <c r="R2955" s="104"/>
      <c r="S2955" s="104"/>
    </row>
    <row r="2956" spans="4:19">
      <c r="D2956" s="104"/>
      <c r="E2956" s="104"/>
      <c r="F2956" s="104"/>
      <c r="G2956" s="104"/>
      <c r="H2956" s="104"/>
      <c r="I2956" s="104"/>
      <c r="J2956" s="104"/>
      <c r="K2956" s="104"/>
      <c r="L2956" s="104"/>
      <c r="M2956" s="104"/>
      <c r="N2956" s="104"/>
      <c r="O2956" s="104"/>
      <c r="P2956" s="104"/>
      <c r="Q2956" s="104"/>
      <c r="R2956" s="104"/>
      <c r="S2956" s="104"/>
    </row>
    <row r="2957" spans="4:19">
      <c r="D2957" s="104"/>
      <c r="E2957" s="104"/>
      <c r="F2957" s="104"/>
      <c r="G2957" s="104"/>
      <c r="H2957" s="104"/>
      <c r="I2957" s="104"/>
      <c r="J2957" s="104"/>
      <c r="K2957" s="104"/>
      <c r="L2957" s="104"/>
      <c r="M2957" s="104"/>
      <c r="N2957" s="104"/>
      <c r="O2957" s="104"/>
      <c r="P2957" s="104"/>
      <c r="Q2957" s="104"/>
      <c r="R2957" s="104"/>
      <c r="S2957" s="104"/>
    </row>
    <row r="2958" spans="4:19">
      <c r="D2958" s="104"/>
      <c r="E2958" s="104"/>
      <c r="F2958" s="104"/>
      <c r="G2958" s="104"/>
      <c r="H2958" s="104"/>
      <c r="I2958" s="104"/>
      <c r="J2958" s="104"/>
      <c r="K2958" s="104"/>
      <c r="L2958" s="104"/>
      <c r="M2958" s="104"/>
      <c r="N2958" s="104"/>
      <c r="O2958" s="104"/>
      <c r="P2958" s="104"/>
      <c r="Q2958" s="104"/>
      <c r="R2958" s="104"/>
      <c r="S2958" s="104"/>
    </row>
    <row r="2959" spans="4:19">
      <c r="D2959" s="104"/>
      <c r="E2959" s="104"/>
      <c r="F2959" s="104"/>
      <c r="G2959" s="104"/>
      <c r="H2959" s="104"/>
      <c r="I2959" s="104"/>
      <c r="J2959" s="104"/>
      <c r="K2959" s="104"/>
      <c r="L2959" s="104"/>
      <c r="M2959" s="104"/>
      <c r="N2959" s="104"/>
      <c r="O2959" s="104"/>
      <c r="P2959" s="104"/>
      <c r="Q2959" s="104"/>
      <c r="R2959" s="104"/>
      <c r="S2959" s="104"/>
    </row>
    <row r="2960" spans="4:19">
      <c r="D2960" s="104"/>
      <c r="E2960" s="104"/>
      <c r="F2960" s="104"/>
      <c r="G2960" s="104"/>
      <c r="H2960" s="104"/>
      <c r="I2960" s="104"/>
      <c r="J2960" s="104"/>
      <c r="K2960" s="104"/>
      <c r="L2960" s="104"/>
      <c r="M2960" s="104"/>
      <c r="N2960" s="104"/>
      <c r="O2960" s="104"/>
      <c r="P2960" s="104"/>
      <c r="Q2960" s="104"/>
      <c r="R2960" s="104"/>
      <c r="S2960" s="104"/>
    </row>
    <row r="2961" spans="4:19">
      <c r="D2961" s="104"/>
      <c r="E2961" s="104"/>
      <c r="F2961" s="104"/>
      <c r="G2961" s="104"/>
      <c r="H2961" s="104"/>
      <c r="I2961" s="104"/>
      <c r="J2961" s="104"/>
      <c r="K2961" s="104"/>
      <c r="L2961" s="104"/>
      <c r="M2961" s="104"/>
      <c r="N2961" s="104"/>
      <c r="O2961" s="104"/>
      <c r="P2961" s="104"/>
      <c r="Q2961" s="104"/>
      <c r="R2961" s="104"/>
      <c r="S2961" s="104"/>
    </row>
    <row r="2962" spans="4:19">
      <c r="D2962" s="104"/>
      <c r="E2962" s="104"/>
      <c r="F2962" s="104"/>
      <c r="G2962" s="104"/>
      <c r="H2962" s="104"/>
      <c r="I2962" s="104"/>
      <c r="J2962" s="104"/>
      <c r="K2962" s="104"/>
      <c r="L2962" s="104"/>
      <c r="M2962" s="104"/>
      <c r="N2962" s="104"/>
      <c r="O2962" s="104"/>
      <c r="P2962" s="104"/>
      <c r="Q2962" s="104"/>
      <c r="R2962" s="104"/>
      <c r="S2962" s="104"/>
    </row>
    <row r="2963" spans="4:19">
      <c r="D2963" s="104"/>
      <c r="E2963" s="104"/>
      <c r="F2963" s="104"/>
      <c r="G2963" s="104"/>
      <c r="H2963" s="104"/>
      <c r="I2963" s="104"/>
      <c r="J2963" s="104"/>
      <c r="K2963" s="104"/>
      <c r="L2963" s="104"/>
      <c r="M2963" s="104"/>
      <c r="N2963" s="104"/>
      <c r="O2963" s="104"/>
      <c r="P2963" s="104"/>
      <c r="Q2963" s="104"/>
      <c r="R2963" s="104"/>
      <c r="S2963" s="104"/>
    </row>
    <row r="2964" spans="4:19">
      <c r="D2964" s="104"/>
      <c r="E2964" s="104"/>
      <c r="F2964" s="104"/>
      <c r="G2964" s="104"/>
      <c r="H2964" s="104"/>
      <c r="I2964" s="104"/>
      <c r="J2964" s="104"/>
      <c r="K2964" s="104"/>
      <c r="L2964" s="104"/>
      <c r="M2964" s="104"/>
      <c r="N2964" s="104"/>
      <c r="O2964" s="104"/>
      <c r="P2964" s="104"/>
      <c r="Q2964" s="104"/>
      <c r="R2964" s="104"/>
      <c r="S2964" s="104"/>
    </row>
    <row r="2965" spans="4:19">
      <c r="D2965" s="104"/>
      <c r="E2965" s="104"/>
      <c r="F2965" s="104"/>
      <c r="G2965" s="104"/>
      <c r="H2965" s="104"/>
      <c r="I2965" s="104"/>
      <c r="J2965" s="104"/>
      <c r="K2965" s="104"/>
      <c r="L2965" s="104"/>
      <c r="M2965" s="104"/>
      <c r="N2965" s="104"/>
      <c r="O2965" s="104"/>
      <c r="P2965" s="104"/>
      <c r="Q2965" s="104"/>
      <c r="R2965" s="104"/>
      <c r="S2965" s="104"/>
    </row>
    <row r="2966" spans="4:19">
      <c r="D2966" s="104"/>
      <c r="E2966" s="104"/>
      <c r="F2966" s="104"/>
      <c r="G2966" s="104"/>
      <c r="H2966" s="104"/>
      <c r="I2966" s="104"/>
      <c r="J2966" s="104"/>
      <c r="K2966" s="104"/>
      <c r="L2966" s="104"/>
      <c r="M2966" s="104"/>
      <c r="N2966" s="104"/>
      <c r="O2966" s="104"/>
      <c r="P2966" s="104"/>
      <c r="Q2966" s="104"/>
      <c r="R2966" s="104"/>
      <c r="S2966" s="104"/>
    </row>
    <row r="2967" spans="4:19">
      <c r="D2967" s="104"/>
      <c r="E2967" s="104"/>
      <c r="F2967" s="104"/>
      <c r="G2967" s="104"/>
      <c r="H2967" s="104"/>
      <c r="I2967" s="104"/>
      <c r="J2967" s="104"/>
      <c r="K2967" s="104"/>
      <c r="L2967" s="104"/>
      <c r="M2967" s="104"/>
      <c r="N2967" s="104"/>
      <c r="O2967" s="104"/>
      <c r="P2967" s="104"/>
      <c r="Q2967" s="104"/>
      <c r="R2967" s="104"/>
      <c r="S2967" s="104"/>
    </row>
    <row r="2968" spans="4:19">
      <c r="D2968" s="104"/>
      <c r="E2968" s="104"/>
      <c r="F2968" s="104"/>
      <c r="G2968" s="104"/>
      <c r="H2968" s="104"/>
      <c r="I2968" s="104"/>
      <c r="J2968" s="104"/>
      <c r="K2968" s="104"/>
      <c r="L2968" s="104"/>
      <c r="M2968" s="104"/>
      <c r="N2968" s="104"/>
      <c r="O2968" s="104"/>
      <c r="P2968" s="104"/>
      <c r="Q2968" s="104"/>
      <c r="R2968" s="104"/>
      <c r="S2968" s="104"/>
    </row>
    <row r="2969" spans="4:19">
      <c r="D2969" s="104"/>
      <c r="E2969" s="104"/>
      <c r="F2969" s="104"/>
      <c r="G2969" s="104"/>
      <c r="H2969" s="104"/>
      <c r="I2969" s="104"/>
      <c r="J2969" s="104"/>
      <c r="K2969" s="104"/>
      <c r="L2969" s="104"/>
      <c r="M2969" s="104"/>
      <c r="N2969" s="104"/>
      <c r="O2969" s="104"/>
      <c r="P2969" s="104"/>
      <c r="Q2969" s="104"/>
      <c r="R2969" s="104"/>
      <c r="S2969" s="104"/>
    </row>
    <row r="2970" spans="4:19">
      <c r="D2970" s="104"/>
      <c r="E2970" s="104"/>
      <c r="F2970" s="104"/>
      <c r="G2970" s="104"/>
      <c r="H2970" s="104"/>
      <c r="I2970" s="104"/>
      <c r="J2970" s="104"/>
      <c r="K2970" s="104"/>
      <c r="L2970" s="104"/>
      <c r="M2970" s="104"/>
      <c r="N2970" s="104"/>
      <c r="O2970" s="104"/>
      <c r="P2970" s="104"/>
      <c r="Q2970" s="104"/>
      <c r="R2970" s="104"/>
      <c r="S2970" s="104"/>
    </row>
    <row r="2971" spans="4:19">
      <c r="D2971" s="104"/>
      <c r="E2971" s="104"/>
      <c r="F2971" s="104"/>
      <c r="G2971" s="104"/>
      <c r="H2971" s="104"/>
      <c r="I2971" s="104"/>
      <c r="J2971" s="104"/>
      <c r="K2971" s="104"/>
      <c r="L2971" s="104"/>
      <c r="M2971" s="104"/>
      <c r="N2971" s="104"/>
      <c r="O2971" s="104"/>
      <c r="P2971" s="104"/>
      <c r="Q2971" s="104"/>
      <c r="R2971" s="104"/>
      <c r="S2971" s="104"/>
    </row>
    <row r="2972" spans="4:19">
      <c r="D2972" s="104"/>
      <c r="E2972" s="104"/>
      <c r="F2972" s="104"/>
      <c r="G2972" s="104"/>
      <c r="H2972" s="104"/>
      <c r="I2972" s="104"/>
      <c r="J2972" s="104"/>
      <c r="K2972" s="104"/>
      <c r="L2972" s="104"/>
      <c r="M2972" s="104"/>
      <c r="N2972" s="104"/>
      <c r="O2972" s="104"/>
      <c r="P2972" s="104"/>
      <c r="Q2972" s="104"/>
      <c r="R2972" s="104"/>
      <c r="S2972" s="104"/>
    </row>
    <row r="2973" spans="4:19">
      <c r="D2973" s="104"/>
      <c r="E2973" s="104"/>
      <c r="F2973" s="104"/>
      <c r="G2973" s="104"/>
      <c r="H2973" s="104"/>
      <c r="I2973" s="104"/>
      <c r="J2973" s="104"/>
      <c r="K2973" s="104"/>
      <c r="L2973" s="104"/>
      <c r="M2973" s="104"/>
      <c r="N2973" s="104"/>
      <c r="O2973" s="104"/>
      <c r="P2973" s="104"/>
      <c r="Q2973" s="104"/>
      <c r="R2973" s="104"/>
      <c r="S2973" s="104"/>
    </row>
    <row r="2974" spans="4:19">
      <c r="D2974" s="104"/>
      <c r="E2974" s="104"/>
      <c r="F2974" s="104"/>
      <c r="G2974" s="104"/>
      <c r="H2974" s="104"/>
      <c r="I2974" s="104"/>
      <c r="J2974" s="104"/>
      <c r="K2974" s="104"/>
      <c r="L2974" s="104"/>
      <c r="M2974" s="104"/>
      <c r="N2974" s="104"/>
      <c r="O2974" s="104"/>
      <c r="P2974" s="104"/>
      <c r="Q2974" s="104"/>
      <c r="R2974" s="104"/>
      <c r="S2974" s="104"/>
    </row>
    <row r="2975" spans="4:19">
      <c r="D2975" s="104"/>
      <c r="E2975" s="104"/>
      <c r="F2975" s="104"/>
      <c r="G2975" s="104"/>
      <c r="H2975" s="104"/>
      <c r="I2975" s="104"/>
      <c r="J2975" s="104"/>
      <c r="K2975" s="104"/>
      <c r="L2975" s="104"/>
      <c r="M2975" s="104"/>
      <c r="N2975" s="104"/>
      <c r="O2975" s="104"/>
      <c r="P2975" s="104"/>
      <c r="Q2975" s="104"/>
      <c r="R2975" s="104"/>
      <c r="S2975" s="10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2978"/>
  <sheetViews>
    <sheetView topLeftCell="A13" workbookViewId="0">
      <selection activeCell="B26" sqref="B26"/>
    </sheetView>
  </sheetViews>
  <sheetFormatPr defaultRowHeight="14.4"/>
  <cols>
    <col min="1" max="1" width="24.44140625" customWidth="1"/>
    <col min="2" max="2" width="1.6640625" customWidth="1"/>
    <col min="3" max="3" width="36.44140625" customWidth="1"/>
    <col min="4" max="13" width="17" style="138" customWidth="1"/>
    <col min="14" max="14" width="19" style="138" bestFit="1" customWidth="1"/>
    <col min="15" max="17" width="17" style="138" customWidth="1"/>
    <col min="18" max="18" width="3.5546875" customWidth="1"/>
    <col min="19" max="19" width="15.44140625" bestFit="1" customWidth="1"/>
    <col min="20" max="20" width="14.6640625" bestFit="1" customWidth="1"/>
    <col min="21" max="21" width="8.88671875" bestFit="1" customWidth="1"/>
    <col min="22" max="22" width="12.33203125" bestFit="1" customWidth="1"/>
    <col min="23" max="23" width="113" bestFit="1" customWidth="1"/>
  </cols>
  <sheetData>
    <row r="1" spans="1:35" ht="17.399999999999999">
      <c r="A1" t="s">
        <v>35</v>
      </c>
      <c r="B1" s="62"/>
      <c r="C1" s="63" t="s">
        <v>60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S1" s="65"/>
      <c r="U1" t="s">
        <v>21</v>
      </c>
      <c r="V1" s="66"/>
    </row>
    <row r="2" spans="1:35" s="65" customFormat="1" ht="15" thickBot="1">
      <c r="A2" s="65" t="s">
        <v>121</v>
      </c>
      <c r="B2" s="67"/>
      <c r="C2" s="65" t="s">
        <v>109</v>
      </c>
      <c r="D2" s="68" t="s">
        <v>21</v>
      </c>
      <c r="E2" s="172"/>
      <c r="F2" s="172" t="s">
        <v>21</v>
      </c>
      <c r="G2" s="68" t="s">
        <v>21</v>
      </c>
      <c r="H2" s="68" t="s">
        <v>21</v>
      </c>
      <c r="I2" s="68" t="s">
        <v>21</v>
      </c>
      <c r="J2" s="68" t="s">
        <v>21</v>
      </c>
      <c r="K2" s="68" t="s">
        <v>21</v>
      </c>
      <c r="L2" s="68" t="s">
        <v>21</v>
      </c>
      <c r="M2" s="68"/>
      <c r="N2" s="68" t="s">
        <v>21</v>
      </c>
      <c r="O2" s="68" t="s">
        <v>21</v>
      </c>
      <c r="P2" s="68" t="s">
        <v>21</v>
      </c>
      <c r="Q2" s="68" t="s">
        <v>21</v>
      </c>
      <c r="R2"/>
      <c r="T2"/>
      <c r="U2"/>
      <c r="V2" s="66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ht="16.2" thickBot="1">
      <c r="A3" s="77">
        <v>700</v>
      </c>
      <c r="B3" s="69"/>
      <c r="D3" s="140">
        <v>1</v>
      </c>
      <c r="E3" s="141">
        <v>2</v>
      </c>
      <c r="F3" s="141">
        <v>3</v>
      </c>
      <c r="G3" s="141">
        <v>4</v>
      </c>
      <c r="H3" s="141">
        <v>5</v>
      </c>
      <c r="I3" s="141">
        <v>6</v>
      </c>
      <c r="J3" s="141">
        <v>7</v>
      </c>
      <c r="K3" s="141">
        <v>8</v>
      </c>
      <c r="L3" s="141">
        <v>9</v>
      </c>
      <c r="M3" s="141">
        <v>10</v>
      </c>
      <c r="N3" s="141">
        <v>11</v>
      </c>
      <c r="O3" s="140">
        <v>12</v>
      </c>
      <c r="P3" s="140">
        <v>13</v>
      </c>
      <c r="Q3" s="259">
        <v>14</v>
      </c>
      <c r="R3" t="s">
        <v>21</v>
      </c>
      <c r="S3" s="65"/>
      <c r="V3" s="66"/>
    </row>
    <row r="4" spans="1:35" s="73" customFormat="1" ht="16.2" thickBot="1">
      <c r="A4" s="77" t="s">
        <v>21</v>
      </c>
      <c r="B4" s="70"/>
      <c r="C4" s="71" t="s">
        <v>36</v>
      </c>
      <c r="D4" s="72" t="s">
        <v>2</v>
      </c>
      <c r="E4" s="72" t="s">
        <v>2</v>
      </c>
      <c r="F4" s="72" t="s">
        <v>2</v>
      </c>
      <c r="G4" s="72" t="s">
        <v>2</v>
      </c>
      <c r="H4" s="179" t="s">
        <v>2</v>
      </c>
      <c r="I4" s="179" t="s">
        <v>2</v>
      </c>
      <c r="J4" s="179" t="s">
        <v>2</v>
      </c>
      <c r="K4" s="139" t="s">
        <v>2</v>
      </c>
      <c r="L4" s="139" t="s">
        <v>2</v>
      </c>
      <c r="M4" s="139" t="s">
        <v>2</v>
      </c>
      <c r="N4" s="139" t="s">
        <v>2</v>
      </c>
      <c r="O4" s="139" t="s">
        <v>2</v>
      </c>
      <c r="P4" s="139" t="s">
        <v>2</v>
      </c>
      <c r="Q4" s="139" t="s">
        <v>2</v>
      </c>
      <c r="S4" s="65"/>
      <c r="T4" s="74"/>
      <c r="V4" s="75"/>
      <c r="W4" s="76"/>
      <c r="X4"/>
      <c r="Y4"/>
      <c r="Z4"/>
      <c r="AA4"/>
      <c r="AB4"/>
    </row>
    <row r="5" spans="1:35" s="78" customFormat="1" ht="16.2" thickBot="1">
      <c r="A5" s="77"/>
      <c r="C5" s="184" t="s">
        <v>55</v>
      </c>
      <c r="D5" s="143" t="s">
        <v>21</v>
      </c>
      <c r="E5" s="143" t="s">
        <v>21</v>
      </c>
      <c r="F5" s="143" t="s">
        <v>101</v>
      </c>
      <c r="G5" s="143">
        <v>5105235</v>
      </c>
      <c r="H5" s="143">
        <v>5113802</v>
      </c>
      <c r="I5" s="143" t="s">
        <v>21</v>
      </c>
      <c r="J5" s="143" t="s">
        <v>21</v>
      </c>
      <c r="K5" s="143">
        <v>5119269</v>
      </c>
      <c r="L5" s="143">
        <v>5119271</v>
      </c>
      <c r="M5" s="143">
        <v>5119274</v>
      </c>
      <c r="N5" s="143">
        <v>5135513</v>
      </c>
      <c r="O5" s="143" t="s">
        <v>21</v>
      </c>
      <c r="P5" s="143" t="s">
        <v>21</v>
      </c>
      <c r="Q5" s="143" t="s">
        <v>21</v>
      </c>
      <c r="R5"/>
      <c r="S5" s="79"/>
      <c r="T5"/>
      <c r="U5"/>
      <c r="V5" s="66"/>
      <c r="W5" s="80"/>
      <c r="X5"/>
      <c r="Y5"/>
      <c r="Z5"/>
      <c r="AA5"/>
      <c r="AB5"/>
      <c r="AC5"/>
      <c r="AD5"/>
      <c r="AE5"/>
      <c r="AF5"/>
      <c r="AG5"/>
      <c r="AH5"/>
      <c r="AI5"/>
    </row>
    <row r="6" spans="1:35" s="180" customFormat="1" ht="58.2" thickBot="1">
      <c r="A6" s="77"/>
      <c r="C6" s="185" t="s">
        <v>56</v>
      </c>
      <c r="D6" s="246" t="s">
        <v>85</v>
      </c>
      <c r="E6" s="246" t="s">
        <v>87</v>
      </c>
      <c r="F6" s="246" t="s">
        <v>88</v>
      </c>
      <c r="G6" s="247" t="s">
        <v>57</v>
      </c>
      <c r="H6" s="248" t="s">
        <v>58</v>
      </c>
      <c r="I6" s="248" t="s">
        <v>92</v>
      </c>
      <c r="J6" s="248" t="s">
        <v>93</v>
      </c>
      <c r="K6" s="246" t="s">
        <v>102</v>
      </c>
      <c r="L6" s="246" t="s">
        <v>103</v>
      </c>
      <c r="M6" s="247" t="s">
        <v>104</v>
      </c>
      <c r="N6" s="249" t="s">
        <v>59</v>
      </c>
      <c r="O6" s="248" t="s">
        <v>105</v>
      </c>
      <c r="P6" s="248" t="s">
        <v>106</v>
      </c>
      <c r="Q6" s="248" t="s">
        <v>107</v>
      </c>
      <c r="R6" s="163"/>
      <c r="S6" s="82"/>
      <c r="T6" s="163"/>
      <c r="U6" s="163"/>
      <c r="V6" s="164"/>
      <c r="W6" s="181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</row>
    <row r="7" spans="1:35" s="78" customFormat="1" ht="16.2" thickBot="1">
      <c r="A7" s="77"/>
      <c r="C7" s="186" t="s">
        <v>0</v>
      </c>
      <c r="D7" s="260">
        <v>0.8</v>
      </c>
      <c r="E7" s="260">
        <v>1.27</v>
      </c>
      <c r="F7" s="260">
        <v>1.27</v>
      </c>
      <c r="G7" s="174">
        <v>6.58</v>
      </c>
      <c r="H7" s="170">
        <v>12.06</v>
      </c>
      <c r="I7" s="170">
        <v>1.03</v>
      </c>
      <c r="J7" s="170">
        <v>1.74</v>
      </c>
      <c r="K7" s="173">
        <v>0.79</v>
      </c>
      <c r="L7" s="173">
        <v>0.69</v>
      </c>
      <c r="M7" s="174">
        <v>1.19</v>
      </c>
      <c r="N7" s="173">
        <v>13.2</v>
      </c>
      <c r="O7" s="170">
        <v>1.43</v>
      </c>
      <c r="P7" s="170">
        <v>1.52</v>
      </c>
      <c r="Q7" s="170">
        <v>1.8</v>
      </c>
      <c r="R7"/>
      <c r="S7" s="82"/>
      <c r="T7"/>
      <c r="U7"/>
      <c r="V7" s="66"/>
      <c r="W7" s="80"/>
      <c r="X7"/>
      <c r="Y7"/>
      <c r="Z7"/>
      <c r="AA7"/>
      <c r="AB7"/>
      <c r="AC7"/>
      <c r="AD7"/>
      <c r="AE7"/>
      <c r="AF7"/>
      <c r="AG7"/>
      <c r="AH7"/>
      <c r="AI7"/>
    </row>
    <row r="8" spans="1:35" s="78" customFormat="1" ht="15.6">
      <c r="A8" s="77"/>
      <c r="C8" s="175" t="s">
        <v>1</v>
      </c>
      <c r="D8" s="177">
        <f>SUM(3*D13)</f>
        <v>966</v>
      </c>
      <c r="E8" s="177">
        <f t="shared" ref="E8:Q8" si="0">SUM(3*E13)</f>
        <v>1800</v>
      </c>
      <c r="F8" s="177">
        <f t="shared" si="0"/>
        <v>1800</v>
      </c>
      <c r="G8" s="177">
        <f>SUM(2*G13)</f>
        <v>1420</v>
      </c>
      <c r="H8" s="177">
        <f>SUM(2*H13)</f>
        <v>1200</v>
      </c>
      <c r="I8" s="177">
        <f t="shared" si="0"/>
        <v>765</v>
      </c>
      <c r="J8" s="177">
        <f t="shared" si="0"/>
        <v>1752</v>
      </c>
      <c r="K8" s="177">
        <f t="shared" si="0"/>
        <v>2931</v>
      </c>
      <c r="L8" s="177">
        <f t="shared" si="0"/>
        <v>1839</v>
      </c>
      <c r="M8" s="177">
        <f t="shared" si="0"/>
        <v>1752</v>
      </c>
      <c r="N8" s="177">
        <f>SUM(2*N13)</f>
        <v>1954</v>
      </c>
      <c r="O8" s="177">
        <f t="shared" si="0"/>
        <v>2826</v>
      </c>
      <c r="P8" s="177">
        <f t="shared" si="0"/>
        <v>2931</v>
      </c>
      <c r="Q8" s="177">
        <f t="shared" si="0"/>
        <v>2931</v>
      </c>
      <c r="R8"/>
      <c r="S8" s="82"/>
      <c r="T8"/>
      <c r="U8"/>
      <c r="V8" s="66"/>
      <c r="W8" s="80"/>
      <c r="X8"/>
      <c r="Y8"/>
      <c r="Z8"/>
      <c r="AA8"/>
      <c r="AB8"/>
      <c r="AC8"/>
      <c r="AD8"/>
      <c r="AE8"/>
      <c r="AF8"/>
      <c r="AG8"/>
      <c r="AH8"/>
      <c r="AI8"/>
    </row>
    <row r="9" spans="1:35" s="78" customFormat="1" ht="15.6">
      <c r="A9" s="77"/>
      <c r="C9" s="261" t="s">
        <v>112</v>
      </c>
      <c r="D9" s="262">
        <f>SUM(D8*D15)</f>
        <v>1738.8</v>
      </c>
      <c r="E9" s="262">
        <f t="shared" ref="E9:Q9" si="1">SUM(E8*E15)</f>
        <v>8100</v>
      </c>
      <c r="F9" s="262">
        <f t="shared" si="1"/>
        <v>8100</v>
      </c>
      <c r="G9" s="262">
        <f>SUM(G8*G15)</f>
        <v>17040</v>
      </c>
      <c r="H9" s="262">
        <f t="shared" si="1"/>
        <v>24600</v>
      </c>
      <c r="I9" s="262">
        <f t="shared" si="1"/>
        <v>2295</v>
      </c>
      <c r="J9" s="262">
        <f t="shared" si="1"/>
        <v>8760</v>
      </c>
      <c r="K9" s="262">
        <f t="shared" si="1"/>
        <v>5862</v>
      </c>
      <c r="L9" s="262">
        <f t="shared" si="1"/>
        <v>3678</v>
      </c>
      <c r="M9" s="262">
        <f t="shared" si="1"/>
        <v>5256</v>
      </c>
      <c r="N9" s="262">
        <f t="shared" si="1"/>
        <v>42988</v>
      </c>
      <c r="O9" s="262">
        <f t="shared" si="1"/>
        <v>14130</v>
      </c>
      <c r="P9" s="262">
        <f t="shared" si="1"/>
        <v>14655</v>
      </c>
      <c r="Q9" s="262">
        <f t="shared" si="1"/>
        <v>14655</v>
      </c>
      <c r="R9"/>
      <c r="S9" s="82">
        <f>SUM(D9:Q9)</f>
        <v>171857.8</v>
      </c>
      <c r="T9" s="264">
        <f>SUM(S9*0.25)</f>
        <v>42964.45</v>
      </c>
      <c r="U9"/>
      <c r="V9" s="66"/>
      <c r="W9" s="80"/>
      <c r="X9"/>
      <c r="Y9"/>
      <c r="Z9"/>
      <c r="AA9"/>
      <c r="AB9"/>
      <c r="AC9"/>
      <c r="AD9"/>
      <c r="AE9"/>
      <c r="AF9"/>
      <c r="AG9"/>
      <c r="AH9"/>
      <c r="AI9"/>
    </row>
    <row r="10" spans="1:35" s="78" customFormat="1" ht="16.2" thickBot="1">
      <c r="A10" s="77"/>
      <c r="C10" s="81" t="s">
        <v>110</v>
      </c>
      <c r="D10" s="144">
        <f t="shared" ref="D10" si="2">SUM(6*500)</f>
        <v>3000</v>
      </c>
      <c r="E10" s="144">
        <v>8000</v>
      </c>
      <c r="F10" s="144">
        <v>7000</v>
      </c>
      <c r="G10" s="144">
        <v>8000</v>
      </c>
      <c r="H10" s="144">
        <v>8000</v>
      </c>
      <c r="I10" s="144">
        <v>2200</v>
      </c>
      <c r="J10" s="144">
        <v>4500</v>
      </c>
      <c r="K10" s="144">
        <v>13000</v>
      </c>
      <c r="L10" s="144">
        <v>10000</v>
      </c>
      <c r="M10" s="144">
        <v>8000</v>
      </c>
      <c r="N10" s="144">
        <v>10000</v>
      </c>
      <c r="O10" s="144">
        <v>6000</v>
      </c>
      <c r="P10" s="144">
        <v>10000</v>
      </c>
      <c r="Q10" s="144">
        <v>10000</v>
      </c>
      <c r="R10"/>
      <c r="S10" s="82"/>
      <c r="T10"/>
      <c r="U10"/>
      <c r="V10" s="66"/>
      <c r="W10" s="80"/>
      <c r="X10"/>
      <c r="Y10"/>
      <c r="Z10"/>
      <c r="AA10"/>
      <c r="AB10"/>
      <c r="AC10"/>
      <c r="AD10"/>
      <c r="AE10"/>
      <c r="AF10"/>
      <c r="AG10"/>
      <c r="AH10"/>
      <c r="AI10"/>
    </row>
    <row r="11" spans="1:35" s="78" customFormat="1" ht="16.2" thickBot="1">
      <c r="A11" s="77"/>
      <c r="C11" s="81" t="s">
        <v>111</v>
      </c>
      <c r="D11" s="144">
        <f>SUM(D10*0.6)</f>
        <v>1800</v>
      </c>
      <c r="E11" s="144">
        <f t="shared" ref="E11:Q11" si="3">SUM(E10*0.6)</f>
        <v>4800</v>
      </c>
      <c r="F11" s="144">
        <f t="shared" si="3"/>
        <v>4200</v>
      </c>
      <c r="G11" s="144">
        <v>4000</v>
      </c>
      <c r="H11" s="144">
        <v>4000</v>
      </c>
      <c r="I11" s="144">
        <f t="shared" si="3"/>
        <v>1320</v>
      </c>
      <c r="J11" s="144">
        <f t="shared" si="3"/>
        <v>2700</v>
      </c>
      <c r="K11" s="144">
        <f t="shared" si="3"/>
        <v>7800</v>
      </c>
      <c r="L11" s="144">
        <f t="shared" si="3"/>
        <v>6000</v>
      </c>
      <c r="M11" s="144">
        <f t="shared" si="3"/>
        <v>4800</v>
      </c>
      <c r="N11" s="144">
        <v>4000</v>
      </c>
      <c r="O11" s="144">
        <v>4200</v>
      </c>
      <c r="P11" s="144">
        <f t="shared" si="3"/>
        <v>6000</v>
      </c>
      <c r="Q11" s="144">
        <f t="shared" si="3"/>
        <v>6000</v>
      </c>
      <c r="R11"/>
      <c r="S11" s="82"/>
      <c r="T11"/>
      <c r="U11"/>
      <c r="V11" s="66"/>
      <c r="W11" s="80"/>
      <c r="X11"/>
      <c r="Y11"/>
      <c r="Z11"/>
      <c r="AA11"/>
      <c r="AB11"/>
      <c r="AC11"/>
      <c r="AD11"/>
      <c r="AE11"/>
      <c r="AF11"/>
      <c r="AG11"/>
      <c r="AH11"/>
      <c r="AI11"/>
    </row>
    <row r="12" spans="1:35" s="78" customFormat="1" ht="16.2" thickBot="1">
      <c r="A12" s="77"/>
      <c r="C12" s="261" t="s">
        <v>113</v>
      </c>
      <c r="D12" s="263">
        <f>SUM(D11*D15)</f>
        <v>3240</v>
      </c>
      <c r="E12" s="263">
        <f t="shared" ref="E12:Q12" si="4">SUM(E11*E15)</f>
        <v>21600</v>
      </c>
      <c r="F12" s="263">
        <f t="shared" si="4"/>
        <v>18900</v>
      </c>
      <c r="G12" s="263">
        <f t="shared" si="4"/>
        <v>48000</v>
      </c>
      <c r="H12" s="263">
        <f t="shared" si="4"/>
        <v>82000</v>
      </c>
      <c r="I12" s="263">
        <f t="shared" si="4"/>
        <v>3960</v>
      </c>
      <c r="J12" s="263">
        <f t="shared" si="4"/>
        <v>13500</v>
      </c>
      <c r="K12" s="263">
        <f t="shared" si="4"/>
        <v>15600</v>
      </c>
      <c r="L12" s="263">
        <f t="shared" si="4"/>
        <v>12000</v>
      </c>
      <c r="M12" s="263">
        <f t="shared" si="4"/>
        <v>14400</v>
      </c>
      <c r="N12" s="263">
        <f t="shared" si="4"/>
        <v>88000</v>
      </c>
      <c r="O12" s="263">
        <f t="shared" si="4"/>
        <v>21000</v>
      </c>
      <c r="P12" s="263">
        <f t="shared" si="4"/>
        <v>30000</v>
      </c>
      <c r="Q12" s="263">
        <f t="shared" si="4"/>
        <v>30000</v>
      </c>
      <c r="R12"/>
      <c r="S12" s="82">
        <v>0</v>
      </c>
      <c r="T12" s="265" t="s">
        <v>21</v>
      </c>
      <c r="U12"/>
      <c r="V12" s="66"/>
      <c r="W12" s="80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s="78" customFormat="1" ht="16.2" thickBot="1">
      <c r="A13" s="77"/>
      <c r="C13" s="178" t="s">
        <v>108</v>
      </c>
      <c r="D13" s="162">
        <v>322</v>
      </c>
      <c r="E13" s="162">
        <v>600</v>
      </c>
      <c r="F13" s="162">
        <v>600</v>
      </c>
      <c r="G13" s="162">
        <v>710</v>
      </c>
      <c r="H13" s="162">
        <v>600</v>
      </c>
      <c r="I13" s="162">
        <v>255</v>
      </c>
      <c r="J13" s="162">
        <v>584</v>
      </c>
      <c r="K13" s="162">
        <v>977</v>
      </c>
      <c r="L13" s="162">
        <v>613</v>
      </c>
      <c r="M13" s="162">
        <v>584</v>
      </c>
      <c r="N13" s="162">
        <v>977</v>
      </c>
      <c r="O13" s="162">
        <v>942</v>
      </c>
      <c r="P13" s="162">
        <v>977</v>
      </c>
      <c r="Q13" s="162">
        <v>977</v>
      </c>
      <c r="R13"/>
      <c r="S13" s="82"/>
      <c r="T13"/>
      <c r="U13"/>
      <c r="V13" s="66"/>
      <c r="W13" s="80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 s="83" customFormat="1">
      <c r="B14" s="84"/>
      <c r="C14" s="84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/>
      <c r="S14" s="86"/>
      <c r="T14"/>
      <c r="U14"/>
      <c r="V14" s="66"/>
      <c r="W14" s="80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s="142" customFormat="1">
      <c r="A15" s="142" t="s">
        <v>37</v>
      </c>
      <c r="D15" s="252">
        <v>1.8</v>
      </c>
      <c r="E15" s="252">
        <v>4.5</v>
      </c>
      <c r="F15" s="252">
        <v>4.5</v>
      </c>
      <c r="G15" s="252">
        <v>12</v>
      </c>
      <c r="H15" s="252">
        <v>20.5</v>
      </c>
      <c r="I15" s="252">
        <v>3</v>
      </c>
      <c r="J15" s="252">
        <v>5</v>
      </c>
      <c r="K15" s="252">
        <v>2</v>
      </c>
      <c r="L15" s="252">
        <v>2</v>
      </c>
      <c r="M15" s="252">
        <v>3</v>
      </c>
      <c r="N15" s="252">
        <v>22</v>
      </c>
      <c r="O15" s="252">
        <v>5</v>
      </c>
      <c r="P15" s="252">
        <v>5</v>
      </c>
      <c r="Q15" s="252">
        <v>5</v>
      </c>
      <c r="R15" s="250"/>
      <c r="S15" s="253"/>
      <c r="T15" s="250"/>
      <c r="U15" s="250"/>
      <c r="V15" s="251"/>
      <c r="W15" s="254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</row>
    <row r="16" spans="1:35" s="83" customFormat="1">
      <c r="A16" s="83" t="s">
        <v>38</v>
      </c>
      <c r="B16" s="142" t="s">
        <v>21</v>
      </c>
      <c r="C16" s="84" t="s">
        <v>21</v>
      </c>
      <c r="D16" s="145">
        <f t="shared" ref="D16" si="5">SUM(D15*2)-0.01</f>
        <v>3.5900000000000003</v>
      </c>
      <c r="E16" s="145">
        <f t="shared" ref="E16:Q16" si="6">SUM(E15*2)-0.01</f>
        <v>8.99</v>
      </c>
      <c r="F16" s="145">
        <f t="shared" si="6"/>
        <v>8.99</v>
      </c>
      <c r="G16" s="145">
        <f t="shared" si="6"/>
        <v>23.99</v>
      </c>
      <c r="H16" s="145">
        <f t="shared" si="6"/>
        <v>40.99</v>
      </c>
      <c r="I16" s="145">
        <f t="shared" si="6"/>
        <v>5.99</v>
      </c>
      <c r="J16" s="145">
        <f t="shared" si="6"/>
        <v>9.99</v>
      </c>
      <c r="K16" s="145">
        <f t="shared" si="6"/>
        <v>3.99</v>
      </c>
      <c r="L16" s="145">
        <f t="shared" si="6"/>
        <v>3.99</v>
      </c>
      <c r="M16" s="145">
        <f t="shared" si="6"/>
        <v>5.99</v>
      </c>
      <c r="N16" s="145">
        <f t="shared" si="6"/>
        <v>43.99</v>
      </c>
      <c r="O16" s="145">
        <f t="shared" si="6"/>
        <v>9.99</v>
      </c>
      <c r="P16" s="145">
        <f t="shared" si="6"/>
        <v>9.99</v>
      </c>
      <c r="Q16" s="145">
        <f t="shared" si="6"/>
        <v>9.99</v>
      </c>
      <c r="R16"/>
      <c r="S16" s="86"/>
      <c r="T16"/>
      <c r="U16"/>
      <c r="V16" s="66"/>
      <c r="W16" s="89"/>
      <c r="X16"/>
      <c r="Y16"/>
      <c r="Z16"/>
      <c r="AA16"/>
      <c r="AB16"/>
      <c r="AC16"/>
      <c r="AD16"/>
      <c r="AE16"/>
      <c r="AF16"/>
      <c r="AG16"/>
      <c r="AH16"/>
      <c r="AI16"/>
    </row>
    <row r="17" spans="1:58" s="83" customFormat="1">
      <c r="A17" s="83" t="s">
        <v>39</v>
      </c>
      <c r="B17" s="88"/>
      <c r="C17" s="84"/>
      <c r="D17" s="145">
        <f t="shared" ref="D17:Q17" si="7">SUM(D16/0.75)</f>
        <v>4.7866666666666671</v>
      </c>
      <c r="E17" s="145">
        <f t="shared" si="7"/>
        <v>11.986666666666666</v>
      </c>
      <c r="F17" s="145">
        <f t="shared" si="7"/>
        <v>11.986666666666666</v>
      </c>
      <c r="G17" s="145">
        <f t="shared" si="7"/>
        <v>31.986666666666665</v>
      </c>
      <c r="H17" s="145">
        <f t="shared" si="7"/>
        <v>54.653333333333336</v>
      </c>
      <c r="I17" s="145">
        <f t="shared" si="7"/>
        <v>7.9866666666666672</v>
      </c>
      <c r="J17" s="145">
        <f t="shared" si="7"/>
        <v>13.32</v>
      </c>
      <c r="K17" s="145">
        <f t="shared" si="7"/>
        <v>5.32</v>
      </c>
      <c r="L17" s="145">
        <f t="shared" si="7"/>
        <v>5.32</v>
      </c>
      <c r="M17" s="145">
        <f t="shared" si="7"/>
        <v>7.9866666666666672</v>
      </c>
      <c r="N17" s="145">
        <f t="shared" si="7"/>
        <v>58.653333333333336</v>
      </c>
      <c r="O17" s="145">
        <f t="shared" si="7"/>
        <v>13.32</v>
      </c>
      <c r="P17" s="145">
        <f t="shared" si="7"/>
        <v>13.32</v>
      </c>
      <c r="Q17" s="145">
        <f t="shared" si="7"/>
        <v>13.32</v>
      </c>
      <c r="R17"/>
      <c r="S17" s="86"/>
      <c r="T17"/>
      <c r="U17"/>
      <c r="V17" s="66"/>
      <c r="W17" s="89"/>
      <c r="X17"/>
      <c r="Y17"/>
      <c r="Z17"/>
      <c r="AA17"/>
      <c r="AB17"/>
      <c r="AC17"/>
      <c r="AD17"/>
      <c r="AE17"/>
      <c r="AF17"/>
      <c r="AG17"/>
      <c r="AH17"/>
      <c r="AI17"/>
    </row>
    <row r="18" spans="1:58" s="83" customFormat="1">
      <c r="A18" s="83" t="s">
        <v>122</v>
      </c>
      <c r="B18" s="84"/>
      <c r="C18" s="84"/>
      <c r="D18" s="90">
        <f t="shared" ref="D18" si="8">SUM(D16-D15)/D16</f>
        <v>0.49860724233983289</v>
      </c>
      <c r="E18" s="90">
        <f t="shared" ref="E18:Q18" si="9">SUM(E16-E15)/E16</f>
        <v>0.49944382647385988</v>
      </c>
      <c r="F18" s="90">
        <f t="shared" si="9"/>
        <v>0.49944382647385988</v>
      </c>
      <c r="G18" s="90">
        <f t="shared" si="9"/>
        <v>0.499791579824927</v>
      </c>
      <c r="H18" s="90">
        <f t="shared" si="9"/>
        <v>0.49987801902903151</v>
      </c>
      <c r="I18" s="90">
        <f t="shared" si="9"/>
        <v>0.4991652754590985</v>
      </c>
      <c r="J18" s="90">
        <f t="shared" si="9"/>
        <v>0.49949949949949951</v>
      </c>
      <c r="K18" s="90">
        <f t="shared" si="9"/>
        <v>0.49874686716791983</v>
      </c>
      <c r="L18" s="90">
        <f t="shared" si="9"/>
        <v>0.49874686716791983</v>
      </c>
      <c r="M18" s="90">
        <f t="shared" si="9"/>
        <v>0.4991652754590985</v>
      </c>
      <c r="N18" s="90">
        <f t="shared" si="9"/>
        <v>0.4998863378040464</v>
      </c>
      <c r="O18" s="90">
        <f t="shared" si="9"/>
        <v>0.49949949949949951</v>
      </c>
      <c r="P18" s="90">
        <f t="shared" si="9"/>
        <v>0.49949949949949951</v>
      </c>
      <c r="Q18" s="90">
        <f t="shared" si="9"/>
        <v>0.49949949949949951</v>
      </c>
      <c r="R18"/>
      <c r="S18" s="91" t="s">
        <v>21</v>
      </c>
      <c r="T18"/>
      <c r="U18"/>
      <c r="V18" s="66"/>
      <c r="W18" s="89"/>
      <c r="X18"/>
      <c r="Y18"/>
      <c r="Z18"/>
      <c r="AA18"/>
      <c r="AB18"/>
      <c r="AC18"/>
      <c r="AD18"/>
      <c r="AE18"/>
      <c r="AF18"/>
      <c r="AG18"/>
      <c r="AH18"/>
      <c r="AI18"/>
    </row>
    <row r="19" spans="1:58" s="83" customFormat="1">
      <c r="A19" s="83" t="s">
        <v>40</v>
      </c>
      <c r="B19" s="84" t="s">
        <v>21</v>
      </c>
      <c r="C19" s="84"/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/>
      <c r="S19" s="91"/>
      <c r="T19"/>
      <c r="U19"/>
      <c r="V19" s="66"/>
      <c r="W19" s="89"/>
      <c r="X19"/>
      <c r="Y19"/>
      <c r="Z19"/>
      <c r="AA19"/>
      <c r="AB19"/>
      <c r="AC19"/>
      <c r="AD19"/>
      <c r="AE19"/>
      <c r="AF19"/>
      <c r="AG19"/>
      <c r="AH19"/>
      <c r="AI19"/>
    </row>
    <row r="20" spans="1:58" s="83" customFormat="1">
      <c r="A20" s="83" t="s">
        <v>41</v>
      </c>
      <c r="B20" s="84"/>
      <c r="C20" s="84"/>
      <c r="D20" s="92">
        <f t="shared" ref="D20:Q20" si="10">SUM(D15*D19)</f>
        <v>0</v>
      </c>
      <c r="E20" s="92">
        <f t="shared" si="10"/>
        <v>0</v>
      </c>
      <c r="F20" s="92">
        <f t="shared" si="10"/>
        <v>0</v>
      </c>
      <c r="G20" s="92">
        <f t="shared" si="10"/>
        <v>0</v>
      </c>
      <c r="H20" s="92">
        <f t="shared" si="10"/>
        <v>0</v>
      </c>
      <c r="I20" s="92">
        <f t="shared" si="10"/>
        <v>0</v>
      </c>
      <c r="J20" s="92">
        <f t="shared" si="10"/>
        <v>0</v>
      </c>
      <c r="K20" s="92">
        <f t="shared" si="10"/>
        <v>0</v>
      </c>
      <c r="L20" s="92">
        <f t="shared" si="10"/>
        <v>0</v>
      </c>
      <c r="M20" s="92">
        <f t="shared" si="10"/>
        <v>0</v>
      </c>
      <c r="N20" s="92">
        <f t="shared" si="10"/>
        <v>0</v>
      </c>
      <c r="O20" s="92">
        <f t="shared" si="10"/>
        <v>0</v>
      </c>
      <c r="P20" s="92">
        <f t="shared" si="10"/>
        <v>0</v>
      </c>
      <c r="Q20" s="92">
        <f t="shared" si="10"/>
        <v>0</v>
      </c>
      <c r="R20"/>
      <c r="S20" s="93" t="s">
        <v>21</v>
      </c>
      <c r="T20"/>
      <c r="U20"/>
      <c r="V20" s="66"/>
      <c r="W20" s="89"/>
      <c r="X20"/>
      <c r="Y20"/>
      <c r="Z20"/>
      <c r="AA20"/>
      <c r="AB20"/>
      <c r="AC20"/>
      <c r="AD20"/>
      <c r="AE20"/>
      <c r="AF20"/>
      <c r="AG20"/>
      <c r="AH20"/>
      <c r="AI20"/>
    </row>
    <row r="21" spans="1:58" s="83" customFormat="1">
      <c r="A21" s="83" t="s">
        <v>123</v>
      </c>
      <c r="B21" s="84"/>
      <c r="C21" s="84"/>
      <c r="D21" s="90">
        <f t="shared" ref="D21" si="11">SUM(D17-D15)/D17</f>
        <v>0.62395543175487467</v>
      </c>
      <c r="E21" s="90">
        <f t="shared" ref="E21:Q21" si="12">SUM(E17-E15)/E17</f>
        <v>0.62458286985539491</v>
      </c>
      <c r="F21" s="90">
        <f t="shared" si="12"/>
        <v>0.62458286985539491</v>
      </c>
      <c r="G21" s="90">
        <f t="shared" si="12"/>
        <v>0.62484368486869524</v>
      </c>
      <c r="H21" s="90">
        <f t="shared" si="12"/>
        <v>0.62490851427177363</v>
      </c>
      <c r="I21" s="90">
        <f t="shared" si="12"/>
        <v>0.62437395659432393</v>
      </c>
      <c r="J21" s="90">
        <f t="shared" si="12"/>
        <v>0.62462462462462465</v>
      </c>
      <c r="K21" s="90">
        <f t="shared" si="12"/>
        <v>0.62406015037593987</v>
      </c>
      <c r="L21" s="90">
        <f t="shared" si="12"/>
        <v>0.62406015037593987</v>
      </c>
      <c r="M21" s="90">
        <f t="shared" si="12"/>
        <v>0.62437395659432393</v>
      </c>
      <c r="N21" s="90">
        <f t="shared" si="12"/>
        <v>0.62491475335303481</v>
      </c>
      <c r="O21" s="90">
        <f t="shared" si="12"/>
        <v>0.62462462462462465</v>
      </c>
      <c r="P21" s="90">
        <f t="shared" si="12"/>
        <v>0.62462462462462465</v>
      </c>
      <c r="Q21" s="90">
        <f t="shared" si="12"/>
        <v>0.62462462462462465</v>
      </c>
      <c r="R21"/>
      <c r="S21" s="93"/>
      <c r="T21"/>
      <c r="U21"/>
      <c r="V21" s="66"/>
      <c r="W21" s="89"/>
      <c r="X21"/>
      <c r="Y21"/>
      <c r="Z21"/>
      <c r="AA21"/>
      <c r="AB21"/>
      <c r="AC21"/>
      <c r="AD21"/>
      <c r="AE21"/>
      <c r="AF21"/>
      <c r="AG21"/>
      <c r="AH21"/>
      <c r="AI21"/>
    </row>
    <row r="22" spans="1:58" s="83" customFormat="1">
      <c r="A22" s="83" t="s">
        <v>49</v>
      </c>
      <c r="B22" s="84"/>
      <c r="C22" s="84"/>
      <c r="D22" s="92">
        <v>0</v>
      </c>
      <c r="E22" s="92">
        <v>0</v>
      </c>
      <c r="F22" s="92">
        <v>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92">
        <v>0</v>
      </c>
      <c r="N22" s="92">
        <v>0</v>
      </c>
      <c r="O22" s="92">
        <v>0</v>
      </c>
      <c r="P22" s="92">
        <v>0</v>
      </c>
      <c r="Q22" s="92">
        <v>0</v>
      </c>
      <c r="R22" t="s">
        <v>21</v>
      </c>
      <c r="S22" s="91"/>
      <c r="T22"/>
      <c r="U22"/>
      <c r="V22" s="66"/>
      <c r="W22" s="76"/>
      <c r="X22"/>
      <c r="Y22"/>
      <c r="Z22"/>
      <c r="AA22"/>
      <c r="AB22"/>
      <c r="AC22"/>
      <c r="AD22"/>
      <c r="AE22"/>
      <c r="AF22"/>
      <c r="AG22"/>
      <c r="AH22"/>
      <c r="AI22"/>
    </row>
    <row r="23" spans="1:58" s="94" customFormat="1" ht="15" thickBot="1">
      <c r="A23" s="94" t="s">
        <v>52</v>
      </c>
      <c r="D23" s="95">
        <v>1000</v>
      </c>
      <c r="E23" s="95">
        <v>1000</v>
      </c>
      <c r="F23" s="95">
        <v>1000</v>
      </c>
      <c r="G23" s="95">
        <v>1000</v>
      </c>
      <c r="H23" s="95">
        <v>1000</v>
      </c>
      <c r="I23" s="95">
        <v>1000</v>
      </c>
      <c r="J23" s="95">
        <v>1000</v>
      </c>
      <c r="K23" s="95">
        <v>1000</v>
      </c>
      <c r="L23" s="95">
        <v>1000</v>
      </c>
      <c r="M23" s="95">
        <v>1000</v>
      </c>
      <c r="N23" s="95">
        <v>1000</v>
      </c>
      <c r="O23" s="95">
        <v>1000</v>
      </c>
      <c r="P23" s="95">
        <v>1000</v>
      </c>
      <c r="Q23" s="95">
        <v>1000</v>
      </c>
      <c r="R23" s="78" t="s">
        <v>21</v>
      </c>
      <c r="S23" s="96"/>
      <c r="T23"/>
      <c r="U23"/>
      <c r="V23" s="97" t="s">
        <v>21</v>
      </c>
      <c r="W23" s="76"/>
      <c r="X23"/>
      <c r="Y23"/>
      <c r="Z23"/>
      <c r="AA23"/>
      <c r="AB23"/>
      <c r="AC23"/>
      <c r="AD23"/>
      <c r="AE23"/>
      <c r="AF23"/>
      <c r="AG23"/>
      <c r="AH23"/>
      <c r="AI23"/>
    </row>
    <row r="24" spans="1:58" s="94" customFormat="1" ht="15" thickBot="1">
      <c r="A24" s="94" t="s">
        <v>52</v>
      </c>
      <c r="D24" s="92">
        <v>1000</v>
      </c>
      <c r="E24" s="92">
        <v>1000</v>
      </c>
      <c r="F24" s="92">
        <v>1000</v>
      </c>
      <c r="G24" s="92">
        <v>1000</v>
      </c>
      <c r="H24" s="92">
        <v>1000</v>
      </c>
      <c r="I24" s="92">
        <v>1000</v>
      </c>
      <c r="J24" s="92">
        <v>1000</v>
      </c>
      <c r="K24" s="92">
        <v>1000</v>
      </c>
      <c r="L24" s="92">
        <v>1000</v>
      </c>
      <c r="M24" s="92">
        <v>1000</v>
      </c>
      <c r="N24" s="92">
        <v>1000</v>
      </c>
      <c r="O24" s="92">
        <v>1000</v>
      </c>
      <c r="P24" s="92">
        <v>1000</v>
      </c>
      <c r="Q24" s="92">
        <v>1000</v>
      </c>
      <c r="R24" s="78"/>
      <c r="S24" s="96" t="s">
        <v>21</v>
      </c>
      <c r="T24" s="163" t="s">
        <v>21</v>
      </c>
      <c r="U24" s="166" t="s">
        <v>21</v>
      </c>
      <c r="V24" s="100" t="s">
        <v>21</v>
      </c>
      <c r="W24" s="98"/>
      <c r="X24"/>
      <c r="Y24"/>
      <c r="Z24"/>
      <c r="AA24"/>
      <c r="AB24"/>
      <c r="AC24"/>
      <c r="AD24"/>
      <c r="AE24"/>
      <c r="AF24"/>
      <c r="AG24"/>
      <c r="AH24"/>
      <c r="AI24"/>
    </row>
    <row r="25" spans="1:58" s="94" customFormat="1"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78"/>
      <c r="S25" s="96"/>
      <c r="T25" s="163"/>
      <c r="U25" s="169"/>
      <c r="V25" s="100"/>
      <c r="W25" s="98"/>
      <c r="X25"/>
      <c r="Y25"/>
      <c r="Z25"/>
      <c r="AA25"/>
      <c r="AB25"/>
      <c r="AC25"/>
      <c r="AD25"/>
      <c r="AE25"/>
      <c r="AF25"/>
      <c r="AG25"/>
      <c r="AH25"/>
      <c r="AI25"/>
    </row>
    <row r="26" spans="1:58" s="83" customFormat="1">
      <c r="A26" s="83" t="s">
        <v>50</v>
      </c>
      <c r="B26" s="84"/>
      <c r="C26" s="84"/>
      <c r="D26" s="99">
        <f t="shared" ref="D26:Q26" si="13">D11</f>
        <v>1800</v>
      </c>
      <c r="E26" s="99">
        <f t="shared" si="13"/>
        <v>4800</v>
      </c>
      <c r="F26" s="99">
        <f t="shared" si="13"/>
        <v>4200</v>
      </c>
      <c r="G26" s="99">
        <v>3900</v>
      </c>
      <c r="H26" s="99">
        <f t="shared" si="13"/>
        <v>4000</v>
      </c>
      <c r="I26" s="99">
        <f t="shared" si="13"/>
        <v>1320</v>
      </c>
      <c r="J26" s="99">
        <f t="shared" si="13"/>
        <v>2700</v>
      </c>
      <c r="K26" s="99">
        <f t="shared" si="13"/>
        <v>7800</v>
      </c>
      <c r="L26" s="99">
        <f t="shared" si="13"/>
        <v>6000</v>
      </c>
      <c r="M26" s="99">
        <f t="shared" si="13"/>
        <v>4800</v>
      </c>
      <c r="N26" s="99">
        <v>3900</v>
      </c>
      <c r="O26" s="99">
        <f t="shared" si="13"/>
        <v>4200</v>
      </c>
      <c r="P26" s="99">
        <f t="shared" si="13"/>
        <v>6000</v>
      </c>
      <c r="Q26" s="99">
        <f t="shared" si="13"/>
        <v>6000</v>
      </c>
      <c r="R26"/>
      <c r="S26" s="91"/>
      <c r="T26"/>
      <c r="U26"/>
      <c r="V26" s="100"/>
      <c r="W26" s="80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s="83" customFormat="1" ht="15" thickBot="1">
      <c r="A27" s="83" t="s">
        <v>51</v>
      </c>
      <c r="B27" s="84"/>
      <c r="C27" s="84"/>
      <c r="D27" s="101">
        <f t="shared" ref="D27:Q27" si="14">SUM(D26*D15)</f>
        <v>3240</v>
      </c>
      <c r="E27" s="101">
        <f t="shared" si="14"/>
        <v>21600</v>
      </c>
      <c r="F27" s="101">
        <f t="shared" si="14"/>
        <v>18900</v>
      </c>
      <c r="G27" s="101">
        <f t="shared" si="14"/>
        <v>46800</v>
      </c>
      <c r="H27" s="101">
        <f t="shared" si="14"/>
        <v>82000</v>
      </c>
      <c r="I27" s="101">
        <f t="shared" si="14"/>
        <v>3960</v>
      </c>
      <c r="J27" s="101">
        <f t="shared" si="14"/>
        <v>13500</v>
      </c>
      <c r="K27" s="101">
        <f t="shared" si="14"/>
        <v>15600</v>
      </c>
      <c r="L27" s="101">
        <f t="shared" si="14"/>
        <v>12000</v>
      </c>
      <c r="M27" s="101">
        <f t="shared" si="14"/>
        <v>14400</v>
      </c>
      <c r="N27" s="101">
        <f t="shared" si="14"/>
        <v>85800</v>
      </c>
      <c r="O27" s="101">
        <f t="shared" si="14"/>
        <v>21000</v>
      </c>
      <c r="P27" s="101">
        <f t="shared" si="14"/>
        <v>30000</v>
      </c>
      <c r="Q27" s="101">
        <f t="shared" si="14"/>
        <v>30000</v>
      </c>
      <c r="R27"/>
      <c r="S27" s="102">
        <f>SUM(D27:Q27)</f>
        <v>398800</v>
      </c>
      <c r="T27" s="103" t="s">
        <v>21</v>
      </c>
      <c r="U27" s="83" t="s">
        <v>21</v>
      </c>
      <c r="V27" s="66"/>
      <c r="W27" s="80"/>
      <c r="X27"/>
      <c r="Y27"/>
      <c r="Z27"/>
      <c r="AA27"/>
      <c r="AB27"/>
      <c r="AC27"/>
      <c r="AD27"/>
      <c r="AE27"/>
      <c r="AF27"/>
      <c r="AG27"/>
      <c r="AH27"/>
      <c r="AI27"/>
    </row>
    <row r="28" spans="1:58" s="104" customFormat="1">
      <c r="B28" s="105"/>
      <c r="C28" s="105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82"/>
      <c r="P28" s="182"/>
      <c r="Q28" s="182"/>
      <c r="S28" s="107"/>
      <c r="V28" s="66"/>
      <c r="W28" s="80"/>
      <c r="X28"/>
      <c r="Y28"/>
      <c r="Z28"/>
      <c r="AA28"/>
      <c r="AB28"/>
    </row>
    <row r="29" spans="1:58" s="83" customFormat="1">
      <c r="A29" s="83" t="s">
        <v>42</v>
      </c>
      <c r="B29" s="84"/>
      <c r="C29" s="84">
        <v>0.1</v>
      </c>
      <c r="D29" s="109">
        <f t="shared" ref="D29:Q30" si="15">SUM(D$27*$C29)</f>
        <v>324</v>
      </c>
      <c r="E29" s="109">
        <f t="shared" si="15"/>
        <v>2160</v>
      </c>
      <c r="F29" s="109">
        <f t="shared" si="15"/>
        <v>1890</v>
      </c>
      <c r="G29" s="109">
        <f t="shared" si="15"/>
        <v>4680</v>
      </c>
      <c r="H29" s="109">
        <f t="shared" si="15"/>
        <v>8200</v>
      </c>
      <c r="I29" s="109">
        <f t="shared" si="15"/>
        <v>396</v>
      </c>
      <c r="J29" s="109">
        <f t="shared" si="15"/>
        <v>1350</v>
      </c>
      <c r="K29" s="109">
        <f t="shared" si="15"/>
        <v>1560</v>
      </c>
      <c r="L29" s="109">
        <f t="shared" si="15"/>
        <v>1200</v>
      </c>
      <c r="M29" s="109">
        <f t="shared" si="15"/>
        <v>1440</v>
      </c>
      <c r="N29" s="109">
        <f t="shared" si="15"/>
        <v>8580</v>
      </c>
      <c r="O29" s="109">
        <f t="shared" si="15"/>
        <v>2100</v>
      </c>
      <c r="P29" s="109">
        <f t="shared" si="15"/>
        <v>3000</v>
      </c>
      <c r="Q29" s="109">
        <f t="shared" si="15"/>
        <v>3000</v>
      </c>
      <c r="R29"/>
      <c r="S29" s="108">
        <f>SUM($C29*$S$27)</f>
        <v>39880</v>
      </c>
      <c r="T29"/>
      <c r="U29"/>
      <c r="V29" s="110"/>
      <c r="W29" s="76"/>
      <c r="X29"/>
      <c r="Y29"/>
      <c r="Z29"/>
      <c r="AA29"/>
      <c r="AB29"/>
      <c r="AC29"/>
      <c r="AD29"/>
      <c r="AE29"/>
      <c r="AF29"/>
      <c r="AG29"/>
      <c r="AH29"/>
      <c r="AI29"/>
    </row>
    <row r="30" spans="1:58" s="83" customFormat="1">
      <c r="A30" s="83" t="s">
        <v>43</v>
      </c>
      <c r="B30" s="84"/>
      <c r="C30" s="84">
        <v>0</v>
      </c>
      <c r="D30" s="109">
        <f t="shared" si="15"/>
        <v>0</v>
      </c>
      <c r="E30" s="109">
        <f t="shared" si="15"/>
        <v>0</v>
      </c>
      <c r="F30" s="109">
        <f t="shared" si="15"/>
        <v>0</v>
      </c>
      <c r="G30" s="109">
        <f t="shared" si="15"/>
        <v>0</v>
      </c>
      <c r="H30" s="109">
        <f t="shared" si="15"/>
        <v>0</v>
      </c>
      <c r="I30" s="109">
        <f t="shared" si="15"/>
        <v>0</v>
      </c>
      <c r="J30" s="109">
        <f t="shared" si="15"/>
        <v>0</v>
      </c>
      <c r="K30" s="109">
        <f t="shared" si="15"/>
        <v>0</v>
      </c>
      <c r="L30" s="109">
        <f t="shared" si="15"/>
        <v>0</v>
      </c>
      <c r="M30" s="109">
        <f t="shared" si="15"/>
        <v>0</v>
      </c>
      <c r="N30" s="109">
        <f t="shared" si="15"/>
        <v>0</v>
      </c>
      <c r="O30" s="109">
        <f t="shared" si="15"/>
        <v>0</v>
      </c>
      <c r="P30" s="109">
        <f t="shared" si="15"/>
        <v>0</v>
      </c>
      <c r="Q30" s="109">
        <f t="shared" si="15"/>
        <v>0</v>
      </c>
      <c r="R30"/>
      <c r="S30" s="108">
        <v>0</v>
      </c>
      <c r="T30"/>
      <c r="U30"/>
      <c r="V30" s="66"/>
      <c r="W30" s="111"/>
      <c r="X30"/>
      <c r="Y30"/>
      <c r="Z30"/>
      <c r="AA30"/>
      <c r="AB30"/>
      <c r="AC30"/>
      <c r="AD30"/>
      <c r="AE30"/>
      <c r="AF30"/>
      <c r="AG30"/>
      <c r="AH30"/>
      <c r="AI30"/>
    </row>
    <row r="31" spans="1:58" s="83" customFormat="1">
      <c r="A31" s="83" t="s">
        <v>53</v>
      </c>
      <c r="B31" s="171">
        <v>0.2</v>
      </c>
      <c r="C31" s="84"/>
      <c r="D31" s="109"/>
      <c r="E31" s="109"/>
      <c r="F31" s="109"/>
      <c r="G31" s="109"/>
      <c r="H31" s="109"/>
      <c r="I31" s="109"/>
      <c r="J31" s="109"/>
      <c r="K31" s="109" t="s">
        <v>21</v>
      </c>
      <c r="L31" s="109" t="s">
        <v>21</v>
      </c>
      <c r="M31" s="109" t="s">
        <v>21</v>
      </c>
      <c r="N31" s="109" t="s">
        <v>21</v>
      </c>
      <c r="O31" s="109" t="s">
        <v>21</v>
      </c>
      <c r="P31" s="109" t="s">
        <v>21</v>
      </c>
      <c r="Q31" s="109" t="s">
        <v>21</v>
      </c>
      <c r="R31"/>
      <c r="S31" s="109">
        <v>50000</v>
      </c>
      <c r="T31" s="267"/>
      <c r="U31" s="66"/>
      <c r="V31" s="66"/>
      <c r="W31" s="111"/>
      <c r="X31"/>
      <c r="Y31"/>
      <c r="Z31"/>
      <c r="AA31"/>
      <c r="AB31"/>
      <c r="AC31"/>
      <c r="AD31"/>
      <c r="AE31"/>
      <c r="AF31"/>
      <c r="AG31"/>
      <c r="AH31"/>
      <c r="AI31"/>
    </row>
    <row r="32" spans="1:58" s="83" customFormat="1">
      <c r="A32" s="83" t="s">
        <v>44</v>
      </c>
      <c r="B32" s="84" t="s">
        <v>21</v>
      </c>
      <c r="C32" s="84">
        <v>0</v>
      </c>
      <c r="D32" s="109">
        <f t="shared" ref="D32:Q32" si="16">SUM(D$27*$C32)</f>
        <v>0</v>
      </c>
      <c r="E32" s="109">
        <f t="shared" si="16"/>
        <v>0</v>
      </c>
      <c r="F32" s="109">
        <f t="shared" si="16"/>
        <v>0</v>
      </c>
      <c r="G32" s="109">
        <f t="shared" si="16"/>
        <v>0</v>
      </c>
      <c r="H32" s="109">
        <f t="shared" si="16"/>
        <v>0</v>
      </c>
      <c r="I32" s="109">
        <f t="shared" si="16"/>
        <v>0</v>
      </c>
      <c r="J32" s="109">
        <f t="shared" si="16"/>
        <v>0</v>
      </c>
      <c r="K32" s="109">
        <f t="shared" si="16"/>
        <v>0</v>
      </c>
      <c r="L32" s="109">
        <f t="shared" si="16"/>
        <v>0</v>
      </c>
      <c r="M32" s="109">
        <f t="shared" si="16"/>
        <v>0</v>
      </c>
      <c r="N32" s="109">
        <f t="shared" si="16"/>
        <v>0</v>
      </c>
      <c r="O32" s="109">
        <f t="shared" si="16"/>
        <v>0</v>
      </c>
      <c r="P32" s="109">
        <f t="shared" si="16"/>
        <v>0</v>
      </c>
      <c r="Q32" s="109">
        <f t="shared" si="16"/>
        <v>0</v>
      </c>
      <c r="R32"/>
      <c r="S32" s="112">
        <f>SUM(D32:Q32)</f>
        <v>0</v>
      </c>
      <c r="T32" s="168" t="s">
        <v>120</v>
      </c>
      <c r="U32" s="164"/>
      <c r="V32" s="164"/>
      <c r="W32" s="111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>
      <c r="A33" s="113" t="s">
        <v>20</v>
      </c>
      <c r="B33" s="114"/>
      <c r="C33" s="115">
        <f t="shared" ref="C33:H33" si="17">SUM(C29:C32)</f>
        <v>0.1</v>
      </c>
      <c r="D33" s="116">
        <f t="shared" si="17"/>
        <v>324</v>
      </c>
      <c r="E33" s="116">
        <f t="shared" si="17"/>
        <v>2160</v>
      </c>
      <c r="F33" s="116">
        <f t="shared" si="17"/>
        <v>1890</v>
      </c>
      <c r="G33" s="116">
        <f t="shared" si="17"/>
        <v>4680</v>
      </c>
      <c r="H33" s="116">
        <f t="shared" si="17"/>
        <v>8200</v>
      </c>
      <c r="I33" s="116">
        <f t="shared" ref="I33:J33" si="18">SUM(I29:I32)</f>
        <v>396</v>
      </c>
      <c r="J33" s="116">
        <f t="shared" si="18"/>
        <v>1350</v>
      </c>
      <c r="K33" s="116">
        <f>SUM(K29:K32)</f>
        <v>1560</v>
      </c>
      <c r="L33" s="116">
        <f>SUM(L29:L32)</f>
        <v>1200</v>
      </c>
      <c r="M33" s="116">
        <f>SUM(M29:M32)</f>
        <v>1440</v>
      </c>
      <c r="N33" s="116">
        <f>SUM(N29:N32)</f>
        <v>8580</v>
      </c>
      <c r="O33" s="116">
        <f>SUM(O29:O32)</f>
        <v>2100</v>
      </c>
      <c r="P33" s="116">
        <f t="shared" ref="P33:Q33" si="19">SUM(P29:P32)</f>
        <v>3000</v>
      </c>
      <c r="Q33" s="116">
        <f t="shared" si="19"/>
        <v>3000</v>
      </c>
      <c r="S33" s="117">
        <f>SUM(S29:S32)</f>
        <v>89880</v>
      </c>
      <c r="U33" s="165"/>
      <c r="V33" s="165"/>
      <c r="W33" s="76"/>
    </row>
    <row r="34" spans="1:35">
      <c r="B34" s="118"/>
      <c r="C34" s="118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S34" s="120"/>
      <c r="U34" s="121"/>
      <c r="V34" s="121"/>
      <c r="W34" s="76"/>
    </row>
    <row r="35" spans="1:35">
      <c r="A35" s="113" t="s">
        <v>22</v>
      </c>
      <c r="B35" s="114"/>
      <c r="C35" s="114"/>
      <c r="D35" s="116">
        <f t="shared" ref="D35:Q35" si="20">SUM(D27-D33)</f>
        <v>2916</v>
      </c>
      <c r="E35" s="116">
        <f t="shared" si="20"/>
        <v>19440</v>
      </c>
      <c r="F35" s="116">
        <f t="shared" si="20"/>
        <v>17010</v>
      </c>
      <c r="G35" s="116">
        <f t="shared" si="20"/>
        <v>42120</v>
      </c>
      <c r="H35" s="116">
        <f t="shared" si="20"/>
        <v>73800</v>
      </c>
      <c r="I35" s="116">
        <f t="shared" si="20"/>
        <v>3564</v>
      </c>
      <c r="J35" s="116">
        <f t="shared" si="20"/>
        <v>12150</v>
      </c>
      <c r="K35" s="116">
        <f t="shared" si="20"/>
        <v>14040</v>
      </c>
      <c r="L35" s="116">
        <f t="shared" si="20"/>
        <v>10800</v>
      </c>
      <c r="M35" s="116">
        <f t="shared" si="20"/>
        <v>12960</v>
      </c>
      <c r="N35" s="116">
        <f t="shared" si="20"/>
        <v>77220</v>
      </c>
      <c r="O35" s="116">
        <f t="shared" si="20"/>
        <v>18900</v>
      </c>
      <c r="P35" s="116">
        <f t="shared" si="20"/>
        <v>27000</v>
      </c>
      <c r="Q35" s="116">
        <f t="shared" si="20"/>
        <v>27000</v>
      </c>
      <c r="S35" s="117">
        <f>SUM(S27-S33)</f>
        <v>308920</v>
      </c>
      <c r="U35" s="167"/>
      <c r="V35" s="167"/>
      <c r="W35" s="76"/>
    </row>
    <row r="36" spans="1:35">
      <c r="B36" s="118"/>
      <c r="C36" s="118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S36" s="120"/>
      <c r="U36" s="66"/>
      <c r="V36" s="66"/>
      <c r="W36" s="76"/>
    </row>
    <row r="37" spans="1:35" s="83" customFormat="1">
      <c r="A37" s="83" t="s">
        <v>45</v>
      </c>
      <c r="B37" s="84"/>
      <c r="C37" s="171">
        <v>1.4999999999999999E-2</v>
      </c>
      <c r="D37" s="109">
        <f t="shared" ref="D37:Q37" si="21">SUM(D$35*$C37)</f>
        <v>43.739999999999995</v>
      </c>
      <c r="E37" s="109">
        <f t="shared" si="21"/>
        <v>291.59999999999997</v>
      </c>
      <c r="F37" s="109">
        <f t="shared" si="21"/>
        <v>255.14999999999998</v>
      </c>
      <c r="G37" s="109">
        <f t="shared" si="21"/>
        <v>631.79999999999995</v>
      </c>
      <c r="H37" s="109">
        <f t="shared" si="21"/>
        <v>1107</v>
      </c>
      <c r="I37" s="109">
        <f t="shared" si="21"/>
        <v>53.46</v>
      </c>
      <c r="J37" s="109">
        <f t="shared" si="21"/>
        <v>182.25</v>
      </c>
      <c r="K37" s="109">
        <f t="shared" si="21"/>
        <v>210.6</v>
      </c>
      <c r="L37" s="109">
        <f t="shared" si="21"/>
        <v>162</v>
      </c>
      <c r="M37" s="109">
        <f t="shared" si="21"/>
        <v>194.4</v>
      </c>
      <c r="N37" s="109">
        <f t="shared" si="21"/>
        <v>1158.3</v>
      </c>
      <c r="O37" s="109">
        <f t="shared" si="21"/>
        <v>283.5</v>
      </c>
      <c r="P37" s="109">
        <f t="shared" si="21"/>
        <v>405</v>
      </c>
      <c r="Q37" s="109">
        <f t="shared" si="21"/>
        <v>405</v>
      </c>
      <c r="R37"/>
      <c r="S37" s="108">
        <f>SUM(D37:Q37)</f>
        <v>5383.8</v>
      </c>
      <c r="T37"/>
      <c r="U37"/>
      <c r="V37" s="122" t="s">
        <v>21</v>
      </c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>
      <c r="A38" t="s">
        <v>46</v>
      </c>
      <c r="B38" s="118"/>
      <c r="C38" s="118"/>
      <c r="D38" s="109">
        <f t="shared" ref="D38:Q38" si="22">SUM(D45*D26)</f>
        <v>1692</v>
      </c>
      <c r="E38" s="109">
        <f t="shared" si="22"/>
        <v>4704</v>
      </c>
      <c r="F38" s="109">
        <f t="shared" si="22"/>
        <v>4494</v>
      </c>
      <c r="G38" s="109">
        <f t="shared" si="22"/>
        <v>25662</v>
      </c>
      <c r="H38" s="109">
        <f t="shared" si="22"/>
        <v>48240</v>
      </c>
      <c r="I38" s="109">
        <f t="shared" si="22"/>
        <v>1359.6000000000001</v>
      </c>
      <c r="J38" s="109">
        <f t="shared" si="22"/>
        <v>4698</v>
      </c>
      <c r="K38" s="109">
        <f t="shared" si="22"/>
        <v>6162</v>
      </c>
      <c r="L38" s="109">
        <f t="shared" si="22"/>
        <v>4140</v>
      </c>
      <c r="M38" s="109">
        <f t="shared" si="22"/>
        <v>5712</v>
      </c>
      <c r="N38" s="109">
        <f t="shared" si="22"/>
        <v>51480</v>
      </c>
      <c r="O38" s="109">
        <f t="shared" si="22"/>
        <v>6006</v>
      </c>
      <c r="P38" s="109">
        <f t="shared" si="22"/>
        <v>9120</v>
      </c>
      <c r="Q38" s="109">
        <f t="shared" si="22"/>
        <v>10800</v>
      </c>
      <c r="S38" s="123">
        <f>SUM(D38:Q38)</f>
        <v>184269.6</v>
      </c>
      <c r="V38" s="121" t="s">
        <v>21</v>
      </c>
      <c r="W38" s="98"/>
    </row>
    <row r="39" spans="1:35">
      <c r="A39" s="113" t="s">
        <v>31</v>
      </c>
      <c r="B39" s="114"/>
      <c r="C39" s="114"/>
      <c r="D39" s="116">
        <f t="shared" ref="D39:Q39" si="23">SUM(D37:D38)</f>
        <v>1735.74</v>
      </c>
      <c r="E39" s="116">
        <f t="shared" si="23"/>
        <v>4995.6000000000004</v>
      </c>
      <c r="F39" s="116">
        <f t="shared" si="23"/>
        <v>4749.1499999999996</v>
      </c>
      <c r="G39" s="116">
        <f t="shared" si="23"/>
        <v>26293.8</v>
      </c>
      <c r="H39" s="116">
        <f t="shared" si="23"/>
        <v>49347</v>
      </c>
      <c r="I39" s="116">
        <f t="shared" si="23"/>
        <v>1413.0600000000002</v>
      </c>
      <c r="J39" s="116">
        <f t="shared" si="23"/>
        <v>4880.25</v>
      </c>
      <c r="K39" s="116">
        <f t="shared" si="23"/>
        <v>6372.6</v>
      </c>
      <c r="L39" s="116">
        <f t="shared" si="23"/>
        <v>4302</v>
      </c>
      <c r="M39" s="116">
        <f t="shared" si="23"/>
        <v>5906.4</v>
      </c>
      <c r="N39" s="116">
        <f t="shared" si="23"/>
        <v>52638.3</v>
      </c>
      <c r="O39" s="116">
        <f t="shared" si="23"/>
        <v>6289.5</v>
      </c>
      <c r="P39" s="116">
        <f t="shared" si="23"/>
        <v>9525</v>
      </c>
      <c r="Q39" s="116">
        <f t="shared" si="23"/>
        <v>11205</v>
      </c>
      <c r="S39" s="117">
        <f>SUM(S37:S38)</f>
        <v>189653.4</v>
      </c>
      <c r="V39" s="124"/>
      <c r="W39" s="98"/>
    </row>
    <row r="40" spans="1:35">
      <c r="B40" s="118"/>
      <c r="C40" s="118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S40" s="120"/>
      <c r="V40" s="66"/>
      <c r="W40" s="98"/>
    </row>
    <row r="41" spans="1:35" ht="15" thickBot="1">
      <c r="A41" s="113" t="s">
        <v>47</v>
      </c>
      <c r="B41" s="118"/>
      <c r="C41" s="118"/>
      <c r="D41" s="125">
        <f t="shared" ref="D41:Q41" si="24">D35-D39</f>
        <v>1180.26</v>
      </c>
      <c r="E41" s="125">
        <f t="shared" si="24"/>
        <v>14444.4</v>
      </c>
      <c r="F41" s="125">
        <f t="shared" si="24"/>
        <v>12260.85</v>
      </c>
      <c r="G41" s="125">
        <f t="shared" si="24"/>
        <v>15826.2</v>
      </c>
      <c r="H41" s="125">
        <f t="shared" si="24"/>
        <v>24453</v>
      </c>
      <c r="I41" s="125">
        <f t="shared" si="24"/>
        <v>2150.9399999999996</v>
      </c>
      <c r="J41" s="125">
        <f t="shared" si="24"/>
        <v>7269.75</v>
      </c>
      <c r="K41" s="125">
        <f t="shared" si="24"/>
        <v>7667.4</v>
      </c>
      <c r="L41" s="125">
        <f t="shared" si="24"/>
        <v>6498</v>
      </c>
      <c r="M41" s="125">
        <f t="shared" si="24"/>
        <v>7053.6</v>
      </c>
      <c r="N41" s="125">
        <f t="shared" si="24"/>
        <v>24581.699999999997</v>
      </c>
      <c r="O41" s="125">
        <f t="shared" si="24"/>
        <v>12610.5</v>
      </c>
      <c r="P41" s="125">
        <f t="shared" si="24"/>
        <v>17475</v>
      </c>
      <c r="Q41" s="125">
        <f t="shared" si="24"/>
        <v>15795</v>
      </c>
      <c r="S41" s="126">
        <f>S35-S39</f>
        <v>119266.6</v>
      </c>
      <c r="V41" s="127"/>
      <c r="W41" s="80"/>
    </row>
    <row r="42" spans="1:35">
      <c r="B42" s="118"/>
      <c r="C42" s="105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04"/>
      <c r="S42" s="129"/>
      <c r="W42" s="89"/>
    </row>
    <row r="43" spans="1:35" s="132" customFormat="1" ht="15" thickBot="1">
      <c r="A43" s="130" t="s">
        <v>48</v>
      </c>
      <c r="B43" s="118"/>
      <c r="C43" s="105"/>
      <c r="D43" s="131">
        <f t="shared" ref="D43:Q43" si="25">D41/D35</f>
        <v>0.40475308641975311</v>
      </c>
      <c r="E43" s="131">
        <f t="shared" si="25"/>
        <v>0.74302469135802462</v>
      </c>
      <c r="F43" s="131">
        <f t="shared" si="25"/>
        <v>0.72080246913580248</v>
      </c>
      <c r="G43" s="131">
        <f t="shared" si="25"/>
        <v>0.37574074074074076</v>
      </c>
      <c r="H43" s="131">
        <f t="shared" si="25"/>
        <v>0.33134146341463416</v>
      </c>
      <c r="I43" s="131">
        <f t="shared" si="25"/>
        <v>0.60351851851851845</v>
      </c>
      <c r="J43" s="131">
        <f t="shared" si="25"/>
        <v>0.59833333333333338</v>
      </c>
      <c r="K43" s="131">
        <f t="shared" si="25"/>
        <v>0.5461111111111111</v>
      </c>
      <c r="L43" s="131">
        <f t="shared" si="25"/>
        <v>0.60166666666666668</v>
      </c>
      <c r="M43" s="131">
        <f t="shared" si="25"/>
        <v>0.54425925925925933</v>
      </c>
      <c r="N43" s="131">
        <f t="shared" si="25"/>
        <v>0.3183333333333333</v>
      </c>
      <c r="O43" s="131">
        <f t="shared" si="25"/>
        <v>0.66722222222222227</v>
      </c>
      <c r="P43" s="131">
        <f t="shared" si="25"/>
        <v>0.64722222222222225</v>
      </c>
      <c r="Q43" s="131">
        <f t="shared" si="25"/>
        <v>0.58499999999999996</v>
      </c>
      <c r="R43" s="104"/>
      <c r="S43" s="131">
        <f>S41/S35</f>
        <v>0.3860760067331348</v>
      </c>
      <c r="T43"/>
      <c r="U43" s="83" t="s">
        <v>21</v>
      </c>
      <c r="V43"/>
      <c r="W43" s="89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s="133" customFormat="1" ht="15" thickBot="1"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83"/>
      <c r="P44" s="183"/>
      <c r="Q44" s="183"/>
      <c r="R44" s="134"/>
      <c r="V44"/>
      <c r="W44" s="89"/>
      <c r="X44"/>
      <c r="Y44"/>
      <c r="Z44"/>
      <c r="AA44"/>
      <c r="AB44"/>
    </row>
    <row r="45" spans="1:35" s="135" customFormat="1" ht="15" thickBot="1">
      <c r="A45" s="163" t="s">
        <v>0</v>
      </c>
      <c r="B45" s="136"/>
      <c r="C45" s="136"/>
      <c r="D45" s="146">
        <v>0.94</v>
      </c>
      <c r="E45" s="146">
        <v>0.98</v>
      </c>
      <c r="F45" s="146">
        <v>1.07</v>
      </c>
      <c r="G45" s="146">
        <f>G7</f>
        <v>6.58</v>
      </c>
      <c r="H45" s="146">
        <f t="shared" ref="H45:Q45" si="26">H7</f>
        <v>12.06</v>
      </c>
      <c r="I45" s="146">
        <f t="shared" si="26"/>
        <v>1.03</v>
      </c>
      <c r="J45" s="146">
        <f t="shared" si="26"/>
        <v>1.74</v>
      </c>
      <c r="K45" s="146">
        <f t="shared" si="26"/>
        <v>0.79</v>
      </c>
      <c r="L45" s="146">
        <f t="shared" si="26"/>
        <v>0.69</v>
      </c>
      <c r="M45" s="146">
        <f t="shared" si="26"/>
        <v>1.19</v>
      </c>
      <c r="N45" s="146">
        <f t="shared" si="26"/>
        <v>13.2</v>
      </c>
      <c r="O45" s="146">
        <f t="shared" si="26"/>
        <v>1.43</v>
      </c>
      <c r="P45" s="146">
        <f t="shared" si="26"/>
        <v>1.52</v>
      </c>
      <c r="Q45" s="146">
        <f t="shared" si="26"/>
        <v>1.8</v>
      </c>
      <c r="S45" s="137"/>
      <c r="U45" s="135" t="s">
        <v>21</v>
      </c>
      <c r="W45" s="87"/>
    </row>
    <row r="46" spans="1:35"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W46" s="76"/>
    </row>
    <row r="47" spans="1:35"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</row>
    <row r="48" spans="1:35"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</row>
    <row r="49" spans="4:19"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</row>
    <row r="50" spans="4:19">
      <c r="D50" s="104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</row>
    <row r="51" spans="4:19"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</row>
    <row r="52" spans="4:19"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</row>
    <row r="53" spans="4:19"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</row>
    <row r="54" spans="4:19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</row>
    <row r="55" spans="4:19"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</row>
    <row r="56" spans="4:19"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</row>
    <row r="57" spans="4:19"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</row>
    <row r="58" spans="4:19"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</row>
    <row r="59" spans="4:19"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</row>
    <row r="60" spans="4:19"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</row>
    <row r="61" spans="4:19"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</row>
    <row r="62" spans="4:19"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</row>
    <row r="63" spans="4:19"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</row>
    <row r="64" spans="4:19"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</row>
    <row r="65" spans="4:19"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</row>
    <row r="66" spans="4:19"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</row>
    <row r="67" spans="4:19"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</row>
    <row r="68" spans="4:19"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</row>
    <row r="69" spans="4:19"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</row>
    <row r="70" spans="4:19"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</row>
    <row r="71" spans="4:19"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</row>
    <row r="72" spans="4:19"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</row>
    <row r="73" spans="4:19"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</row>
    <row r="74" spans="4:19"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</row>
    <row r="75" spans="4:19"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</row>
    <row r="76" spans="4:19"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</row>
    <row r="77" spans="4:19"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</row>
    <row r="78" spans="4:19"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</row>
    <row r="79" spans="4:19"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</row>
    <row r="80" spans="4:19"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</row>
    <row r="81" spans="4:19"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</row>
    <row r="82" spans="4:19"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</row>
    <row r="83" spans="4:19"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</row>
    <row r="84" spans="4:19"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</row>
    <row r="85" spans="4:19"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</row>
    <row r="86" spans="4:19"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</row>
    <row r="87" spans="4:19"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</row>
    <row r="88" spans="4:19"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</row>
    <row r="89" spans="4:19"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</row>
    <row r="90" spans="4:19"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</row>
    <row r="91" spans="4:19"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</row>
    <row r="92" spans="4:19"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</row>
    <row r="93" spans="4:19"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</row>
    <row r="94" spans="4:19"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</row>
    <row r="95" spans="4:19"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</row>
    <row r="96" spans="4:19"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</row>
    <row r="97" spans="4:19"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</row>
    <row r="98" spans="4:19"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</row>
    <row r="99" spans="4:19"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</row>
    <row r="100" spans="4:19"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</row>
    <row r="101" spans="4:19"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</row>
    <row r="102" spans="4:19"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</row>
    <row r="103" spans="4:19"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</row>
    <row r="104" spans="4:19"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</row>
    <row r="105" spans="4:19"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</row>
    <row r="106" spans="4:19"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</row>
    <row r="107" spans="4:19"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</row>
    <row r="108" spans="4:19"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</row>
    <row r="109" spans="4:19"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</row>
    <row r="110" spans="4:19"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</row>
    <row r="111" spans="4:19"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</row>
    <row r="112" spans="4:19"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</row>
    <row r="113" spans="4:19"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</row>
    <row r="114" spans="4:19"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</row>
    <row r="115" spans="4:19"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</row>
    <row r="116" spans="4:19"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</row>
    <row r="117" spans="4:19"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</row>
    <row r="118" spans="4:19"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</row>
    <row r="119" spans="4:19"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</row>
    <row r="120" spans="4:19"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</row>
    <row r="121" spans="4:19"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</row>
    <row r="122" spans="4:19"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</row>
    <row r="123" spans="4:19"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</row>
    <row r="124" spans="4:19"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</row>
    <row r="125" spans="4:19"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</row>
    <row r="126" spans="4:19"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</row>
    <row r="127" spans="4:19"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</row>
    <row r="128" spans="4:19"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</row>
    <row r="129" spans="4:19"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</row>
    <row r="130" spans="4:19"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</row>
    <row r="131" spans="4:19"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</row>
    <row r="132" spans="4:19"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</row>
    <row r="133" spans="4:19"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</row>
    <row r="134" spans="4:19"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</row>
    <row r="135" spans="4:19"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</row>
    <row r="136" spans="4:19"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</row>
    <row r="137" spans="4:19"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</row>
    <row r="138" spans="4:19"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</row>
    <row r="139" spans="4:19"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</row>
    <row r="140" spans="4:19"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</row>
    <row r="141" spans="4:19"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</row>
    <row r="142" spans="4:19"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</row>
    <row r="143" spans="4:19"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</row>
    <row r="144" spans="4:19"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</row>
    <row r="145" spans="4:19"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</row>
    <row r="146" spans="4:19"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</row>
    <row r="147" spans="4:19"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</row>
    <row r="148" spans="4:19"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</row>
    <row r="149" spans="4:19"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</row>
    <row r="150" spans="4:19"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</row>
    <row r="151" spans="4:19"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</row>
    <row r="152" spans="4:19"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</row>
    <row r="153" spans="4:19"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</row>
    <row r="154" spans="4:19"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</row>
    <row r="155" spans="4:19"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</row>
    <row r="156" spans="4:19"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</row>
    <row r="157" spans="4:19"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</row>
    <row r="158" spans="4:19"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</row>
    <row r="159" spans="4:19"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</row>
    <row r="160" spans="4:19"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</row>
    <row r="161" spans="4:19"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</row>
    <row r="162" spans="4:19"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</row>
    <row r="163" spans="4:19"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</row>
    <row r="164" spans="4:19"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</row>
    <row r="165" spans="4:19"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</row>
    <row r="166" spans="4:19"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</row>
    <row r="167" spans="4:19"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</row>
    <row r="168" spans="4:19"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</row>
    <row r="169" spans="4:19"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</row>
    <row r="170" spans="4:19"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</row>
    <row r="171" spans="4:19"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</row>
    <row r="172" spans="4:19"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</row>
    <row r="173" spans="4:19"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</row>
    <row r="174" spans="4:19"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</row>
    <row r="175" spans="4:19"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</row>
    <row r="176" spans="4:19"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</row>
    <row r="177" spans="4:19"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</row>
    <row r="178" spans="4:19"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</row>
    <row r="179" spans="4:19"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</row>
    <row r="180" spans="4:19"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</row>
    <row r="181" spans="4:19"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</row>
    <row r="182" spans="4:19"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</row>
    <row r="183" spans="4:19"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</row>
    <row r="184" spans="4:19"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</row>
    <row r="185" spans="4:19"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</row>
    <row r="186" spans="4:19"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</row>
    <row r="187" spans="4:19"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</row>
    <row r="188" spans="4:19"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</row>
    <row r="189" spans="4:19"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</row>
    <row r="190" spans="4:19"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</row>
    <row r="191" spans="4:19"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</row>
    <row r="192" spans="4:19"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</row>
    <row r="193" spans="4:19"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</row>
    <row r="194" spans="4:19"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</row>
    <row r="195" spans="4:19"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</row>
    <row r="196" spans="4:19"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</row>
    <row r="197" spans="4:19"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</row>
    <row r="198" spans="4:19"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</row>
    <row r="199" spans="4:19"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</row>
    <row r="200" spans="4:19"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</row>
    <row r="201" spans="4:19"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</row>
    <row r="202" spans="4:19"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</row>
    <row r="203" spans="4:19"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</row>
    <row r="204" spans="4:19"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</row>
    <row r="205" spans="4:19"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</row>
    <row r="206" spans="4:19"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</row>
    <row r="207" spans="4:19"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</row>
    <row r="208" spans="4:19"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</row>
    <row r="209" spans="4:19"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</row>
    <row r="210" spans="4:19"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</row>
    <row r="211" spans="4:19"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</row>
    <row r="212" spans="4:19"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</row>
    <row r="213" spans="4:19"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</row>
    <row r="214" spans="4:19"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</row>
    <row r="215" spans="4:19"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</row>
    <row r="216" spans="4:19"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</row>
    <row r="217" spans="4:19"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</row>
    <row r="218" spans="4:19"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</row>
    <row r="219" spans="4:19"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</row>
    <row r="220" spans="4:19"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</row>
    <row r="221" spans="4:19"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</row>
    <row r="222" spans="4:19"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</row>
    <row r="223" spans="4:19"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</row>
    <row r="224" spans="4:19"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</row>
    <row r="225" spans="4:19"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</row>
    <row r="226" spans="4:19"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</row>
    <row r="227" spans="4:19"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</row>
    <row r="228" spans="4:19"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</row>
    <row r="229" spans="4:19"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</row>
    <row r="230" spans="4:19"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</row>
    <row r="231" spans="4:19"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</row>
    <row r="232" spans="4:19"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</row>
    <row r="233" spans="4:19"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</row>
    <row r="234" spans="4:19"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</row>
    <row r="235" spans="4:19"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</row>
    <row r="236" spans="4:19"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</row>
    <row r="237" spans="4:19"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</row>
    <row r="238" spans="4:19"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</row>
    <row r="239" spans="4:19"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</row>
    <row r="240" spans="4:19"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</row>
    <row r="241" spans="4:19"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</row>
    <row r="242" spans="4:19"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</row>
    <row r="243" spans="4:19"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</row>
    <row r="244" spans="4:19"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</row>
    <row r="245" spans="4:19"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</row>
    <row r="246" spans="4:19"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</row>
    <row r="247" spans="4:19"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</row>
    <row r="248" spans="4:19"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</row>
    <row r="249" spans="4:19"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</row>
    <row r="250" spans="4:19"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</row>
    <row r="251" spans="4:19"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</row>
    <row r="252" spans="4:19"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</row>
    <row r="253" spans="4:19"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</row>
    <row r="254" spans="4:19"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</row>
    <row r="255" spans="4:19"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</row>
    <row r="256" spans="4:19"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</row>
    <row r="257" spans="4:19"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</row>
    <row r="258" spans="4:19"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</row>
    <row r="259" spans="4:19"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</row>
    <row r="260" spans="4:19"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</row>
    <row r="261" spans="4:19"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</row>
    <row r="262" spans="4:19"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</row>
    <row r="263" spans="4:19"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</row>
    <row r="264" spans="4:19"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</row>
    <row r="265" spans="4:19"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</row>
    <row r="266" spans="4:19"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</row>
    <row r="267" spans="4:19"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</row>
    <row r="268" spans="4:19"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</row>
    <row r="269" spans="4:19"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</row>
    <row r="270" spans="4:19"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</row>
    <row r="271" spans="4:19"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</row>
    <row r="272" spans="4:19"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</row>
    <row r="273" spans="4:19"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</row>
    <row r="274" spans="4:19"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</row>
    <row r="275" spans="4:19"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</row>
    <row r="276" spans="4:19"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</row>
    <row r="277" spans="4:19"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</row>
    <row r="278" spans="4:19"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</row>
    <row r="279" spans="4:19"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</row>
    <row r="280" spans="4:19"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</row>
    <row r="281" spans="4:19"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</row>
    <row r="282" spans="4:19"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</row>
    <row r="283" spans="4:19"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</row>
    <row r="284" spans="4:19"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</row>
    <row r="285" spans="4:19"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</row>
    <row r="286" spans="4:19"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</row>
    <row r="287" spans="4:19"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</row>
    <row r="288" spans="4:19"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</row>
    <row r="289" spans="4:19"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</row>
    <row r="290" spans="4:19"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</row>
    <row r="291" spans="4:19"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</row>
    <row r="292" spans="4:19"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</row>
    <row r="293" spans="4:19"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</row>
    <row r="294" spans="4:19"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</row>
    <row r="295" spans="4:19"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</row>
    <row r="296" spans="4:19"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</row>
    <row r="297" spans="4:19"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</row>
    <row r="298" spans="4:19"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</row>
    <row r="299" spans="4:19"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</row>
    <row r="300" spans="4:19"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</row>
    <row r="301" spans="4:19"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</row>
    <row r="302" spans="4:19"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</row>
    <row r="303" spans="4:19"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</row>
    <row r="304" spans="4:19"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</row>
    <row r="305" spans="4:19"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</row>
    <row r="306" spans="4:19"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</row>
    <row r="307" spans="4:19"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</row>
    <row r="308" spans="4:19"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</row>
    <row r="309" spans="4:19"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</row>
    <row r="310" spans="4:19"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</row>
    <row r="311" spans="4:19"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</row>
    <row r="312" spans="4:19"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</row>
    <row r="313" spans="4:19"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</row>
    <row r="314" spans="4:19"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</row>
    <row r="315" spans="4:19"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</row>
    <row r="316" spans="4:19"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</row>
    <row r="317" spans="4:19"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</row>
    <row r="318" spans="4:19"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</row>
    <row r="319" spans="4:19"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</row>
    <row r="320" spans="4:19"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</row>
    <row r="321" spans="4:19"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</row>
    <row r="322" spans="4:19"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</row>
    <row r="323" spans="4:19"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</row>
    <row r="324" spans="4:19"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</row>
    <row r="325" spans="4:19"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</row>
    <row r="326" spans="4:19"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</row>
    <row r="327" spans="4:19"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</row>
    <row r="328" spans="4:19"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</row>
    <row r="329" spans="4:19"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</row>
    <row r="330" spans="4:19"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</row>
    <row r="331" spans="4:19"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</row>
    <row r="332" spans="4:19"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</row>
    <row r="333" spans="4:19"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</row>
    <row r="334" spans="4:19"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</row>
    <row r="335" spans="4:19"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</row>
    <row r="336" spans="4:19"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</row>
    <row r="337" spans="4:19"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</row>
    <row r="338" spans="4:19"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</row>
    <row r="339" spans="4:19"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</row>
    <row r="340" spans="4:19"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</row>
    <row r="341" spans="4:19"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</row>
    <row r="342" spans="4:19"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</row>
    <row r="343" spans="4:19"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</row>
    <row r="344" spans="4:19"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</row>
    <row r="345" spans="4:19"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</row>
    <row r="346" spans="4:19"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</row>
    <row r="347" spans="4:19"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</row>
    <row r="348" spans="4:19"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</row>
    <row r="349" spans="4:19"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</row>
    <row r="350" spans="4:19"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</row>
    <row r="351" spans="4:19"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</row>
    <row r="352" spans="4:19"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</row>
    <row r="353" spans="4:19"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</row>
    <row r="354" spans="4:19"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</row>
    <row r="355" spans="4:19"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</row>
    <row r="356" spans="4:19"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</row>
    <row r="357" spans="4:19"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</row>
    <row r="358" spans="4:19"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</row>
    <row r="359" spans="4:19"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</row>
    <row r="360" spans="4:19"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</row>
    <row r="361" spans="4:19"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</row>
    <row r="362" spans="4:19"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</row>
    <row r="363" spans="4:19"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</row>
    <row r="364" spans="4:19"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</row>
    <row r="365" spans="4:19"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</row>
    <row r="366" spans="4:19"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</row>
    <row r="367" spans="4:19"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</row>
    <row r="368" spans="4:19"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</row>
    <row r="369" spans="4:19"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</row>
    <row r="370" spans="4:19"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</row>
    <row r="371" spans="4:19"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</row>
    <row r="372" spans="4:19"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</row>
    <row r="373" spans="4:19"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</row>
    <row r="374" spans="4:19"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</row>
    <row r="375" spans="4:19"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</row>
    <row r="376" spans="4:19"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</row>
    <row r="377" spans="4:19"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</row>
    <row r="378" spans="4:19"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</row>
    <row r="379" spans="4:19"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</row>
    <row r="380" spans="4:19"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</row>
    <row r="381" spans="4:19"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</row>
    <row r="382" spans="4:19"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</row>
    <row r="383" spans="4:19"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</row>
    <row r="384" spans="4:19"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</row>
    <row r="385" spans="4:19"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</row>
    <row r="386" spans="4:19"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</row>
    <row r="387" spans="4:19"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</row>
    <row r="388" spans="4:19"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</row>
    <row r="389" spans="4:19"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</row>
    <row r="390" spans="4:19"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</row>
    <row r="391" spans="4:19"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</row>
    <row r="392" spans="4:19"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</row>
    <row r="393" spans="4:19"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</row>
    <row r="394" spans="4:19"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</row>
    <row r="395" spans="4:19"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</row>
    <row r="396" spans="4:19"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</row>
    <row r="397" spans="4:19"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</row>
    <row r="398" spans="4:19"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</row>
    <row r="399" spans="4:19"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</row>
    <row r="400" spans="4:19"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</row>
    <row r="401" spans="4:19"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</row>
    <row r="402" spans="4:19"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</row>
    <row r="403" spans="4:19"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</row>
    <row r="404" spans="4:19"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</row>
    <row r="405" spans="4:19"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</row>
    <row r="406" spans="4:19"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</row>
    <row r="407" spans="4:19"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</row>
    <row r="408" spans="4:19"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</row>
    <row r="409" spans="4:19"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</row>
    <row r="410" spans="4:19"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</row>
    <row r="411" spans="4:19"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</row>
    <row r="412" spans="4:19"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</row>
    <row r="413" spans="4:19"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</row>
    <row r="414" spans="4:19"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</row>
    <row r="415" spans="4:19"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</row>
    <row r="416" spans="4:19"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</row>
    <row r="417" spans="4:19"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</row>
    <row r="418" spans="4:19"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</row>
    <row r="419" spans="4:19"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</row>
    <row r="420" spans="4:19"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</row>
    <row r="421" spans="4:19"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</row>
    <row r="422" spans="4:19"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</row>
    <row r="423" spans="4:19"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</row>
    <row r="424" spans="4:19"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</row>
    <row r="425" spans="4:19"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</row>
    <row r="426" spans="4:19"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</row>
    <row r="427" spans="4:19"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</row>
    <row r="428" spans="4:19"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</row>
    <row r="429" spans="4:19"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</row>
    <row r="430" spans="4:19"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</row>
    <row r="431" spans="4:19"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</row>
    <row r="432" spans="4:19"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</row>
    <row r="433" spans="4:19"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</row>
    <row r="434" spans="4:19"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</row>
    <row r="435" spans="4:19"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</row>
    <row r="436" spans="4:19"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</row>
    <row r="437" spans="4:19"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</row>
    <row r="438" spans="4:19"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</row>
    <row r="439" spans="4:19"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</row>
    <row r="440" spans="4:19"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</row>
    <row r="441" spans="4:19"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</row>
    <row r="442" spans="4:19"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</row>
    <row r="443" spans="4:19"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</row>
    <row r="444" spans="4:19"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</row>
    <row r="445" spans="4:19"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</row>
    <row r="446" spans="4:19"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</row>
    <row r="447" spans="4:19"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</row>
    <row r="448" spans="4:19"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</row>
    <row r="449" spans="4:19"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</row>
    <row r="450" spans="4:19"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</row>
    <row r="451" spans="4:19"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</row>
    <row r="452" spans="4:19"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</row>
    <row r="453" spans="4:19"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</row>
    <row r="454" spans="4:19"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</row>
    <row r="455" spans="4:19"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</row>
    <row r="456" spans="4:19"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</row>
    <row r="457" spans="4:19"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</row>
    <row r="458" spans="4:19"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</row>
    <row r="459" spans="4:19"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</row>
    <row r="460" spans="4:19"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</row>
    <row r="461" spans="4:19"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</row>
    <row r="462" spans="4:19"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</row>
    <row r="463" spans="4:19"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</row>
    <row r="464" spans="4:19"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</row>
    <row r="465" spans="4:19"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</row>
    <row r="466" spans="4:19"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</row>
    <row r="467" spans="4:19"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</row>
    <row r="468" spans="4:19"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</row>
    <row r="469" spans="4:19"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</row>
    <row r="470" spans="4:19"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</row>
    <row r="471" spans="4:19"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</row>
    <row r="472" spans="4:19"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</row>
    <row r="473" spans="4:19"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</row>
    <row r="474" spans="4:19"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</row>
    <row r="475" spans="4:19"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</row>
    <row r="476" spans="4:19"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</row>
    <row r="477" spans="4:19"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</row>
    <row r="478" spans="4:19"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</row>
    <row r="479" spans="4:19"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</row>
    <row r="480" spans="4:19"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</row>
    <row r="481" spans="4:19"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</row>
    <row r="482" spans="4:19"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</row>
    <row r="483" spans="4:19"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</row>
    <row r="484" spans="4:19"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</row>
    <row r="485" spans="4:19"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</row>
    <row r="486" spans="4:19"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</row>
    <row r="487" spans="4:19"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</row>
    <row r="488" spans="4:19"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</row>
    <row r="489" spans="4:19"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</row>
    <row r="490" spans="4:19"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</row>
    <row r="491" spans="4:19"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</row>
    <row r="492" spans="4:19"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</row>
    <row r="493" spans="4:19"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</row>
    <row r="494" spans="4:19"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</row>
    <row r="495" spans="4:19"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</row>
    <row r="496" spans="4:19"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</row>
    <row r="497" spans="4:19"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</row>
    <row r="498" spans="4:19"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</row>
    <row r="499" spans="4:19"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</row>
    <row r="500" spans="4:19"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</row>
    <row r="501" spans="4:19"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</row>
    <row r="502" spans="4:19"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</row>
    <row r="503" spans="4:19"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</row>
    <row r="504" spans="4:19"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</row>
    <row r="505" spans="4:19"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</row>
    <row r="506" spans="4:19"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</row>
    <row r="507" spans="4:19"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</row>
    <row r="508" spans="4:19"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</row>
    <row r="509" spans="4:19"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</row>
    <row r="510" spans="4:19"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</row>
    <row r="511" spans="4:19"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</row>
    <row r="512" spans="4:19"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</row>
    <row r="513" spans="4:19"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</row>
    <row r="514" spans="4:19"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</row>
    <row r="515" spans="4:19"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</row>
    <row r="516" spans="4:19"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</row>
    <row r="517" spans="4:19"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</row>
    <row r="518" spans="4:19"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</row>
    <row r="519" spans="4:19"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</row>
    <row r="520" spans="4:19"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</row>
    <row r="521" spans="4:19"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</row>
    <row r="522" spans="4:19"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</row>
    <row r="523" spans="4:19"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</row>
    <row r="524" spans="4:19"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</row>
    <row r="525" spans="4:19"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</row>
    <row r="526" spans="4:19"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</row>
    <row r="527" spans="4:19"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</row>
    <row r="528" spans="4:19"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</row>
    <row r="529" spans="4:19"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</row>
    <row r="530" spans="4:19"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</row>
    <row r="531" spans="4:19"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</row>
    <row r="532" spans="4:19"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</row>
    <row r="533" spans="4:19"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</row>
    <row r="534" spans="4:19"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</row>
    <row r="535" spans="4:19"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</row>
    <row r="536" spans="4:19"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</row>
    <row r="537" spans="4:19"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</row>
    <row r="538" spans="4:19"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</row>
    <row r="539" spans="4:19"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</row>
    <row r="540" spans="4:19"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</row>
    <row r="541" spans="4:19"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</row>
    <row r="542" spans="4:19"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</row>
    <row r="543" spans="4:19"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</row>
    <row r="544" spans="4:19"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</row>
    <row r="545" spans="4:19"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</row>
    <row r="546" spans="4:19"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</row>
    <row r="547" spans="4:19"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</row>
    <row r="548" spans="4:19"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</row>
    <row r="549" spans="4:19"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</row>
    <row r="550" spans="4:19"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</row>
    <row r="551" spans="4:19"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</row>
    <row r="552" spans="4:19"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</row>
    <row r="553" spans="4:19"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</row>
    <row r="554" spans="4:19"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</row>
    <row r="555" spans="4:19"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</row>
    <row r="556" spans="4:19"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</row>
    <row r="557" spans="4:19"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</row>
    <row r="558" spans="4:19"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</row>
    <row r="559" spans="4:19"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</row>
    <row r="560" spans="4:19"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</row>
    <row r="561" spans="4:19"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</row>
    <row r="562" spans="4:19"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</row>
    <row r="563" spans="4:19"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</row>
    <row r="564" spans="4:19"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</row>
    <row r="565" spans="4:19"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</row>
    <row r="566" spans="4:19"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</row>
    <row r="567" spans="4:19"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</row>
    <row r="568" spans="4:19"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</row>
    <row r="569" spans="4:19"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</row>
    <row r="570" spans="4:19"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</row>
    <row r="571" spans="4:19"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</row>
    <row r="572" spans="4:19"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</row>
    <row r="573" spans="4:19"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</row>
    <row r="574" spans="4:19"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</row>
    <row r="575" spans="4:19"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</row>
    <row r="576" spans="4:19"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</row>
    <row r="577" spans="4:19"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</row>
    <row r="578" spans="4:19"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</row>
    <row r="579" spans="4:19"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</row>
    <row r="580" spans="4:19"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</row>
    <row r="581" spans="4:19"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</row>
    <row r="582" spans="4:19"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</row>
    <row r="583" spans="4:19"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</row>
    <row r="584" spans="4:19"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</row>
    <row r="585" spans="4:19"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</row>
    <row r="586" spans="4:19"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</row>
    <row r="587" spans="4:19"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</row>
    <row r="588" spans="4:19"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</row>
    <row r="589" spans="4:19"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</row>
    <row r="590" spans="4:19"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</row>
    <row r="591" spans="4:19"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</row>
    <row r="592" spans="4:19"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</row>
    <row r="593" spans="4:19"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</row>
    <row r="594" spans="4:19"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</row>
    <row r="595" spans="4:19"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</row>
    <row r="596" spans="4:19"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</row>
    <row r="597" spans="4:19"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</row>
    <row r="598" spans="4:19"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</row>
    <row r="599" spans="4:19"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</row>
    <row r="600" spans="4:19"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</row>
    <row r="601" spans="4:19"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</row>
    <row r="602" spans="4:19"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</row>
    <row r="603" spans="4:19"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</row>
    <row r="604" spans="4:19"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</row>
    <row r="605" spans="4:19"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</row>
    <row r="606" spans="4:19"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</row>
    <row r="607" spans="4:19"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</row>
    <row r="608" spans="4:19"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</row>
    <row r="609" spans="4:19"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</row>
    <row r="610" spans="4:19"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</row>
    <row r="611" spans="4:19"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</row>
    <row r="612" spans="4:19"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</row>
    <row r="613" spans="4:19"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</row>
    <row r="614" spans="4:19"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</row>
    <row r="615" spans="4:19"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</row>
    <row r="616" spans="4:19"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</row>
    <row r="617" spans="4:19"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</row>
    <row r="618" spans="4:19"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</row>
    <row r="619" spans="4:19"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</row>
    <row r="620" spans="4:19"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</row>
    <row r="621" spans="4:19"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</row>
    <row r="622" spans="4:19"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</row>
    <row r="623" spans="4:19"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</row>
    <row r="624" spans="4:19"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</row>
    <row r="625" spans="4:19"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</row>
    <row r="626" spans="4:19"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</row>
    <row r="627" spans="4:19"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</row>
    <row r="628" spans="4:19"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</row>
    <row r="629" spans="4:19"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</row>
    <row r="630" spans="4:19"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</row>
    <row r="631" spans="4:19"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</row>
    <row r="632" spans="4:19"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</row>
    <row r="633" spans="4:19"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</row>
    <row r="634" spans="4:19"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</row>
    <row r="635" spans="4:19"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</row>
    <row r="636" spans="4:19"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</row>
    <row r="637" spans="4:19"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</row>
    <row r="638" spans="4:19"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</row>
    <row r="639" spans="4:19"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</row>
    <row r="640" spans="4:19"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</row>
    <row r="641" spans="4:19"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</row>
    <row r="642" spans="4:19"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</row>
    <row r="643" spans="4:19"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</row>
    <row r="644" spans="4:19"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</row>
    <row r="645" spans="4:19"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</row>
    <row r="646" spans="4:19"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</row>
    <row r="647" spans="4:19"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</row>
    <row r="648" spans="4:19"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</row>
    <row r="649" spans="4:19"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</row>
    <row r="650" spans="4:19"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</row>
    <row r="651" spans="4:19"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</row>
    <row r="652" spans="4:19"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</row>
    <row r="653" spans="4:19"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</row>
    <row r="654" spans="4:19"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</row>
    <row r="655" spans="4:19"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</row>
    <row r="656" spans="4:19"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</row>
    <row r="657" spans="4:19"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</row>
    <row r="658" spans="4:19"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</row>
    <row r="659" spans="4:19"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</row>
    <row r="660" spans="4:19"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</row>
    <row r="661" spans="4:19"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</row>
    <row r="662" spans="4:19"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</row>
    <row r="663" spans="4:19"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</row>
    <row r="664" spans="4:19"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</row>
    <row r="665" spans="4:19"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</row>
    <row r="666" spans="4:19"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</row>
    <row r="667" spans="4:19"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</row>
    <row r="668" spans="4:19"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</row>
    <row r="669" spans="4:19"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</row>
    <row r="670" spans="4:19"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</row>
    <row r="671" spans="4:19"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</row>
    <row r="672" spans="4:19"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</row>
    <row r="673" spans="4:19"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</row>
    <row r="674" spans="4:19"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</row>
    <row r="675" spans="4:19"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</row>
    <row r="676" spans="4:19"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</row>
    <row r="677" spans="4:19"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</row>
    <row r="678" spans="4:19"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</row>
    <row r="679" spans="4:19"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</row>
    <row r="680" spans="4:19"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</row>
    <row r="681" spans="4:19"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</row>
    <row r="682" spans="4:19"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</row>
    <row r="683" spans="4:19"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</row>
    <row r="684" spans="4:19"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</row>
    <row r="685" spans="4:19"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</row>
    <row r="686" spans="4:19"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</row>
    <row r="687" spans="4:19"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</row>
    <row r="688" spans="4:19"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</row>
    <row r="689" spans="4:19"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</row>
    <row r="690" spans="4:19"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</row>
    <row r="691" spans="4:19"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</row>
    <row r="692" spans="4:19"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</row>
    <row r="693" spans="4:19"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</row>
    <row r="694" spans="4:19"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</row>
    <row r="695" spans="4:19"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</row>
    <row r="696" spans="4:19"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</row>
    <row r="697" spans="4:19"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</row>
    <row r="698" spans="4:19"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</row>
    <row r="699" spans="4:19"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</row>
    <row r="700" spans="4:19"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</row>
    <row r="701" spans="4:19"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</row>
    <row r="702" spans="4:19"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</row>
    <row r="703" spans="4:19"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</row>
    <row r="704" spans="4:19"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</row>
    <row r="705" spans="4:19"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</row>
    <row r="706" spans="4:19"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</row>
    <row r="707" spans="4:19"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</row>
    <row r="708" spans="4:19"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</row>
    <row r="709" spans="4:19"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</row>
    <row r="710" spans="4:19"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</row>
    <row r="711" spans="4:19"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</row>
    <row r="712" spans="4:19"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</row>
    <row r="713" spans="4:19"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</row>
    <row r="714" spans="4:19"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</row>
    <row r="715" spans="4:19"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</row>
    <row r="716" spans="4:19"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</row>
    <row r="717" spans="4:19"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</row>
    <row r="718" spans="4:19"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</row>
    <row r="719" spans="4:19"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</row>
    <row r="720" spans="4:19"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</row>
    <row r="721" spans="4:19"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</row>
    <row r="722" spans="4:19"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</row>
    <row r="723" spans="4:19"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</row>
    <row r="724" spans="4:19"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</row>
    <row r="725" spans="4:19"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</row>
    <row r="726" spans="4:19"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</row>
    <row r="727" spans="4:19"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</row>
    <row r="728" spans="4:19"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</row>
    <row r="729" spans="4:19"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</row>
    <row r="730" spans="4:19"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</row>
    <row r="731" spans="4:19"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</row>
    <row r="732" spans="4:19"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</row>
    <row r="733" spans="4:19"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</row>
    <row r="734" spans="4:19"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</row>
    <row r="735" spans="4:19"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</row>
    <row r="736" spans="4:19"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</row>
    <row r="737" spans="4:19"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</row>
    <row r="738" spans="4:19"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</row>
    <row r="739" spans="4:19"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</row>
    <row r="740" spans="4:19"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</row>
    <row r="741" spans="4:19"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</row>
    <row r="742" spans="4:19"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</row>
    <row r="743" spans="4:19"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</row>
    <row r="744" spans="4:19"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</row>
    <row r="745" spans="4:19"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</row>
    <row r="746" spans="4:19"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</row>
    <row r="747" spans="4:19"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</row>
    <row r="748" spans="4:19"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</row>
    <row r="749" spans="4:19"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</row>
    <row r="750" spans="4:19"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</row>
    <row r="751" spans="4:19"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</row>
    <row r="752" spans="4:19"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</row>
    <row r="753" spans="4:19"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</row>
    <row r="754" spans="4:19"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</row>
    <row r="755" spans="4:19"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</row>
    <row r="756" spans="4:19"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</row>
    <row r="757" spans="4:19"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</row>
    <row r="758" spans="4:19"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</row>
    <row r="759" spans="4:19"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</row>
    <row r="760" spans="4:19"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</row>
    <row r="761" spans="4:19"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</row>
    <row r="762" spans="4:19"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</row>
    <row r="763" spans="4:19"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</row>
    <row r="764" spans="4:19"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</row>
    <row r="765" spans="4:19"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</row>
    <row r="766" spans="4:19"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</row>
    <row r="767" spans="4:19"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</row>
    <row r="768" spans="4:19"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</row>
    <row r="769" spans="4:19"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</row>
    <row r="770" spans="4:19"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</row>
    <row r="771" spans="4:19"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</row>
    <row r="772" spans="4:19"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</row>
    <row r="773" spans="4:19"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</row>
    <row r="774" spans="4:19"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</row>
    <row r="775" spans="4:19"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</row>
    <row r="776" spans="4:19"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</row>
    <row r="777" spans="4:19"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</row>
    <row r="778" spans="4:19"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</row>
    <row r="779" spans="4:19"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</row>
    <row r="780" spans="4:19"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</row>
    <row r="781" spans="4:19"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</row>
    <row r="782" spans="4:19"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</row>
    <row r="783" spans="4:19"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</row>
    <row r="784" spans="4:19"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</row>
    <row r="785" spans="4:19"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</row>
    <row r="786" spans="4:19"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</row>
    <row r="787" spans="4:19"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</row>
    <row r="788" spans="4:19"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</row>
    <row r="789" spans="4:19"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</row>
    <row r="790" spans="4:19"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</row>
    <row r="791" spans="4:19"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</row>
    <row r="792" spans="4:19"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</row>
    <row r="793" spans="4:19"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</row>
    <row r="794" spans="4:19"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</row>
    <row r="795" spans="4:19"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</row>
    <row r="796" spans="4:19"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</row>
    <row r="797" spans="4:19"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</row>
    <row r="798" spans="4:19"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</row>
    <row r="799" spans="4:19"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</row>
    <row r="800" spans="4:19"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</row>
    <row r="801" spans="4:19"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</row>
    <row r="802" spans="4:19"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</row>
    <row r="803" spans="4:19"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</row>
    <row r="804" spans="4:19"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</row>
    <row r="805" spans="4:19"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</row>
    <row r="806" spans="4:19"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</row>
    <row r="807" spans="4:19"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</row>
    <row r="808" spans="4:19"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</row>
    <row r="809" spans="4:19"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</row>
    <row r="810" spans="4:19"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</row>
    <row r="811" spans="4:19"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</row>
    <row r="812" spans="4:19"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</row>
    <row r="813" spans="4:19"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</row>
    <row r="814" spans="4:19"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</row>
    <row r="815" spans="4:19"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</row>
    <row r="816" spans="4:19"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</row>
    <row r="817" spans="4:19"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</row>
    <row r="818" spans="4:19"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</row>
    <row r="819" spans="4:19"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</row>
    <row r="820" spans="4:19"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</row>
    <row r="821" spans="4:19"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</row>
    <row r="822" spans="4:19"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</row>
    <row r="823" spans="4:19"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</row>
    <row r="824" spans="4:19"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</row>
    <row r="825" spans="4:19"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</row>
    <row r="826" spans="4:19"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</row>
    <row r="827" spans="4:19"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</row>
    <row r="828" spans="4:19"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</row>
    <row r="829" spans="4:19"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</row>
    <row r="830" spans="4:19"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</row>
    <row r="831" spans="4:19"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</row>
    <row r="832" spans="4:19"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</row>
    <row r="833" spans="4:19"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</row>
    <row r="834" spans="4:19"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</row>
    <row r="835" spans="4:19"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</row>
    <row r="836" spans="4:19"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</row>
    <row r="837" spans="4:19"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</row>
    <row r="838" spans="4:19"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</row>
    <row r="839" spans="4:19"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</row>
    <row r="840" spans="4:19"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</row>
    <row r="841" spans="4:19"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</row>
    <row r="842" spans="4:19"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</row>
    <row r="843" spans="4:19"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</row>
    <row r="844" spans="4:19"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</row>
    <row r="845" spans="4:19"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</row>
    <row r="846" spans="4:19"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</row>
    <row r="847" spans="4:19"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</row>
    <row r="848" spans="4:19"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</row>
    <row r="849" spans="4:19"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</row>
    <row r="850" spans="4:19"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</row>
    <row r="851" spans="4:19"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</row>
    <row r="852" spans="4:19"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</row>
    <row r="853" spans="4:19"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</row>
    <row r="854" spans="4:19"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</row>
    <row r="855" spans="4:19"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</row>
    <row r="856" spans="4:19"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</row>
    <row r="857" spans="4:19"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</row>
    <row r="858" spans="4:19"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</row>
    <row r="859" spans="4:19"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</row>
    <row r="860" spans="4:19"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</row>
    <row r="861" spans="4:19"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</row>
    <row r="862" spans="4:19"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</row>
    <row r="863" spans="4:19"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</row>
    <row r="864" spans="4:19"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</row>
    <row r="865" spans="4:19"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</row>
    <row r="866" spans="4:19"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</row>
    <row r="867" spans="4:19"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</row>
    <row r="868" spans="4:19"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</row>
    <row r="869" spans="4:19"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</row>
    <row r="870" spans="4:19"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</row>
    <row r="871" spans="4:19"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</row>
    <row r="872" spans="4:19"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</row>
    <row r="873" spans="4:19"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</row>
    <row r="874" spans="4:19"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</row>
    <row r="875" spans="4:19"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</row>
    <row r="876" spans="4:19"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</row>
    <row r="877" spans="4:19"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</row>
    <row r="878" spans="4:19"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</row>
    <row r="879" spans="4:19"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</row>
    <row r="880" spans="4:19"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</row>
    <row r="881" spans="4:19"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</row>
    <row r="882" spans="4:19"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</row>
    <row r="883" spans="4:19"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</row>
    <row r="884" spans="4:19"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</row>
    <row r="885" spans="4:19"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</row>
    <row r="886" spans="4:19"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</row>
    <row r="887" spans="4:19"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</row>
    <row r="888" spans="4:19"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</row>
    <row r="889" spans="4:19"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</row>
    <row r="890" spans="4:19"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</row>
    <row r="891" spans="4:19"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</row>
    <row r="892" spans="4:19"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</row>
    <row r="893" spans="4:19"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</row>
    <row r="894" spans="4:19"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</row>
    <row r="895" spans="4:19"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</row>
    <row r="896" spans="4:19"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</row>
    <row r="897" spans="4:19"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</row>
    <row r="898" spans="4:19"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</row>
    <row r="899" spans="4:19"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</row>
    <row r="900" spans="4:19"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</row>
    <row r="901" spans="4:19"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</row>
    <row r="902" spans="4:19"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</row>
    <row r="903" spans="4:19"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</row>
    <row r="904" spans="4:19"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</row>
    <row r="905" spans="4:19"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</row>
    <row r="906" spans="4:19"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</row>
    <row r="907" spans="4:19"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</row>
    <row r="908" spans="4:19"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</row>
    <row r="909" spans="4:19"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</row>
    <row r="910" spans="4:19"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</row>
    <row r="911" spans="4:19"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</row>
    <row r="912" spans="4:19"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</row>
    <row r="913" spans="4:19"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</row>
    <row r="914" spans="4:19"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</row>
    <row r="915" spans="4:19"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</row>
    <row r="916" spans="4:19"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</row>
    <row r="917" spans="4:19"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</row>
    <row r="918" spans="4:19"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</row>
    <row r="919" spans="4:19"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</row>
    <row r="920" spans="4:19"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</row>
    <row r="921" spans="4:19"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</row>
    <row r="922" spans="4:19"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</row>
    <row r="923" spans="4:19"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</row>
    <row r="924" spans="4:19"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</row>
    <row r="925" spans="4:19"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</row>
    <row r="926" spans="4:19"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</row>
    <row r="927" spans="4:19"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</row>
    <row r="928" spans="4:19"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</row>
    <row r="929" spans="4:19"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</row>
    <row r="930" spans="4:19"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</row>
    <row r="931" spans="4:19"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</row>
    <row r="932" spans="4:19"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</row>
    <row r="933" spans="4:19"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</row>
    <row r="934" spans="4:19"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</row>
    <row r="935" spans="4:19"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</row>
    <row r="936" spans="4:19"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</row>
    <row r="937" spans="4:19"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</row>
    <row r="938" spans="4:19"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</row>
    <row r="939" spans="4:19"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</row>
    <row r="940" spans="4:19"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</row>
    <row r="941" spans="4:19"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</row>
    <row r="942" spans="4:19"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</row>
    <row r="943" spans="4:19"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</row>
    <row r="944" spans="4:19"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</row>
    <row r="945" spans="4:19"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</row>
    <row r="946" spans="4:19"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</row>
    <row r="947" spans="4:19"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</row>
    <row r="948" spans="4:19"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</row>
    <row r="949" spans="4:19"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</row>
    <row r="950" spans="4:19"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</row>
    <row r="951" spans="4:19"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</row>
    <row r="952" spans="4:19"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</row>
    <row r="953" spans="4:19"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</row>
    <row r="954" spans="4:19"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</row>
    <row r="955" spans="4:19"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</row>
    <row r="956" spans="4:19"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</row>
    <row r="957" spans="4:19"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</row>
    <row r="958" spans="4:19"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</row>
    <row r="959" spans="4:19"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</row>
    <row r="960" spans="4:19"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</row>
    <row r="961" spans="4:19"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</row>
    <row r="962" spans="4:19"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</row>
    <row r="963" spans="4:19"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</row>
    <row r="964" spans="4:19"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</row>
    <row r="965" spans="4:19"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</row>
    <row r="966" spans="4:19"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</row>
    <row r="967" spans="4:19"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</row>
    <row r="968" spans="4:19"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</row>
    <row r="969" spans="4:19"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</row>
    <row r="970" spans="4:19"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</row>
    <row r="971" spans="4:19"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</row>
    <row r="972" spans="4:19"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</row>
    <row r="973" spans="4:19"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</row>
    <row r="974" spans="4:19"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</row>
    <row r="975" spans="4:19"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</row>
    <row r="976" spans="4:19"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</row>
    <row r="977" spans="4:19"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</row>
    <row r="978" spans="4:19"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</row>
    <row r="979" spans="4:19"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</row>
    <row r="980" spans="4:19"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</row>
    <row r="981" spans="4:19"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</row>
    <row r="982" spans="4:19"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</row>
    <row r="983" spans="4:19"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</row>
    <row r="984" spans="4:19"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</row>
    <row r="985" spans="4:19"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</row>
    <row r="986" spans="4:19"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</row>
    <row r="987" spans="4:19"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</row>
    <row r="988" spans="4:19"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</row>
    <row r="989" spans="4:19"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</row>
    <row r="990" spans="4:19"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</row>
    <row r="991" spans="4:19"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</row>
    <row r="992" spans="4:19"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</row>
    <row r="993" spans="4:19"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</row>
    <row r="994" spans="4:19"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</row>
    <row r="995" spans="4:19"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</row>
    <row r="996" spans="4:19"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</row>
    <row r="997" spans="4:19"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</row>
    <row r="998" spans="4:19"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</row>
    <row r="999" spans="4:19"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</row>
    <row r="1000" spans="4:19"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</row>
    <row r="1001" spans="4:19"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</row>
    <row r="1002" spans="4:19"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</row>
    <row r="1003" spans="4:19"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</row>
    <row r="1004" spans="4:19"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</row>
    <row r="1005" spans="4:19"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04"/>
      <c r="P1005" s="104"/>
      <c r="Q1005" s="104"/>
      <c r="R1005" s="104"/>
      <c r="S1005" s="104"/>
    </row>
    <row r="1006" spans="4:19">
      <c r="D1006" s="104"/>
      <c r="E1006" s="104"/>
      <c r="F1006" s="104"/>
      <c r="G1006" s="104"/>
      <c r="H1006" s="104"/>
      <c r="I1006" s="104"/>
      <c r="J1006" s="104"/>
      <c r="K1006" s="104"/>
      <c r="L1006" s="104"/>
      <c r="M1006" s="104"/>
      <c r="N1006" s="104"/>
      <c r="O1006" s="104"/>
      <c r="P1006" s="104"/>
      <c r="Q1006" s="104"/>
      <c r="R1006" s="104"/>
      <c r="S1006" s="104"/>
    </row>
    <row r="1007" spans="4:19">
      <c r="D1007" s="104"/>
      <c r="E1007" s="104"/>
      <c r="F1007" s="104"/>
      <c r="G1007" s="104"/>
      <c r="H1007" s="104"/>
      <c r="I1007" s="104"/>
      <c r="J1007" s="104"/>
      <c r="K1007" s="104"/>
      <c r="L1007" s="104"/>
      <c r="M1007" s="104"/>
      <c r="N1007" s="104"/>
      <c r="O1007" s="104"/>
      <c r="P1007" s="104"/>
      <c r="Q1007" s="104"/>
      <c r="R1007" s="104"/>
      <c r="S1007" s="104"/>
    </row>
    <row r="1008" spans="4:19">
      <c r="D1008" s="104"/>
      <c r="E1008" s="104"/>
      <c r="F1008" s="104"/>
      <c r="G1008" s="104"/>
      <c r="H1008" s="104"/>
      <c r="I1008" s="104"/>
      <c r="J1008" s="104"/>
      <c r="K1008" s="104"/>
      <c r="L1008" s="104"/>
      <c r="M1008" s="104"/>
      <c r="N1008" s="104"/>
      <c r="O1008" s="104"/>
      <c r="P1008" s="104"/>
      <c r="Q1008" s="104"/>
      <c r="R1008" s="104"/>
      <c r="S1008" s="104"/>
    </row>
    <row r="1009" spans="4:19">
      <c r="D1009" s="104"/>
      <c r="E1009" s="104"/>
      <c r="F1009" s="104"/>
      <c r="G1009" s="104"/>
      <c r="H1009" s="104"/>
      <c r="I1009" s="104"/>
      <c r="J1009" s="104"/>
      <c r="K1009" s="104"/>
      <c r="L1009" s="104"/>
      <c r="M1009" s="104"/>
      <c r="N1009" s="104"/>
      <c r="O1009" s="104"/>
      <c r="P1009" s="104"/>
      <c r="Q1009" s="104"/>
      <c r="R1009" s="104"/>
      <c r="S1009" s="104"/>
    </row>
    <row r="1010" spans="4:19">
      <c r="D1010" s="104"/>
      <c r="E1010" s="104"/>
      <c r="F1010" s="104"/>
      <c r="G1010" s="104"/>
      <c r="H1010" s="104"/>
      <c r="I1010" s="104"/>
      <c r="J1010" s="104"/>
      <c r="K1010" s="104"/>
      <c r="L1010" s="104"/>
      <c r="M1010" s="104"/>
      <c r="N1010" s="104"/>
      <c r="O1010" s="104"/>
      <c r="P1010" s="104"/>
      <c r="Q1010" s="104"/>
      <c r="R1010" s="104"/>
      <c r="S1010" s="104"/>
    </row>
    <row r="1011" spans="4:19">
      <c r="D1011" s="104"/>
      <c r="E1011" s="104"/>
      <c r="F1011" s="104"/>
      <c r="G1011" s="104"/>
      <c r="H1011" s="104"/>
      <c r="I1011" s="104"/>
      <c r="J1011" s="104"/>
      <c r="K1011" s="104"/>
      <c r="L1011" s="104"/>
      <c r="M1011" s="104"/>
      <c r="N1011" s="104"/>
      <c r="O1011" s="104"/>
      <c r="P1011" s="104"/>
      <c r="Q1011" s="104"/>
      <c r="R1011" s="104"/>
      <c r="S1011" s="104"/>
    </row>
    <row r="1012" spans="4:19">
      <c r="D1012" s="104"/>
      <c r="E1012" s="104"/>
      <c r="F1012" s="104"/>
      <c r="G1012" s="104"/>
      <c r="H1012" s="104"/>
      <c r="I1012" s="104"/>
      <c r="J1012" s="104"/>
      <c r="K1012" s="104"/>
      <c r="L1012" s="104"/>
      <c r="M1012" s="104"/>
      <c r="N1012" s="104"/>
      <c r="O1012" s="104"/>
      <c r="P1012" s="104"/>
      <c r="Q1012" s="104"/>
      <c r="R1012" s="104"/>
      <c r="S1012" s="104"/>
    </row>
    <row r="1013" spans="4:19">
      <c r="D1013" s="104"/>
      <c r="E1013" s="104"/>
      <c r="F1013" s="104"/>
      <c r="G1013" s="104"/>
      <c r="H1013" s="104"/>
      <c r="I1013" s="104"/>
      <c r="J1013" s="104"/>
      <c r="K1013" s="104"/>
      <c r="L1013" s="104"/>
      <c r="M1013" s="104"/>
      <c r="N1013" s="104"/>
      <c r="O1013" s="104"/>
      <c r="P1013" s="104"/>
      <c r="Q1013" s="104"/>
      <c r="R1013" s="104"/>
      <c r="S1013" s="104"/>
    </row>
    <row r="1014" spans="4:19">
      <c r="D1014" s="104"/>
      <c r="E1014" s="104"/>
      <c r="F1014" s="104"/>
      <c r="G1014" s="104"/>
      <c r="H1014" s="104"/>
      <c r="I1014" s="104"/>
      <c r="J1014" s="104"/>
      <c r="K1014" s="104"/>
      <c r="L1014" s="104"/>
      <c r="M1014" s="104"/>
      <c r="N1014" s="104"/>
      <c r="O1014" s="104"/>
      <c r="P1014" s="104"/>
      <c r="Q1014" s="104"/>
      <c r="R1014" s="104"/>
      <c r="S1014" s="104"/>
    </row>
    <row r="1015" spans="4:19">
      <c r="D1015" s="104"/>
      <c r="E1015" s="104"/>
      <c r="F1015" s="104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</row>
    <row r="1016" spans="4:19">
      <c r="D1016" s="104"/>
      <c r="E1016" s="104"/>
      <c r="F1016" s="104"/>
      <c r="G1016" s="104"/>
      <c r="H1016" s="104"/>
      <c r="I1016" s="104"/>
      <c r="J1016" s="104"/>
      <c r="K1016" s="104"/>
      <c r="L1016" s="104"/>
      <c r="M1016" s="104"/>
      <c r="N1016" s="104"/>
      <c r="O1016" s="104"/>
      <c r="P1016" s="104"/>
      <c r="Q1016" s="104"/>
      <c r="R1016" s="104"/>
      <c r="S1016" s="104"/>
    </row>
    <row r="1017" spans="4:19">
      <c r="D1017" s="104"/>
      <c r="E1017" s="104"/>
      <c r="F1017" s="104"/>
      <c r="G1017" s="104"/>
      <c r="H1017" s="104"/>
      <c r="I1017" s="104"/>
      <c r="J1017" s="104"/>
      <c r="K1017" s="104"/>
      <c r="L1017" s="104"/>
      <c r="M1017" s="104"/>
      <c r="N1017" s="104"/>
      <c r="O1017" s="104"/>
      <c r="P1017" s="104"/>
      <c r="Q1017" s="104"/>
      <c r="R1017" s="104"/>
      <c r="S1017" s="104"/>
    </row>
    <row r="1018" spans="4:19">
      <c r="D1018" s="104"/>
      <c r="E1018" s="104"/>
      <c r="F1018" s="104"/>
      <c r="G1018" s="104"/>
      <c r="H1018" s="104"/>
      <c r="I1018" s="104"/>
      <c r="J1018" s="104"/>
      <c r="K1018" s="104"/>
      <c r="L1018" s="104"/>
      <c r="M1018" s="104"/>
      <c r="N1018" s="104"/>
      <c r="O1018" s="104"/>
      <c r="P1018" s="104"/>
      <c r="Q1018" s="104"/>
      <c r="R1018" s="104"/>
      <c r="S1018" s="104"/>
    </row>
    <row r="1019" spans="4:19">
      <c r="D1019" s="104"/>
      <c r="E1019" s="104"/>
      <c r="F1019" s="104"/>
      <c r="G1019" s="104"/>
      <c r="H1019" s="104"/>
      <c r="I1019" s="104"/>
      <c r="J1019" s="104"/>
      <c r="K1019" s="104"/>
      <c r="L1019" s="104"/>
      <c r="M1019" s="104"/>
      <c r="N1019" s="104"/>
      <c r="O1019" s="104"/>
      <c r="P1019" s="104"/>
      <c r="Q1019" s="104"/>
      <c r="R1019" s="104"/>
      <c r="S1019" s="104"/>
    </row>
    <row r="1020" spans="4:19">
      <c r="D1020" s="104"/>
      <c r="E1020" s="104"/>
      <c r="F1020" s="104"/>
      <c r="G1020" s="104"/>
      <c r="H1020" s="104"/>
      <c r="I1020" s="104"/>
      <c r="J1020" s="104"/>
      <c r="K1020" s="104"/>
      <c r="L1020" s="104"/>
      <c r="M1020" s="104"/>
      <c r="N1020" s="104"/>
      <c r="O1020" s="104"/>
      <c r="P1020" s="104"/>
      <c r="Q1020" s="104"/>
      <c r="R1020" s="104"/>
      <c r="S1020" s="104"/>
    </row>
    <row r="1021" spans="4:19">
      <c r="D1021" s="104"/>
      <c r="E1021" s="104"/>
      <c r="F1021" s="104"/>
      <c r="G1021" s="104"/>
      <c r="H1021" s="104"/>
      <c r="I1021" s="104"/>
      <c r="J1021" s="104"/>
      <c r="K1021" s="104"/>
      <c r="L1021" s="104"/>
      <c r="M1021" s="104"/>
      <c r="N1021" s="104"/>
      <c r="O1021" s="104"/>
      <c r="P1021" s="104"/>
      <c r="Q1021" s="104"/>
      <c r="R1021" s="104"/>
      <c r="S1021" s="104"/>
    </row>
    <row r="1022" spans="4:19">
      <c r="D1022" s="104"/>
      <c r="E1022" s="104"/>
      <c r="F1022" s="104"/>
      <c r="G1022" s="104"/>
      <c r="H1022" s="104"/>
      <c r="I1022" s="104"/>
      <c r="J1022" s="104"/>
      <c r="K1022" s="104"/>
      <c r="L1022" s="104"/>
      <c r="M1022" s="104"/>
      <c r="N1022" s="104"/>
      <c r="O1022" s="104"/>
      <c r="P1022" s="104"/>
      <c r="Q1022" s="104"/>
      <c r="R1022" s="104"/>
      <c r="S1022" s="104"/>
    </row>
    <row r="1023" spans="4:19">
      <c r="D1023" s="104"/>
      <c r="E1023" s="104"/>
      <c r="F1023" s="104"/>
      <c r="G1023" s="104"/>
      <c r="H1023" s="104"/>
      <c r="I1023" s="104"/>
      <c r="J1023" s="104"/>
      <c r="K1023" s="104"/>
      <c r="L1023" s="104"/>
      <c r="M1023" s="104"/>
      <c r="N1023" s="104"/>
      <c r="O1023" s="104"/>
      <c r="P1023" s="104"/>
      <c r="Q1023" s="104"/>
      <c r="R1023" s="104"/>
      <c r="S1023" s="104"/>
    </row>
    <row r="1024" spans="4:19">
      <c r="D1024" s="104"/>
      <c r="E1024" s="104"/>
      <c r="F1024" s="104"/>
      <c r="G1024" s="104"/>
      <c r="H1024" s="104"/>
      <c r="I1024" s="104"/>
      <c r="J1024" s="104"/>
      <c r="K1024" s="104"/>
      <c r="L1024" s="104"/>
      <c r="M1024" s="104"/>
      <c r="N1024" s="104"/>
      <c r="O1024" s="104"/>
      <c r="P1024" s="104"/>
      <c r="Q1024" s="104"/>
      <c r="R1024" s="104"/>
      <c r="S1024" s="104"/>
    </row>
    <row r="1025" spans="4:19">
      <c r="D1025" s="104"/>
      <c r="E1025" s="104"/>
      <c r="F1025" s="104"/>
      <c r="G1025" s="104"/>
      <c r="H1025" s="104"/>
      <c r="I1025" s="104"/>
      <c r="J1025" s="104"/>
      <c r="K1025" s="104"/>
      <c r="L1025" s="104"/>
      <c r="M1025" s="104"/>
      <c r="N1025" s="104"/>
      <c r="O1025" s="104"/>
      <c r="P1025" s="104"/>
      <c r="Q1025" s="104"/>
      <c r="R1025" s="104"/>
      <c r="S1025" s="104"/>
    </row>
    <row r="1026" spans="4:19">
      <c r="D1026" s="104"/>
      <c r="E1026" s="104"/>
      <c r="F1026" s="104"/>
      <c r="G1026" s="104"/>
      <c r="H1026" s="104"/>
      <c r="I1026" s="104"/>
      <c r="J1026" s="104"/>
      <c r="K1026" s="104"/>
      <c r="L1026" s="104"/>
      <c r="M1026" s="104"/>
      <c r="N1026" s="104"/>
      <c r="O1026" s="104"/>
      <c r="P1026" s="104"/>
      <c r="Q1026" s="104"/>
      <c r="R1026" s="104"/>
      <c r="S1026" s="104"/>
    </row>
    <row r="1027" spans="4:19">
      <c r="D1027" s="104"/>
      <c r="E1027" s="104"/>
      <c r="F1027" s="104"/>
      <c r="G1027" s="104"/>
      <c r="H1027" s="104"/>
      <c r="I1027" s="104"/>
      <c r="J1027" s="104"/>
      <c r="K1027" s="104"/>
      <c r="L1027" s="104"/>
      <c r="M1027" s="104"/>
      <c r="N1027" s="104"/>
      <c r="O1027" s="104"/>
      <c r="P1027" s="104"/>
      <c r="Q1027" s="104"/>
      <c r="R1027" s="104"/>
      <c r="S1027" s="104"/>
    </row>
    <row r="1028" spans="4:19">
      <c r="D1028" s="104"/>
      <c r="E1028" s="104"/>
      <c r="F1028" s="104"/>
      <c r="G1028" s="104"/>
      <c r="H1028" s="104"/>
      <c r="I1028" s="104"/>
      <c r="J1028" s="104"/>
      <c r="K1028" s="104"/>
      <c r="L1028" s="104"/>
      <c r="M1028" s="104"/>
      <c r="N1028" s="104"/>
      <c r="O1028" s="104"/>
      <c r="P1028" s="104"/>
      <c r="Q1028" s="104"/>
      <c r="R1028" s="104"/>
      <c r="S1028" s="104"/>
    </row>
    <row r="1029" spans="4:19">
      <c r="D1029" s="104"/>
      <c r="E1029" s="104"/>
      <c r="F1029" s="104"/>
      <c r="G1029" s="104"/>
      <c r="H1029" s="104"/>
      <c r="I1029" s="104"/>
      <c r="J1029" s="104"/>
      <c r="K1029" s="104"/>
      <c r="L1029" s="104"/>
      <c r="M1029" s="104"/>
      <c r="N1029" s="104"/>
      <c r="O1029" s="104"/>
      <c r="P1029" s="104"/>
      <c r="Q1029" s="104"/>
      <c r="R1029" s="104"/>
      <c r="S1029" s="104"/>
    </row>
    <row r="1030" spans="4:19">
      <c r="D1030" s="104"/>
      <c r="E1030" s="104"/>
      <c r="F1030" s="104"/>
      <c r="G1030" s="104"/>
      <c r="H1030" s="104"/>
      <c r="I1030" s="104"/>
      <c r="J1030" s="104"/>
      <c r="K1030" s="104"/>
      <c r="L1030" s="104"/>
      <c r="M1030" s="104"/>
      <c r="N1030" s="104"/>
      <c r="O1030" s="104"/>
      <c r="P1030" s="104"/>
      <c r="Q1030" s="104"/>
      <c r="R1030" s="104"/>
      <c r="S1030" s="104"/>
    </row>
    <row r="1031" spans="4:19">
      <c r="D1031" s="104"/>
      <c r="E1031" s="104"/>
      <c r="F1031" s="104"/>
      <c r="G1031" s="104"/>
      <c r="H1031" s="104"/>
      <c r="I1031" s="104"/>
      <c r="J1031" s="104"/>
      <c r="K1031" s="104"/>
      <c r="L1031" s="104"/>
      <c r="M1031" s="104"/>
      <c r="N1031" s="104"/>
      <c r="O1031" s="104"/>
      <c r="P1031" s="104"/>
      <c r="Q1031" s="104"/>
      <c r="R1031" s="104"/>
      <c r="S1031" s="104"/>
    </row>
    <row r="1032" spans="4:19">
      <c r="D1032" s="104"/>
      <c r="E1032" s="104"/>
      <c r="F1032" s="104"/>
      <c r="G1032" s="104"/>
      <c r="H1032" s="104"/>
      <c r="I1032" s="104"/>
      <c r="J1032" s="104"/>
      <c r="K1032" s="104"/>
      <c r="L1032" s="104"/>
      <c r="M1032" s="104"/>
      <c r="N1032" s="104"/>
      <c r="O1032" s="104"/>
      <c r="P1032" s="104"/>
      <c r="Q1032" s="104"/>
      <c r="R1032" s="104"/>
      <c r="S1032" s="104"/>
    </row>
    <row r="1033" spans="4:19">
      <c r="D1033" s="104"/>
      <c r="E1033" s="104"/>
      <c r="F1033" s="104"/>
      <c r="G1033" s="104"/>
      <c r="H1033" s="104"/>
      <c r="I1033" s="104"/>
      <c r="J1033" s="104"/>
      <c r="K1033" s="104"/>
      <c r="L1033" s="104"/>
      <c r="M1033" s="104"/>
      <c r="N1033" s="104"/>
      <c r="O1033" s="104"/>
      <c r="P1033" s="104"/>
      <c r="Q1033" s="104"/>
      <c r="R1033" s="104"/>
      <c r="S1033" s="104"/>
    </row>
    <row r="1034" spans="4:19">
      <c r="D1034" s="104"/>
      <c r="E1034" s="104"/>
      <c r="F1034" s="104"/>
      <c r="G1034" s="104"/>
      <c r="H1034" s="104"/>
      <c r="I1034" s="104"/>
      <c r="J1034" s="104"/>
      <c r="K1034" s="104"/>
      <c r="L1034" s="104"/>
      <c r="M1034" s="104"/>
      <c r="N1034" s="104"/>
      <c r="O1034" s="104"/>
      <c r="P1034" s="104"/>
      <c r="Q1034" s="104"/>
      <c r="R1034" s="104"/>
      <c r="S1034" s="104"/>
    </row>
    <row r="1035" spans="4:19">
      <c r="D1035" s="104"/>
      <c r="E1035" s="104"/>
      <c r="F1035" s="104"/>
      <c r="G1035" s="104"/>
      <c r="H1035" s="104"/>
      <c r="I1035" s="104"/>
      <c r="J1035" s="104"/>
      <c r="K1035" s="104"/>
      <c r="L1035" s="104"/>
      <c r="M1035" s="104"/>
      <c r="N1035" s="104"/>
      <c r="O1035" s="104"/>
      <c r="P1035" s="104"/>
      <c r="Q1035" s="104"/>
      <c r="R1035" s="104"/>
      <c r="S1035" s="104"/>
    </row>
    <row r="1036" spans="4:19">
      <c r="D1036" s="104"/>
      <c r="E1036" s="104"/>
      <c r="F1036" s="104"/>
      <c r="G1036" s="104"/>
      <c r="H1036" s="104"/>
      <c r="I1036" s="104"/>
      <c r="J1036" s="104"/>
      <c r="K1036" s="104"/>
      <c r="L1036" s="104"/>
      <c r="M1036" s="104"/>
      <c r="N1036" s="104"/>
      <c r="O1036" s="104"/>
      <c r="P1036" s="104"/>
      <c r="Q1036" s="104"/>
      <c r="R1036" s="104"/>
      <c r="S1036" s="104"/>
    </row>
    <row r="1037" spans="4:19">
      <c r="D1037" s="104"/>
      <c r="E1037" s="104"/>
      <c r="F1037" s="104"/>
      <c r="G1037" s="104"/>
      <c r="H1037" s="104"/>
      <c r="I1037" s="104"/>
      <c r="J1037" s="104"/>
      <c r="K1037" s="104"/>
      <c r="L1037" s="104"/>
      <c r="M1037" s="104"/>
      <c r="N1037" s="104"/>
      <c r="O1037" s="104"/>
      <c r="P1037" s="104"/>
      <c r="Q1037" s="104"/>
      <c r="R1037" s="104"/>
      <c r="S1037" s="104"/>
    </row>
    <row r="1038" spans="4:19">
      <c r="D1038" s="104"/>
      <c r="E1038" s="104"/>
      <c r="F1038" s="104"/>
      <c r="G1038" s="104"/>
      <c r="H1038" s="104"/>
      <c r="I1038" s="104"/>
      <c r="J1038" s="104"/>
      <c r="K1038" s="104"/>
      <c r="L1038" s="104"/>
      <c r="M1038" s="104"/>
      <c r="N1038" s="104"/>
      <c r="O1038" s="104"/>
      <c r="P1038" s="104"/>
      <c r="Q1038" s="104"/>
      <c r="R1038" s="104"/>
      <c r="S1038" s="104"/>
    </row>
    <row r="1039" spans="4:19">
      <c r="D1039" s="104"/>
      <c r="E1039" s="104"/>
      <c r="F1039" s="104"/>
      <c r="G1039" s="104"/>
      <c r="H1039" s="104"/>
      <c r="I1039" s="104"/>
      <c r="J1039" s="104"/>
      <c r="K1039" s="104"/>
      <c r="L1039" s="104"/>
      <c r="M1039" s="104"/>
      <c r="N1039" s="104"/>
      <c r="O1039" s="104"/>
      <c r="P1039" s="104"/>
      <c r="Q1039" s="104"/>
      <c r="R1039" s="104"/>
      <c r="S1039" s="104"/>
    </row>
    <row r="1040" spans="4:19">
      <c r="D1040" s="104"/>
      <c r="E1040" s="104"/>
      <c r="F1040" s="104"/>
      <c r="G1040" s="104"/>
      <c r="H1040" s="104"/>
      <c r="I1040" s="104"/>
      <c r="J1040" s="104"/>
      <c r="K1040" s="104"/>
      <c r="L1040" s="104"/>
      <c r="M1040" s="104"/>
      <c r="N1040" s="104"/>
      <c r="O1040" s="104"/>
      <c r="P1040" s="104"/>
      <c r="Q1040" s="104"/>
      <c r="R1040" s="104"/>
      <c r="S1040" s="104"/>
    </row>
    <row r="1041" spans="4:19">
      <c r="D1041" s="104"/>
      <c r="E1041" s="104"/>
      <c r="F1041" s="104"/>
      <c r="G1041" s="104"/>
      <c r="H1041" s="104"/>
      <c r="I1041" s="104"/>
      <c r="J1041" s="104"/>
      <c r="K1041" s="104"/>
      <c r="L1041" s="104"/>
      <c r="M1041" s="104"/>
      <c r="N1041" s="104"/>
      <c r="O1041" s="104"/>
      <c r="P1041" s="104"/>
      <c r="Q1041" s="104"/>
      <c r="R1041" s="104"/>
      <c r="S1041" s="104"/>
    </row>
    <row r="1042" spans="4:19">
      <c r="D1042" s="104"/>
      <c r="E1042" s="104"/>
      <c r="F1042" s="104"/>
      <c r="G1042" s="104"/>
      <c r="H1042" s="104"/>
      <c r="I1042" s="104"/>
      <c r="J1042" s="104"/>
      <c r="K1042" s="104"/>
      <c r="L1042" s="104"/>
      <c r="M1042" s="104"/>
      <c r="N1042" s="104"/>
      <c r="O1042" s="104"/>
      <c r="P1042" s="104"/>
      <c r="Q1042" s="104"/>
      <c r="R1042" s="104"/>
      <c r="S1042" s="104"/>
    </row>
    <row r="1043" spans="4:19">
      <c r="D1043" s="104"/>
      <c r="E1043" s="104"/>
      <c r="F1043" s="104"/>
      <c r="G1043" s="104"/>
      <c r="H1043" s="104"/>
      <c r="I1043" s="104"/>
      <c r="J1043" s="104"/>
      <c r="K1043" s="104"/>
      <c r="L1043" s="104"/>
      <c r="M1043" s="104"/>
      <c r="N1043" s="104"/>
      <c r="O1043" s="104"/>
      <c r="P1043" s="104"/>
      <c r="Q1043" s="104"/>
      <c r="R1043" s="104"/>
      <c r="S1043" s="104"/>
    </row>
    <row r="1044" spans="4:19">
      <c r="D1044" s="104"/>
      <c r="E1044" s="104"/>
      <c r="F1044" s="104"/>
      <c r="G1044" s="104"/>
      <c r="H1044" s="104"/>
      <c r="I1044" s="104"/>
      <c r="J1044" s="104"/>
      <c r="K1044" s="104"/>
      <c r="L1044" s="104"/>
      <c r="M1044" s="104"/>
      <c r="N1044" s="104"/>
      <c r="O1044" s="104"/>
      <c r="P1044" s="104"/>
      <c r="Q1044" s="104"/>
      <c r="R1044" s="104"/>
      <c r="S1044" s="104"/>
    </row>
    <row r="1045" spans="4:19">
      <c r="D1045" s="104"/>
      <c r="E1045" s="104"/>
      <c r="F1045" s="104"/>
      <c r="G1045" s="104"/>
      <c r="H1045" s="104"/>
      <c r="I1045" s="104"/>
      <c r="J1045" s="104"/>
      <c r="K1045" s="104"/>
      <c r="L1045" s="104"/>
      <c r="M1045" s="104"/>
      <c r="N1045" s="104"/>
      <c r="O1045" s="104"/>
      <c r="P1045" s="104"/>
      <c r="Q1045" s="104"/>
      <c r="R1045" s="104"/>
      <c r="S1045" s="104"/>
    </row>
    <row r="1046" spans="4:19">
      <c r="D1046" s="104"/>
      <c r="E1046" s="104"/>
      <c r="F1046" s="104"/>
      <c r="G1046" s="104"/>
      <c r="H1046" s="104"/>
      <c r="I1046" s="104"/>
      <c r="J1046" s="104"/>
      <c r="K1046" s="104"/>
      <c r="L1046" s="104"/>
      <c r="M1046" s="104"/>
      <c r="N1046" s="104"/>
      <c r="O1046" s="104"/>
      <c r="P1046" s="104"/>
      <c r="Q1046" s="104"/>
      <c r="R1046" s="104"/>
      <c r="S1046" s="104"/>
    </row>
    <row r="1047" spans="4:19">
      <c r="D1047" s="104"/>
      <c r="E1047" s="104"/>
      <c r="F1047" s="104"/>
      <c r="G1047" s="104"/>
      <c r="H1047" s="104"/>
      <c r="I1047" s="104"/>
      <c r="J1047" s="104"/>
      <c r="K1047" s="104"/>
      <c r="L1047" s="104"/>
      <c r="M1047" s="104"/>
      <c r="N1047" s="104"/>
      <c r="O1047" s="104"/>
      <c r="P1047" s="104"/>
      <c r="Q1047" s="104"/>
      <c r="R1047" s="104"/>
      <c r="S1047" s="104"/>
    </row>
    <row r="1048" spans="4:19">
      <c r="D1048" s="104"/>
      <c r="E1048" s="104"/>
      <c r="F1048" s="104"/>
      <c r="G1048" s="104"/>
      <c r="H1048" s="104"/>
      <c r="I1048" s="104"/>
      <c r="J1048" s="104"/>
      <c r="K1048" s="104"/>
      <c r="L1048" s="104"/>
      <c r="M1048" s="104"/>
      <c r="N1048" s="104"/>
      <c r="O1048" s="104"/>
      <c r="P1048" s="104"/>
      <c r="Q1048" s="104"/>
      <c r="R1048" s="104"/>
      <c r="S1048" s="104"/>
    </row>
    <row r="1049" spans="4:19">
      <c r="D1049" s="104"/>
      <c r="E1049" s="104"/>
      <c r="F1049" s="104"/>
      <c r="G1049" s="104"/>
      <c r="H1049" s="104"/>
      <c r="I1049" s="104"/>
      <c r="J1049" s="104"/>
      <c r="K1049" s="104"/>
      <c r="L1049" s="104"/>
      <c r="M1049" s="104"/>
      <c r="N1049" s="104"/>
      <c r="O1049" s="104"/>
      <c r="P1049" s="104"/>
      <c r="Q1049" s="104"/>
      <c r="R1049" s="104"/>
      <c r="S1049" s="104"/>
    </row>
    <row r="1050" spans="4:19">
      <c r="D1050" s="104"/>
      <c r="E1050" s="104"/>
      <c r="F1050" s="104"/>
      <c r="G1050" s="104"/>
      <c r="H1050" s="104"/>
      <c r="I1050" s="104"/>
      <c r="J1050" s="104"/>
      <c r="K1050" s="104"/>
      <c r="L1050" s="104"/>
      <c r="M1050" s="104"/>
      <c r="N1050" s="104"/>
      <c r="O1050" s="104"/>
      <c r="P1050" s="104"/>
      <c r="Q1050" s="104"/>
      <c r="R1050" s="104"/>
      <c r="S1050" s="104"/>
    </row>
    <row r="1051" spans="4:19">
      <c r="D1051" s="104"/>
      <c r="E1051" s="104"/>
      <c r="F1051" s="104"/>
      <c r="G1051" s="104"/>
      <c r="H1051" s="104"/>
      <c r="I1051" s="104"/>
      <c r="J1051" s="104"/>
      <c r="K1051" s="104"/>
      <c r="L1051" s="104"/>
      <c r="M1051" s="104"/>
      <c r="N1051" s="104"/>
      <c r="O1051" s="104"/>
      <c r="P1051" s="104"/>
      <c r="Q1051" s="104"/>
      <c r="R1051" s="104"/>
      <c r="S1051" s="104"/>
    </row>
    <row r="1052" spans="4:19">
      <c r="D1052" s="104"/>
      <c r="E1052" s="104"/>
      <c r="F1052" s="104"/>
      <c r="G1052" s="104"/>
      <c r="H1052" s="104"/>
      <c r="I1052" s="104"/>
      <c r="J1052" s="104"/>
      <c r="K1052" s="104"/>
      <c r="L1052" s="104"/>
      <c r="M1052" s="104"/>
      <c r="N1052" s="104"/>
      <c r="O1052" s="104"/>
      <c r="P1052" s="104"/>
      <c r="Q1052" s="104"/>
      <c r="R1052" s="104"/>
      <c r="S1052" s="104"/>
    </row>
    <row r="1053" spans="4:19">
      <c r="D1053" s="104"/>
      <c r="E1053" s="104"/>
      <c r="F1053" s="104"/>
      <c r="G1053" s="104"/>
      <c r="H1053" s="104"/>
      <c r="I1053" s="104"/>
      <c r="J1053" s="104"/>
      <c r="K1053" s="104"/>
      <c r="L1053" s="104"/>
      <c r="M1053" s="104"/>
      <c r="N1053" s="104"/>
      <c r="O1053" s="104"/>
      <c r="P1053" s="104"/>
      <c r="Q1053" s="104"/>
      <c r="R1053" s="104"/>
      <c r="S1053" s="104"/>
    </row>
    <row r="1054" spans="4:19">
      <c r="D1054" s="104"/>
      <c r="E1054" s="104"/>
      <c r="F1054" s="104"/>
      <c r="G1054" s="104"/>
      <c r="H1054" s="104"/>
      <c r="I1054" s="104"/>
      <c r="J1054" s="104"/>
      <c r="K1054" s="104"/>
      <c r="L1054" s="104"/>
      <c r="M1054" s="104"/>
      <c r="N1054" s="104"/>
      <c r="O1054" s="104"/>
      <c r="P1054" s="104"/>
      <c r="Q1054" s="104"/>
      <c r="R1054" s="104"/>
      <c r="S1054" s="104"/>
    </row>
    <row r="1055" spans="4:19">
      <c r="D1055" s="104"/>
      <c r="E1055" s="104"/>
      <c r="F1055" s="104"/>
      <c r="G1055" s="104"/>
      <c r="H1055" s="104"/>
      <c r="I1055" s="104"/>
      <c r="J1055" s="104"/>
      <c r="K1055" s="104"/>
      <c r="L1055" s="104"/>
      <c r="M1055" s="104"/>
      <c r="N1055" s="104"/>
      <c r="O1055" s="104"/>
      <c r="P1055" s="104"/>
      <c r="Q1055" s="104"/>
      <c r="R1055" s="104"/>
      <c r="S1055" s="104"/>
    </row>
    <row r="1056" spans="4:19">
      <c r="D1056" s="104"/>
      <c r="E1056" s="104"/>
      <c r="F1056" s="104"/>
      <c r="G1056" s="104"/>
      <c r="H1056" s="104"/>
      <c r="I1056" s="104"/>
      <c r="J1056" s="104"/>
      <c r="K1056" s="104"/>
      <c r="L1056" s="104"/>
      <c r="M1056" s="104"/>
      <c r="N1056" s="104"/>
      <c r="O1056" s="104"/>
      <c r="P1056" s="104"/>
      <c r="Q1056" s="104"/>
      <c r="R1056" s="104"/>
      <c r="S1056" s="104"/>
    </row>
    <row r="1057" spans="4:19">
      <c r="D1057" s="104"/>
      <c r="E1057" s="104"/>
      <c r="F1057" s="104"/>
      <c r="G1057" s="104"/>
      <c r="H1057" s="104"/>
      <c r="I1057" s="104"/>
      <c r="J1057" s="104"/>
      <c r="K1057" s="104"/>
      <c r="L1057" s="104"/>
      <c r="M1057" s="104"/>
      <c r="N1057" s="104"/>
      <c r="O1057" s="104"/>
      <c r="P1057" s="104"/>
      <c r="Q1057" s="104"/>
      <c r="R1057" s="104"/>
      <c r="S1057" s="104"/>
    </row>
    <row r="1058" spans="4:19">
      <c r="D1058" s="104"/>
      <c r="E1058" s="104"/>
      <c r="F1058" s="104"/>
      <c r="G1058" s="104"/>
      <c r="H1058" s="104"/>
      <c r="I1058" s="104"/>
      <c r="J1058" s="104"/>
      <c r="K1058" s="104"/>
      <c r="L1058" s="104"/>
      <c r="M1058" s="104"/>
      <c r="N1058" s="104"/>
      <c r="O1058" s="104"/>
      <c r="P1058" s="104"/>
      <c r="Q1058" s="104"/>
      <c r="R1058" s="104"/>
      <c r="S1058" s="104"/>
    </row>
    <row r="1059" spans="4:19">
      <c r="D1059" s="104"/>
      <c r="E1059" s="104"/>
      <c r="F1059" s="104"/>
      <c r="G1059" s="104"/>
      <c r="H1059" s="104"/>
      <c r="I1059" s="104"/>
      <c r="J1059" s="104"/>
      <c r="K1059" s="104"/>
      <c r="L1059" s="104"/>
      <c r="M1059" s="104"/>
      <c r="N1059" s="104"/>
      <c r="O1059" s="104"/>
      <c r="P1059" s="104"/>
      <c r="Q1059" s="104"/>
      <c r="R1059" s="104"/>
      <c r="S1059" s="104"/>
    </row>
    <row r="1060" spans="4:19">
      <c r="D1060" s="104"/>
      <c r="E1060" s="104"/>
      <c r="F1060" s="104"/>
      <c r="G1060" s="104"/>
      <c r="H1060" s="104"/>
      <c r="I1060" s="104"/>
      <c r="J1060" s="104"/>
      <c r="K1060" s="104"/>
      <c r="L1060" s="104"/>
      <c r="M1060" s="104"/>
      <c r="N1060" s="104"/>
      <c r="O1060" s="104"/>
      <c r="P1060" s="104"/>
      <c r="Q1060" s="104"/>
      <c r="R1060" s="104"/>
      <c r="S1060" s="104"/>
    </row>
    <row r="1061" spans="4:19">
      <c r="D1061" s="104"/>
      <c r="E1061" s="104"/>
      <c r="F1061" s="104"/>
      <c r="G1061" s="104"/>
      <c r="H1061" s="104"/>
      <c r="I1061" s="104"/>
      <c r="J1061" s="104"/>
      <c r="K1061" s="104"/>
      <c r="L1061" s="104"/>
      <c r="M1061" s="104"/>
      <c r="N1061" s="104"/>
      <c r="O1061" s="104"/>
      <c r="P1061" s="104"/>
      <c r="Q1061" s="104"/>
      <c r="R1061" s="104"/>
      <c r="S1061" s="104"/>
    </row>
    <row r="1062" spans="4:19">
      <c r="D1062" s="104"/>
      <c r="E1062" s="104"/>
      <c r="F1062" s="104"/>
      <c r="G1062" s="104"/>
      <c r="H1062" s="104"/>
      <c r="I1062" s="104"/>
      <c r="J1062" s="104"/>
      <c r="K1062" s="104"/>
      <c r="L1062" s="104"/>
      <c r="M1062" s="104"/>
      <c r="N1062" s="104"/>
      <c r="O1062" s="104"/>
      <c r="P1062" s="104"/>
      <c r="Q1062" s="104"/>
      <c r="R1062" s="104"/>
      <c r="S1062" s="104"/>
    </row>
    <row r="1063" spans="4:19">
      <c r="D1063" s="104"/>
      <c r="E1063" s="104"/>
      <c r="F1063" s="104"/>
      <c r="G1063" s="104"/>
      <c r="H1063" s="104"/>
      <c r="I1063" s="104"/>
      <c r="J1063" s="104"/>
      <c r="K1063" s="104"/>
      <c r="L1063" s="104"/>
      <c r="M1063" s="104"/>
      <c r="N1063" s="104"/>
      <c r="O1063" s="104"/>
      <c r="P1063" s="104"/>
      <c r="Q1063" s="104"/>
      <c r="R1063" s="104"/>
      <c r="S1063" s="104"/>
    </row>
    <row r="1064" spans="4:19">
      <c r="D1064" s="104"/>
      <c r="E1064" s="104"/>
      <c r="F1064" s="104"/>
      <c r="G1064" s="104"/>
      <c r="H1064" s="104"/>
      <c r="I1064" s="104"/>
      <c r="J1064" s="104"/>
      <c r="K1064" s="104"/>
      <c r="L1064" s="104"/>
      <c r="M1064" s="104"/>
      <c r="N1064" s="104"/>
      <c r="O1064" s="104"/>
      <c r="P1064" s="104"/>
      <c r="Q1064" s="104"/>
      <c r="R1064" s="104"/>
      <c r="S1064" s="104"/>
    </row>
    <row r="1065" spans="4:19">
      <c r="D1065" s="104"/>
      <c r="E1065" s="104"/>
      <c r="F1065" s="104"/>
      <c r="G1065" s="104"/>
      <c r="H1065" s="104"/>
      <c r="I1065" s="104"/>
      <c r="J1065" s="104"/>
      <c r="K1065" s="104"/>
      <c r="L1065" s="104"/>
      <c r="M1065" s="104"/>
      <c r="N1065" s="104"/>
      <c r="O1065" s="104"/>
      <c r="P1065" s="104"/>
      <c r="Q1065" s="104"/>
      <c r="R1065" s="104"/>
      <c r="S1065" s="104"/>
    </row>
    <row r="1066" spans="4:19">
      <c r="D1066" s="104"/>
      <c r="E1066" s="104"/>
      <c r="F1066" s="104"/>
      <c r="G1066" s="104"/>
      <c r="H1066" s="104"/>
      <c r="I1066" s="104"/>
      <c r="J1066" s="104"/>
      <c r="K1066" s="104"/>
      <c r="L1066" s="104"/>
      <c r="M1066" s="104"/>
      <c r="N1066" s="104"/>
      <c r="O1066" s="104"/>
      <c r="P1066" s="104"/>
      <c r="Q1066" s="104"/>
      <c r="R1066" s="104"/>
      <c r="S1066" s="104"/>
    </row>
    <row r="1067" spans="4:19">
      <c r="D1067" s="104"/>
      <c r="E1067" s="104"/>
      <c r="F1067" s="104"/>
      <c r="G1067" s="104"/>
      <c r="H1067" s="104"/>
      <c r="I1067" s="104"/>
      <c r="J1067" s="104"/>
      <c r="K1067" s="104"/>
      <c r="L1067" s="104"/>
      <c r="M1067" s="104"/>
      <c r="N1067" s="104"/>
      <c r="O1067" s="104"/>
      <c r="P1067" s="104"/>
      <c r="Q1067" s="104"/>
      <c r="R1067" s="104"/>
      <c r="S1067" s="104"/>
    </row>
    <row r="1068" spans="4:19">
      <c r="D1068" s="104"/>
      <c r="E1068" s="104"/>
      <c r="F1068" s="104"/>
      <c r="G1068" s="104"/>
      <c r="H1068" s="104"/>
      <c r="I1068" s="104"/>
      <c r="J1068" s="104"/>
      <c r="K1068" s="104"/>
      <c r="L1068" s="104"/>
      <c r="M1068" s="104"/>
      <c r="N1068" s="104"/>
      <c r="O1068" s="104"/>
      <c r="P1068" s="104"/>
      <c r="Q1068" s="104"/>
      <c r="R1068" s="104"/>
      <c r="S1068" s="104"/>
    </row>
    <row r="1069" spans="4:19">
      <c r="D1069" s="104"/>
      <c r="E1069" s="104"/>
      <c r="F1069" s="104"/>
      <c r="G1069" s="104"/>
      <c r="H1069" s="104"/>
      <c r="I1069" s="104"/>
      <c r="J1069" s="104"/>
      <c r="K1069" s="104"/>
      <c r="L1069" s="104"/>
      <c r="M1069" s="104"/>
      <c r="N1069" s="104"/>
      <c r="O1069" s="104"/>
      <c r="P1069" s="104"/>
      <c r="Q1069" s="104"/>
      <c r="R1069" s="104"/>
      <c r="S1069" s="104"/>
    </row>
    <row r="1070" spans="4:19">
      <c r="D1070" s="104"/>
      <c r="E1070" s="104"/>
      <c r="F1070" s="104"/>
      <c r="G1070" s="104"/>
      <c r="H1070" s="104"/>
      <c r="I1070" s="104"/>
      <c r="J1070" s="104"/>
      <c r="K1070" s="104"/>
      <c r="L1070" s="104"/>
      <c r="M1070" s="104"/>
      <c r="N1070" s="104"/>
      <c r="O1070" s="104"/>
      <c r="P1070" s="104"/>
      <c r="Q1070" s="104"/>
      <c r="R1070" s="104"/>
      <c r="S1070" s="104"/>
    </row>
    <row r="1071" spans="4:19">
      <c r="D1071" s="104"/>
      <c r="E1071" s="104"/>
      <c r="F1071" s="104"/>
      <c r="G1071" s="104"/>
      <c r="H1071" s="104"/>
      <c r="I1071" s="104"/>
      <c r="J1071" s="104"/>
      <c r="K1071" s="104"/>
      <c r="L1071" s="104"/>
      <c r="M1071" s="104"/>
      <c r="N1071" s="104"/>
      <c r="O1071" s="104"/>
      <c r="P1071" s="104"/>
      <c r="Q1071" s="104"/>
      <c r="R1071" s="104"/>
      <c r="S1071" s="104"/>
    </row>
    <row r="1072" spans="4:19">
      <c r="D1072" s="104"/>
      <c r="E1072" s="104"/>
      <c r="F1072" s="104"/>
      <c r="G1072" s="104"/>
      <c r="H1072" s="104"/>
      <c r="I1072" s="104"/>
      <c r="J1072" s="104"/>
      <c r="K1072" s="104"/>
      <c r="L1072" s="104"/>
      <c r="M1072" s="104"/>
      <c r="N1072" s="104"/>
      <c r="O1072" s="104"/>
      <c r="P1072" s="104"/>
      <c r="Q1072" s="104"/>
      <c r="R1072" s="104"/>
      <c r="S1072" s="104"/>
    </row>
    <row r="1073" spans="4:19">
      <c r="D1073" s="104"/>
      <c r="E1073" s="104"/>
      <c r="F1073" s="104"/>
      <c r="G1073" s="104"/>
      <c r="H1073" s="104"/>
      <c r="I1073" s="104"/>
      <c r="J1073" s="104"/>
      <c r="K1073" s="104"/>
      <c r="L1073" s="104"/>
      <c r="M1073" s="104"/>
      <c r="N1073" s="104"/>
      <c r="O1073" s="104"/>
      <c r="P1073" s="104"/>
      <c r="Q1073" s="104"/>
      <c r="R1073" s="104"/>
      <c r="S1073" s="104"/>
    </row>
    <row r="1074" spans="4:19">
      <c r="D1074" s="104"/>
      <c r="E1074" s="104"/>
      <c r="F1074" s="104"/>
      <c r="G1074" s="104"/>
      <c r="H1074" s="104"/>
      <c r="I1074" s="104"/>
      <c r="J1074" s="104"/>
      <c r="K1074" s="104"/>
      <c r="L1074" s="104"/>
      <c r="M1074" s="104"/>
      <c r="N1074" s="104"/>
      <c r="O1074" s="104"/>
      <c r="P1074" s="104"/>
      <c r="Q1074" s="104"/>
      <c r="R1074" s="104"/>
      <c r="S1074" s="104"/>
    </row>
    <row r="1075" spans="4:19">
      <c r="D1075" s="104"/>
      <c r="E1075" s="104"/>
      <c r="F1075" s="104"/>
      <c r="G1075" s="104"/>
      <c r="H1075" s="104"/>
      <c r="I1075" s="104"/>
      <c r="J1075" s="104"/>
      <c r="K1075" s="104"/>
      <c r="L1075" s="104"/>
      <c r="M1075" s="104"/>
      <c r="N1075" s="104"/>
      <c r="O1075" s="104"/>
      <c r="P1075" s="104"/>
      <c r="Q1075" s="104"/>
      <c r="R1075" s="104"/>
      <c r="S1075" s="104"/>
    </row>
    <row r="1076" spans="4:19">
      <c r="D1076" s="104"/>
      <c r="E1076" s="104"/>
      <c r="F1076" s="104"/>
      <c r="G1076" s="104"/>
      <c r="H1076" s="104"/>
      <c r="I1076" s="104"/>
      <c r="J1076" s="104"/>
      <c r="K1076" s="104"/>
      <c r="L1076" s="104"/>
      <c r="M1076" s="104"/>
      <c r="N1076" s="104"/>
      <c r="O1076" s="104"/>
      <c r="P1076" s="104"/>
      <c r="Q1076" s="104"/>
      <c r="R1076" s="104"/>
      <c r="S1076" s="104"/>
    </row>
    <row r="1077" spans="4:19">
      <c r="D1077" s="104"/>
      <c r="E1077" s="104"/>
      <c r="F1077" s="104"/>
      <c r="G1077" s="104"/>
      <c r="H1077" s="104"/>
      <c r="I1077" s="104"/>
      <c r="J1077" s="104"/>
      <c r="K1077" s="104"/>
      <c r="L1077" s="104"/>
      <c r="M1077" s="104"/>
      <c r="N1077" s="104"/>
      <c r="O1077" s="104"/>
      <c r="P1077" s="104"/>
      <c r="Q1077" s="104"/>
      <c r="R1077" s="104"/>
      <c r="S1077" s="104"/>
    </row>
    <row r="1078" spans="4:19">
      <c r="D1078" s="104"/>
      <c r="E1078" s="104"/>
      <c r="F1078" s="104"/>
      <c r="G1078" s="104"/>
      <c r="H1078" s="104"/>
      <c r="I1078" s="104"/>
      <c r="J1078" s="104"/>
      <c r="K1078" s="104"/>
      <c r="L1078" s="104"/>
      <c r="M1078" s="104"/>
      <c r="N1078" s="104"/>
      <c r="O1078" s="104"/>
      <c r="P1078" s="104"/>
      <c r="Q1078" s="104"/>
      <c r="R1078" s="104"/>
      <c r="S1078" s="104"/>
    </row>
    <row r="1079" spans="4:19">
      <c r="D1079" s="104"/>
      <c r="E1079" s="104"/>
      <c r="F1079" s="104"/>
      <c r="G1079" s="104"/>
      <c r="H1079" s="104"/>
      <c r="I1079" s="104"/>
      <c r="J1079" s="104"/>
      <c r="K1079" s="104"/>
      <c r="L1079" s="104"/>
      <c r="M1079" s="104"/>
      <c r="N1079" s="104"/>
      <c r="O1079" s="104"/>
      <c r="P1079" s="104"/>
      <c r="Q1079" s="104"/>
      <c r="R1079" s="104"/>
      <c r="S1079" s="104"/>
    </row>
    <row r="1080" spans="4:19">
      <c r="D1080" s="104"/>
      <c r="E1080" s="104"/>
      <c r="F1080" s="104"/>
      <c r="G1080" s="104"/>
      <c r="H1080" s="104"/>
      <c r="I1080" s="104"/>
      <c r="J1080" s="104"/>
      <c r="K1080" s="104"/>
      <c r="L1080" s="104"/>
      <c r="M1080" s="104"/>
      <c r="N1080" s="104"/>
      <c r="O1080" s="104"/>
      <c r="P1080" s="104"/>
      <c r="Q1080" s="104"/>
      <c r="R1080" s="104"/>
      <c r="S1080" s="104"/>
    </row>
    <row r="1081" spans="4:19">
      <c r="D1081" s="104"/>
      <c r="E1081" s="104"/>
      <c r="F1081" s="104"/>
      <c r="G1081" s="104"/>
      <c r="H1081" s="104"/>
      <c r="I1081" s="104"/>
      <c r="J1081" s="104"/>
      <c r="K1081" s="104"/>
      <c r="L1081" s="104"/>
      <c r="M1081" s="104"/>
      <c r="N1081" s="104"/>
      <c r="O1081" s="104"/>
      <c r="P1081" s="104"/>
      <c r="Q1081" s="104"/>
      <c r="R1081" s="104"/>
      <c r="S1081" s="104"/>
    </row>
    <row r="1082" spans="4:19">
      <c r="D1082" s="104"/>
      <c r="E1082" s="104"/>
      <c r="F1082" s="104"/>
      <c r="G1082" s="104"/>
      <c r="H1082" s="104"/>
      <c r="I1082" s="104"/>
      <c r="J1082" s="104"/>
      <c r="K1082" s="104"/>
      <c r="L1082" s="104"/>
      <c r="M1082" s="104"/>
      <c r="N1082" s="104"/>
      <c r="O1082" s="104"/>
      <c r="P1082" s="104"/>
      <c r="Q1082" s="104"/>
      <c r="R1082" s="104"/>
      <c r="S1082" s="104"/>
    </row>
    <row r="1083" spans="4:19">
      <c r="D1083" s="104"/>
      <c r="E1083" s="104"/>
      <c r="F1083" s="104"/>
      <c r="G1083" s="104"/>
      <c r="H1083" s="104"/>
      <c r="I1083" s="104"/>
      <c r="J1083" s="104"/>
      <c r="K1083" s="104"/>
      <c r="L1083" s="104"/>
      <c r="M1083" s="104"/>
      <c r="N1083" s="104"/>
      <c r="O1083" s="104"/>
      <c r="P1083" s="104"/>
      <c r="Q1083" s="104"/>
      <c r="R1083" s="104"/>
      <c r="S1083" s="104"/>
    </row>
    <row r="1084" spans="4:19">
      <c r="D1084" s="104"/>
      <c r="E1084" s="104"/>
      <c r="F1084" s="104"/>
      <c r="G1084" s="104"/>
      <c r="H1084" s="104"/>
      <c r="I1084" s="104"/>
      <c r="J1084" s="104"/>
      <c r="K1084" s="104"/>
      <c r="L1084" s="104"/>
      <c r="M1084" s="104"/>
      <c r="N1084" s="104"/>
      <c r="O1084" s="104"/>
      <c r="P1084" s="104"/>
      <c r="Q1084" s="104"/>
      <c r="R1084" s="104"/>
      <c r="S1084" s="104"/>
    </row>
    <row r="1085" spans="4:19">
      <c r="D1085" s="104"/>
      <c r="E1085" s="104"/>
      <c r="F1085" s="104"/>
      <c r="G1085" s="104"/>
      <c r="H1085" s="104"/>
      <c r="I1085" s="104"/>
      <c r="J1085" s="104"/>
      <c r="K1085" s="104"/>
      <c r="L1085" s="104"/>
      <c r="M1085" s="104"/>
      <c r="N1085" s="104"/>
      <c r="O1085" s="104"/>
      <c r="P1085" s="104"/>
      <c r="Q1085" s="104"/>
      <c r="R1085" s="104"/>
      <c r="S1085" s="104"/>
    </row>
    <row r="1086" spans="4:19">
      <c r="D1086" s="104"/>
      <c r="E1086" s="104"/>
      <c r="F1086" s="104"/>
      <c r="G1086" s="104"/>
      <c r="H1086" s="104"/>
      <c r="I1086" s="104"/>
      <c r="J1086" s="104"/>
      <c r="K1086" s="104"/>
      <c r="L1086" s="104"/>
      <c r="M1086" s="104"/>
      <c r="N1086" s="104"/>
      <c r="O1086" s="104"/>
      <c r="P1086" s="104"/>
      <c r="Q1086" s="104"/>
      <c r="R1086" s="104"/>
      <c r="S1086" s="104"/>
    </row>
    <row r="1087" spans="4:19">
      <c r="D1087" s="104"/>
      <c r="E1087" s="104"/>
      <c r="F1087" s="104"/>
      <c r="G1087" s="104"/>
      <c r="H1087" s="104"/>
      <c r="I1087" s="104"/>
      <c r="J1087" s="104"/>
      <c r="K1087" s="104"/>
      <c r="L1087" s="104"/>
      <c r="M1087" s="104"/>
      <c r="N1087" s="104"/>
      <c r="O1087" s="104"/>
      <c r="P1087" s="104"/>
      <c r="Q1087" s="104"/>
      <c r="R1087" s="104"/>
      <c r="S1087" s="104"/>
    </row>
    <row r="1088" spans="4:19">
      <c r="D1088" s="104"/>
      <c r="E1088" s="104"/>
      <c r="F1088" s="104"/>
      <c r="G1088" s="104"/>
      <c r="H1088" s="104"/>
      <c r="I1088" s="104"/>
      <c r="J1088" s="104"/>
      <c r="K1088" s="104"/>
      <c r="L1088" s="104"/>
      <c r="M1088" s="104"/>
      <c r="N1088" s="104"/>
      <c r="O1088" s="104"/>
      <c r="P1088" s="104"/>
      <c r="Q1088" s="104"/>
      <c r="R1088" s="104"/>
      <c r="S1088" s="104"/>
    </row>
    <row r="1089" spans="4:19">
      <c r="D1089" s="104"/>
      <c r="E1089" s="104"/>
      <c r="F1089" s="104"/>
      <c r="G1089" s="104"/>
      <c r="H1089" s="104"/>
      <c r="I1089" s="104"/>
      <c r="J1089" s="104"/>
      <c r="K1089" s="104"/>
      <c r="L1089" s="104"/>
      <c r="M1089" s="104"/>
      <c r="N1089" s="104"/>
      <c r="O1089" s="104"/>
      <c r="P1089" s="104"/>
      <c r="Q1089" s="104"/>
      <c r="R1089" s="104"/>
      <c r="S1089" s="104"/>
    </row>
    <row r="1090" spans="4:19">
      <c r="D1090" s="104"/>
      <c r="E1090" s="104"/>
      <c r="F1090" s="104"/>
      <c r="G1090" s="104"/>
      <c r="H1090" s="104"/>
      <c r="I1090" s="104"/>
      <c r="J1090" s="104"/>
      <c r="K1090" s="104"/>
      <c r="L1090" s="104"/>
      <c r="M1090" s="104"/>
      <c r="N1090" s="104"/>
      <c r="O1090" s="104"/>
      <c r="P1090" s="104"/>
      <c r="Q1090" s="104"/>
      <c r="R1090" s="104"/>
      <c r="S1090" s="104"/>
    </row>
    <row r="1091" spans="4:19">
      <c r="D1091" s="104"/>
      <c r="E1091" s="104"/>
      <c r="F1091" s="104"/>
      <c r="G1091" s="104"/>
      <c r="H1091" s="104"/>
      <c r="I1091" s="104"/>
      <c r="J1091" s="104"/>
      <c r="K1091" s="104"/>
      <c r="L1091" s="104"/>
      <c r="M1091" s="104"/>
      <c r="N1091" s="104"/>
      <c r="O1091" s="104"/>
      <c r="P1091" s="104"/>
      <c r="Q1091" s="104"/>
      <c r="R1091" s="104"/>
      <c r="S1091" s="104"/>
    </row>
    <row r="1092" spans="4:19">
      <c r="D1092" s="104"/>
      <c r="E1092" s="104"/>
      <c r="F1092" s="104"/>
      <c r="G1092" s="104"/>
      <c r="H1092" s="104"/>
      <c r="I1092" s="104"/>
      <c r="J1092" s="104"/>
      <c r="K1092" s="104"/>
      <c r="L1092" s="104"/>
      <c r="M1092" s="104"/>
      <c r="N1092" s="104"/>
      <c r="O1092" s="104"/>
      <c r="P1092" s="104"/>
      <c r="Q1092" s="104"/>
      <c r="R1092" s="104"/>
      <c r="S1092" s="104"/>
    </row>
    <row r="1093" spans="4:19">
      <c r="D1093" s="104"/>
      <c r="E1093" s="104"/>
      <c r="F1093" s="104"/>
      <c r="G1093" s="104"/>
      <c r="H1093" s="104"/>
      <c r="I1093" s="104"/>
      <c r="J1093" s="104"/>
      <c r="K1093" s="104"/>
      <c r="L1093" s="104"/>
      <c r="M1093" s="104"/>
      <c r="N1093" s="104"/>
      <c r="O1093" s="104"/>
      <c r="P1093" s="104"/>
      <c r="Q1093" s="104"/>
      <c r="R1093" s="104"/>
      <c r="S1093" s="104"/>
    </row>
    <row r="1094" spans="4:19">
      <c r="D1094" s="104"/>
      <c r="E1094" s="104"/>
      <c r="F1094" s="104"/>
      <c r="G1094" s="104"/>
      <c r="H1094" s="104"/>
      <c r="I1094" s="104"/>
      <c r="J1094" s="104"/>
      <c r="K1094" s="104"/>
      <c r="L1094" s="104"/>
      <c r="M1094" s="104"/>
      <c r="N1094" s="104"/>
      <c r="O1094" s="104"/>
      <c r="P1094" s="104"/>
      <c r="Q1094" s="104"/>
      <c r="R1094" s="104"/>
      <c r="S1094" s="104"/>
    </row>
    <row r="1095" spans="4:19">
      <c r="D1095" s="104"/>
      <c r="E1095" s="104"/>
      <c r="F1095" s="104"/>
      <c r="G1095" s="104"/>
      <c r="H1095" s="104"/>
      <c r="I1095" s="104"/>
      <c r="J1095" s="104"/>
      <c r="K1095" s="104"/>
      <c r="L1095" s="104"/>
      <c r="M1095" s="104"/>
      <c r="N1095" s="104"/>
      <c r="O1095" s="104"/>
      <c r="P1095" s="104"/>
      <c r="Q1095" s="104"/>
      <c r="R1095" s="104"/>
      <c r="S1095" s="104"/>
    </row>
    <row r="1096" spans="4:19">
      <c r="D1096" s="104"/>
      <c r="E1096" s="104"/>
      <c r="F1096" s="104"/>
      <c r="G1096" s="104"/>
      <c r="H1096" s="104"/>
      <c r="I1096" s="104"/>
      <c r="J1096" s="104"/>
      <c r="K1096" s="104"/>
      <c r="L1096" s="104"/>
      <c r="M1096" s="104"/>
      <c r="N1096" s="104"/>
      <c r="O1096" s="104"/>
      <c r="P1096" s="104"/>
      <c r="Q1096" s="104"/>
      <c r="R1096" s="104"/>
      <c r="S1096" s="104"/>
    </row>
    <row r="1097" spans="4:19">
      <c r="D1097" s="104"/>
      <c r="E1097" s="104"/>
      <c r="F1097" s="104"/>
      <c r="G1097" s="104"/>
      <c r="H1097" s="104"/>
      <c r="I1097" s="104"/>
      <c r="J1097" s="104"/>
      <c r="K1097" s="104"/>
      <c r="L1097" s="104"/>
      <c r="M1097" s="104"/>
      <c r="N1097" s="104"/>
      <c r="O1097" s="104"/>
      <c r="P1097" s="104"/>
      <c r="Q1097" s="104"/>
      <c r="R1097" s="104"/>
      <c r="S1097" s="104"/>
    </row>
    <row r="1098" spans="4:19">
      <c r="D1098" s="104"/>
      <c r="E1098" s="104"/>
      <c r="F1098" s="104"/>
      <c r="G1098" s="104"/>
      <c r="H1098" s="104"/>
      <c r="I1098" s="104"/>
      <c r="J1098" s="104"/>
      <c r="K1098" s="104"/>
      <c r="L1098" s="104"/>
      <c r="M1098" s="104"/>
      <c r="N1098" s="104"/>
      <c r="O1098" s="104"/>
      <c r="P1098" s="104"/>
      <c r="Q1098" s="104"/>
      <c r="R1098" s="104"/>
      <c r="S1098" s="104"/>
    </row>
    <row r="1099" spans="4:19">
      <c r="D1099" s="104"/>
      <c r="E1099" s="104"/>
      <c r="F1099" s="104"/>
      <c r="G1099" s="104"/>
      <c r="H1099" s="104"/>
      <c r="I1099" s="104"/>
      <c r="J1099" s="104"/>
      <c r="K1099" s="104"/>
      <c r="L1099" s="104"/>
      <c r="M1099" s="104"/>
      <c r="N1099" s="104"/>
      <c r="O1099" s="104"/>
      <c r="P1099" s="104"/>
      <c r="Q1099" s="104"/>
      <c r="R1099" s="104"/>
      <c r="S1099" s="104"/>
    </row>
    <row r="1100" spans="4:19">
      <c r="D1100" s="104"/>
      <c r="E1100" s="104"/>
      <c r="F1100" s="104"/>
      <c r="G1100" s="104"/>
      <c r="H1100" s="104"/>
      <c r="I1100" s="104"/>
      <c r="J1100" s="104"/>
      <c r="K1100" s="104"/>
      <c r="L1100" s="104"/>
      <c r="M1100" s="104"/>
      <c r="N1100" s="104"/>
      <c r="O1100" s="104"/>
      <c r="P1100" s="104"/>
      <c r="Q1100" s="104"/>
      <c r="R1100" s="104"/>
      <c r="S1100" s="104"/>
    </row>
    <row r="1101" spans="4:19">
      <c r="D1101" s="104"/>
      <c r="E1101" s="104"/>
      <c r="F1101" s="104"/>
      <c r="G1101" s="104"/>
      <c r="H1101" s="104"/>
      <c r="I1101" s="104"/>
      <c r="J1101" s="104"/>
      <c r="K1101" s="104"/>
      <c r="L1101" s="104"/>
      <c r="M1101" s="104"/>
      <c r="N1101" s="104"/>
      <c r="O1101" s="104"/>
      <c r="P1101" s="104"/>
      <c r="Q1101" s="104"/>
      <c r="R1101" s="104"/>
      <c r="S1101" s="104"/>
    </row>
    <row r="1102" spans="4:19">
      <c r="D1102" s="104"/>
      <c r="E1102" s="104"/>
      <c r="F1102" s="104"/>
      <c r="G1102" s="104"/>
      <c r="H1102" s="104"/>
      <c r="I1102" s="104"/>
      <c r="J1102" s="104"/>
      <c r="K1102" s="104"/>
      <c r="L1102" s="104"/>
      <c r="M1102" s="104"/>
      <c r="N1102" s="104"/>
      <c r="O1102" s="104"/>
      <c r="P1102" s="104"/>
      <c r="Q1102" s="104"/>
      <c r="R1102" s="104"/>
      <c r="S1102" s="104"/>
    </row>
    <row r="1103" spans="4:19">
      <c r="D1103" s="104"/>
      <c r="E1103" s="104"/>
      <c r="F1103" s="104"/>
      <c r="G1103" s="104"/>
      <c r="H1103" s="104"/>
      <c r="I1103" s="104"/>
      <c r="J1103" s="104"/>
      <c r="K1103" s="104"/>
      <c r="L1103" s="104"/>
      <c r="M1103" s="104"/>
      <c r="N1103" s="104"/>
      <c r="O1103" s="104"/>
      <c r="P1103" s="104"/>
      <c r="Q1103" s="104"/>
      <c r="R1103" s="104"/>
      <c r="S1103" s="104"/>
    </row>
    <row r="1104" spans="4:19">
      <c r="D1104" s="104"/>
      <c r="E1104" s="104"/>
      <c r="F1104" s="104"/>
      <c r="G1104" s="104"/>
      <c r="H1104" s="104"/>
      <c r="I1104" s="104"/>
      <c r="J1104" s="104"/>
      <c r="K1104" s="104"/>
      <c r="L1104" s="104"/>
      <c r="M1104" s="104"/>
      <c r="N1104" s="104"/>
      <c r="O1104" s="104"/>
      <c r="P1104" s="104"/>
      <c r="Q1104" s="104"/>
      <c r="R1104" s="104"/>
      <c r="S1104" s="104"/>
    </row>
    <row r="1105" spans="4:19">
      <c r="D1105" s="104"/>
      <c r="E1105" s="104"/>
      <c r="F1105" s="104"/>
      <c r="G1105" s="104"/>
      <c r="H1105" s="104"/>
      <c r="I1105" s="104"/>
      <c r="J1105" s="104"/>
      <c r="K1105" s="104"/>
      <c r="L1105" s="104"/>
      <c r="M1105" s="104"/>
      <c r="N1105" s="104"/>
      <c r="O1105" s="104"/>
      <c r="P1105" s="104"/>
      <c r="Q1105" s="104"/>
      <c r="R1105" s="104"/>
      <c r="S1105" s="104"/>
    </row>
    <row r="1106" spans="4:19">
      <c r="D1106" s="104"/>
      <c r="E1106" s="104"/>
      <c r="F1106" s="104"/>
      <c r="G1106" s="104"/>
      <c r="H1106" s="104"/>
      <c r="I1106" s="104"/>
      <c r="J1106" s="104"/>
      <c r="K1106" s="104"/>
      <c r="L1106" s="104"/>
      <c r="M1106" s="104"/>
      <c r="N1106" s="104"/>
      <c r="O1106" s="104"/>
      <c r="P1106" s="104"/>
      <c r="Q1106" s="104"/>
      <c r="R1106" s="104"/>
      <c r="S1106" s="104"/>
    </row>
    <row r="1107" spans="4:19">
      <c r="D1107" s="104"/>
      <c r="E1107" s="104"/>
      <c r="F1107" s="104"/>
      <c r="G1107" s="104"/>
      <c r="H1107" s="104"/>
      <c r="I1107" s="104"/>
      <c r="J1107" s="104"/>
      <c r="K1107" s="104"/>
      <c r="L1107" s="104"/>
      <c r="M1107" s="104"/>
      <c r="N1107" s="104"/>
      <c r="O1107" s="104"/>
      <c r="P1107" s="104"/>
      <c r="Q1107" s="104"/>
      <c r="R1107" s="104"/>
      <c r="S1107" s="104"/>
    </row>
    <row r="1108" spans="4:19">
      <c r="D1108" s="104"/>
      <c r="E1108" s="104"/>
      <c r="F1108" s="104"/>
      <c r="G1108" s="104"/>
      <c r="H1108" s="104"/>
      <c r="I1108" s="104"/>
      <c r="J1108" s="104"/>
      <c r="K1108" s="104"/>
      <c r="L1108" s="104"/>
      <c r="M1108" s="104"/>
      <c r="N1108" s="104"/>
      <c r="O1108" s="104"/>
      <c r="P1108" s="104"/>
      <c r="Q1108" s="104"/>
      <c r="R1108" s="104"/>
      <c r="S1108" s="104"/>
    </row>
    <row r="1109" spans="4:19">
      <c r="D1109" s="104"/>
      <c r="E1109" s="104"/>
      <c r="F1109" s="104"/>
      <c r="G1109" s="104"/>
      <c r="H1109" s="104"/>
      <c r="I1109" s="104"/>
      <c r="J1109" s="104"/>
      <c r="K1109" s="104"/>
      <c r="L1109" s="104"/>
      <c r="M1109" s="104"/>
      <c r="N1109" s="104"/>
      <c r="O1109" s="104"/>
      <c r="P1109" s="104"/>
      <c r="Q1109" s="104"/>
      <c r="R1109" s="104"/>
      <c r="S1109" s="104"/>
    </row>
    <row r="1110" spans="4:19">
      <c r="D1110" s="104"/>
      <c r="E1110" s="104"/>
      <c r="F1110" s="104"/>
      <c r="G1110" s="104"/>
      <c r="H1110" s="104"/>
      <c r="I1110" s="104"/>
      <c r="J1110" s="104"/>
      <c r="K1110" s="104"/>
      <c r="L1110" s="104"/>
      <c r="M1110" s="104"/>
      <c r="N1110" s="104"/>
      <c r="O1110" s="104"/>
      <c r="P1110" s="104"/>
      <c r="Q1110" s="104"/>
      <c r="R1110" s="104"/>
      <c r="S1110" s="104"/>
    </row>
    <row r="1111" spans="4:19">
      <c r="D1111" s="104"/>
      <c r="E1111" s="104"/>
      <c r="F1111" s="104"/>
      <c r="G1111" s="104"/>
      <c r="H1111" s="104"/>
      <c r="I1111" s="104"/>
      <c r="J1111" s="104"/>
      <c r="K1111" s="104"/>
      <c r="L1111" s="104"/>
      <c r="M1111" s="104"/>
      <c r="N1111" s="104"/>
      <c r="O1111" s="104"/>
      <c r="P1111" s="104"/>
      <c r="Q1111" s="104"/>
      <c r="R1111" s="104"/>
      <c r="S1111" s="104"/>
    </row>
    <row r="1112" spans="4:19">
      <c r="D1112" s="104"/>
      <c r="E1112" s="104"/>
      <c r="F1112" s="104"/>
      <c r="G1112" s="104"/>
      <c r="H1112" s="104"/>
      <c r="I1112" s="104"/>
      <c r="J1112" s="104"/>
      <c r="K1112" s="104"/>
      <c r="L1112" s="104"/>
      <c r="M1112" s="104"/>
      <c r="N1112" s="104"/>
      <c r="O1112" s="104"/>
      <c r="P1112" s="104"/>
      <c r="Q1112" s="104"/>
      <c r="R1112" s="104"/>
      <c r="S1112" s="104"/>
    </row>
    <row r="1113" spans="4:19">
      <c r="D1113" s="104"/>
      <c r="E1113" s="104"/>
      <c r="F1113" s="104"/>
      <c r="G1113" s="104"/>
      <c r="H1113" s="104"/>
      <c r="I1113" s="104"/>
      <c r="J1113" s="104"/>
      <c r="K1113" s="104"/>
      <c r="L1113" s="104"/>
      <c r="M1113" s="104"/>
      <c r="N1113" s="104"/>
      <c r="O1113" s="104"/>
      <c r="P1113" s="104"/>
      <c r="Q1113" s="104"/>
      <c r="R1113" s="104"/>
      <c r="S1113" s="104"/>
    </row>
    <row r="1114" spans="4:19">
      <c r="D1114" s="104"/>
      <c r="E1114" s="104"/>
      <c r="F1114" s="104"/>
      <c r="G1114" s="104"/>
      <c r="H1114" s="104"/>
      <c r="I1114" s="104"/>
      <c r="J1114" s="104"/>
      <c r="K1114" s="104"/>
      <c r="L1114" s="104"/>
      <c r="M1114" s="104"/>
      <c r="N1114" s="104"/>
      <c r="O1114" s="104"/>
      <c r="P1114" s="104"/>
      <c r="Q1114" s="104"/>
      <c r="R1114" s="104"/>
      <c r="S1114" s="104"/>
    </row>
    <row r="1115" spans="4:19">
      <c r="D1115" s="104"/>
      <c r="E1115" s="104"/>
      <c r="F1115" s="104"/>
      <c r="G1115" s="104"/>
      <c r="H1115" s="104"/>
      <c r="I1115" s="104"/>
      <c r="J1115" s="104"/>
      <c r="K1115" s="104"/>
      <c r="L1115" s="104"/>
      <c r="M1115" s="104"/>
      <c r="N1115" s="104"/>
      <c r="O1115" s="104"/>
      <c r="P1115" s="104"/>
      <c r="Q1115" s="104"/>
      <c r="R1115" s="104"/>
      <c r="S1115" s="104"/>
    </row>
    <row r="1116" spans="4:19">
      <c r="D1116" s="104"/>
      <c r="E1116" s="104"/>
      <c r="F1116" s="104"/>
      <c r="G1116" s="104"/>
      <c r="H1116" s="104"/>
      <c r="I1116" s="104"/>
      <c r="J1116" s="104"/>
      <c r="K1116" s="104"/>
      <c r="L1116" s="104"/>
      <c r="M1116" s="104"/>
      <c r="N1116" s="104"/>
      <c r="O1116" s="104"/>
      <c r="P1116" s="104"/>
      <c r="Q1116" s="104"/>
      <c r="R1116" s="104"/>
      <c r="S1116" s="104"/>
    </row>
    <row r="1117" spans="4:19">
      <c r="D1117" s="104"/>
      <c r="E1117" s="104"/>
      <c r="F1117" s="104"/>
      <c r="G1117" s="104"/>
      <c r="H1117" s="104"/>
      <c r="I1117" s="104"/>
      <c r="J1117" s="104"/>
      <c r="K1117" s="104"/>
      <c r="L1117" s="104"/>
      <c r="M1117" s="104"/>
      <c r="N1117" s="104"/>
      <c r="O1117" s="104"/>
      <c r="P1117" s="104"/>
      <c r="Q1117" s="104"/>
      <c r="R1117" s="104"/>
      <c r="S1117" s="104"/>
    </row>
    <row r="1118" spans="4:19">
      <c r="D1118" s="104"/>
      <c r="E1118" s="104"/>
      <c r="F1118" s="104"/>
      <c r="G1118" s="104"/>
      <c r="H1118" s="104"/>
      <c r="I1118" s="104"/>
      <c r="J1118" s="104"/>
      <c r="K1118" s="104"/>
      <c r="L1118" s="104"/>
      <c r="M1118" s="104"/>
      <c r="N1118" s="104"/>
      <c r="O1118" s="104"/>
      <c r="P1118" s="104"/>
      <c r="Q1118" s="104"/>
      <c r="R1118" s="104"/>
      <c r="S1118" s="104"/>
    </row>
    <row r="1119" spans="4:19">
      <c r="D1119" s="104"/>
      <c r="E1119" s="104"/>
      <c r="F1119" s="104"/>
      <c r="G1119" s="104"/>
      <c r="H1119" s="104"/>
      <c r="I1119" s="104"/>
      <c r="J1119" s="104"/>
      <c r="K1119" s="104"/>
      <c r="L1119" s="104"/>
      <c r="M1119" s="104"/>
      <c r="N1119" s="104"/>
      <c r="O1119" s="104"/>
      <c r="P1119" s="104"/>
      <c r="Q1119" s="104"/>
      <c r="R1119" s="104"/>
      <c r="S1119" s="104"/>
    </row>
    <row r="1120" spans="4:19">
      <c r="D1120" s="104"/>
      <c r="E1120" s="104"/>
      <c r="F1120" s="104"/>
      <c r="G1120" s="104"/>
      <c r="H1120" s="104"/>
      <c r="I1120" s="104"/>
      <c r="J1120" s="104"/>
      <c r="K1120" s="104"/>
      <c r="L1120" s="104"/>
      <c r="M1120" s="104"/>
      <c r="N1120" s="104"/>
      <c r="O1120" s="104"/>
      <c r="P1120" s="104"/>
      <c r="Q1120" s="104"/>
      <c r="R1120" s="104"/>
      <c r="S1120" s="104"/>
    </row>
    <row r="1121" spans="4:19">
      <c r="D1121" s="104"/>
      <c r="E1121" s="104"/>
      <c r="F1121" s="104"/>
      <c r="G1121" s="104"/>
      <c r="H1121" s="104"/>
      <c r="I1121" s="104"/>
      <c r="J1121" s="104"/>
      <c r="K1121" s="104"/>
      <c r="L1121" s="104"/>
      <c r="M1121" s="104"/>
      <c r="N1121" s="104"/>
      <c r="O1121" s="104"/>
      <c r="P1121" s="104"/>
      <c r="Q1121" s="104"/>
      <c r="R1121" s="104"/>
      <c r="S1121" s="104"/>
    </row>
    <row r="1122" spans="4:19">
      <c r="D1122" s="104"/>
      <c r="E1122" s="104"/>
      <c r="F1122" s="104"/>
      <c r="G1122" s="104"/>
      <c r="H1122" s="104"/>
      <c r="I1122" s="104"/>
      <c r="J1122" s="104"/>
      <c r="K1122" s="104"/>
      <c r="L1122" s="104"/>
      <c r="M1122" s="104"/>
      <c r="N1122" s="104"/>
      <c r="O1122" s="104"/>
      <c r="P1122" s="104"/>
      <c r="Q1122" s="104"/>
      <c r="R1122" s="104"/>
      <c r="S1122" s="104"/>
    </row>
    <row r="1123" spans="4:19">
      <c r="D1123" s="104"/>
      <c r="E1123" s="104"/>
      <c r="F1123" s="104"/>
      <c r="G1123" s="104"/>
      <c r="H1123" s="104"/>
      <c r="I1123" s="104"/>
      <c r="J1123" s="104"/>
      <c r="K1123" s="104"/>
      <c r="L1123" s="104"/>
      <c r="M1123" s="104"/>
      <c r="N1123" s="104"/>
      <c r="O1123" s="104"/>
      <c r="P1123" s="104"/>
      <c r="Q1123" s="104"/>
      <c r="R1123" s="104"/>
      <c r="S1123" s="104"/>
    </row>
    <row r="1124" spans="4:19">
      <c r="D1124" s="104"/>
      <c r="E1124" s="104"/>
      <c r="F1124" s="104"/>
      <c r="G1124" s="104"/>
      <c r="H1124" s="104"/>
      <c r="I1124" s="104"/>
      <c r="J1124" s="104"/>
      <c r="K1124" s="104"/>
      <c r="L1124" s="104"/>
      <c r="M1124" s="104"/>
      <c r="N1124" s="104"/>
      <c r="O1124" s="104"/>
      <c r="P1124" s="104"/>
      <c r="Q1124" s="104"/>
      <c r="R1124" s="104"/>
      <c r="S1124" s="104"/>
    </row>
    <row r="1125" spans="4:19">
      <c r="D1125" s="104"/>
      <c r="E1125" s="104"/>
      <c r="F1125" s="104"/>
      <c r="G1125" s="104"/>
      <c r="H1125" s="104"/>
      <c r="I1125" s="104"/>
      <c r="J1125" s="104"/>
      <c r="K1125" s="104"/>
      <c r="L1125" s="104"/>
      <c r="M1125" s="104"/>
      <c r="N1125" s="104"/>
      <c r="O1125" s="104"/>
      <c r="P1125" s="104"/>
      <c r="Q1125" s="104"/>
      <c r="R1125" s="104"/>
      <c r="S1125" s="104"/>
    </row>
    <row r="1126" spans="4:19">
      <c r="D1126" s="104"/>
      <c r="E1126" s="104"/>
      <c r="F1126" s="104"/>
      <c r="G1126" s="104"/>
      <c r="H1126" s="104"/>
      <c r="I1126" s="104"/>
      <c r="J1126" s="104"/>
      <c r="K1126" s="104"/>
      <c r="L1126" s="104"/>
      <c r="M1126" s="104"/>
      <c r="N1126" s="104"/>
      <c r="O1126" s="104"/>
      <c r="P1126" s="104"/>
      <c r="Q1126" s="104"/>
      <c r="R1126" s="104"/>
      <c r="S1126" s="104"/>
    </row>
    <row r="1127" spans="4:19">
      <c r="D1127" s="104"/>
      <c r="E1127" s="104"/>
      <c r="F1127" s="104"/>
      <c r="G1127" s="104"/>
      <c r="H1127" s="104"/>
      <c r="I1127" s="104"/>
      <c r="J1127" s="104"/>
      <c r="K1127" s="104"/>
      <c r="L1127" s="104"/>
      <c r="M1127" s="104"/>
      <c r="N1127" s="104"/>
      <c r="O1127" s="104"/>
      <c r="P1127" s="104"/>
      <c r="Q1127" s="104"/>
      <c r="R1127" s="104"/>
      <c r="S1127" s="104"/>
    </row>
    <row r="1128" spans="4:19">
      <c r="D1128" s="104"/>
      <c r="E1128" s="104"/>
      <c r="F1128" s="104"/>
      <c r="G1128" s="104"/>
      <c r="H1128" s="104"/>
      <c r="I1128" s="104"/>
      <c r="J1128" s="104"/>
      <c r="K1128" s="104"/>
      <c r="L1128" s="104"/>
      <c r="M1128" s="104"/>
      <c r="N1128" s="104"/>
      <c r="O1128" s="104"/>
      <c r="P1128" s="104"/>
      <c r="Q1128" s="104"/>
      <c r="R1128" s="104"/>
      <c r="S1128" s="104"/>
    </row>
    <row r="1129" spans="4:19">
      <c r="D1129" s="104"/>
      <c r="E1129" s="104"/>
      <c r="F1129" s="104"/>
      <c r="G1129" s="104"/>
      <c r="H1129" s="104"/>
      <c r="I1129" s="104"/>
      <c r="J1129" s="104"/>
      <c r="K1129" s="104"/>
      <c r="L1129" s="104"/>
      <c r="M1129" s="104"/>
      <c r="N1129" s="104"/>
      <c r="O1129" s="104"/>
      <c r="P1129" s="104"/>
      <c r="Q1129" s="104"/>
      <c r="R1129" s="104"/>
      <c r="S1129" s="104"/>
    </row>
    <row r="1130" spans="4:19">
      <c r="D1130" s="104"/>
      <c r="E1130" s="104"/>
      <c r="F1130" s="104"/>
      <c r="G1130" s="104"/>
      <c r="H1130" s="104"/>
      <c r="I1130" s="104"/>
      <c r="J1130" s="104"/>
      <c r="K1130" s="104"/>
      <c r="L1130" s="104"/>
      <c r="M1130" s="104"/>
      <c r="N1130" s="104"/>
      <c r="O1130" s="104"/>
      <c r="P1130" s="104"/>
      <c r="Q1130" s="104"/>
      <c r="R1130" s="104"/>
      <c r="S1130" s="104"/>
    </row>
    <row r="1131" spans="4:19">
      <c r="D1131" s="104"/>
      <c r="E1131" s="104"/>
      <c r="F1131" s="104"/>
      <c r="G1131" s="104"/>
      <c r="H1131" s="104"/>
      <c r="I1131" s="104"/>
      <c r="J1131" s="104"/>
      <c r="K1131" s="104"/>
      <c r="L1131" s="104"/>
      <c r="M1131" s="104"/>
      <c r="N1131" s="104"/>
      <c r="O1131" s="104"/>
      <c r="P1131" s="104"/>
      <c r="Q1131" s="104"/>
      <c r="R1131" s="104"/>
      <c r="S1131" s="104"/>
    </row>
    <row r="1132" spans="4:19">
      <c r="D1132" s="104"/>
      <c r="E1132" s="104"/>
      <c r="F1132" s="104"/>
      <c r="G1132" s="104"/>
      <c r="H1132" s="104"/>
      <c r="I1132" s="104"/>
      <c r="J1132" s="104"/>
      <c r="K1132" s="104"/>
      <c r="L1132" s="104"/>
      <c r="M1132" s="104"/>
      <c r="N1132" s="104"/>
      <c r="O1132" s="104"/>
      <c r="P1132" s="104"/>
      <c r="Q1132" s="104"/>
      <c r="R1132" s="104"/>
      <c r="S1132" s="104"/>
    </row>
    <row r="1133" spans="4:19">
      <c r="D1133" s="104"/>
      <c r="E1133" s="104"/>
      <c r="F1133" s="104"/>
      <c r="G1133" s="104"/>
      <c r="H1133" s="104"/>
      <c r="I1133" s="104"/>
      <c r="J1133" s="104"/>
      <c r="K1133" s="104"/>
      <c r="L1133" s="104"/>
      <c r="M1133" s="104"/>
      <c r="N1133" s="104"/>
      <c r="O1133" s="104"/>
      <c r="P1133" s="104"/>
      <c r="Q1133" s="104"/>
      <c r="R1133" s="104"/>
      <c r="S1133" s="104"/>
    </row>
    <row r="1134" spans="4:19">
      <c r="D1134" s="104"/>
      <c r="E1134" s="104"/>
      <c r="F1134" s="104"/>
      <c r="G1134" s="104"/>
      <c r="H1134" s="104"/>
      <c r="I1134" s="104"/>
      <c r="J1134" s="104"/>
      <c r="K1134" s="104"/>
      <c r="L1134" s="104"/>
      <c r="M1134" s="104"/>
      <c r="N1134" s="104"/>
      <c r="O1134" s="104"/>
      <c r="P1134" s="104"/>
      <c r="Q1134" s="104"/>
      <c r="R1134" s="104"/>
      <c r="S1134" s="104"/>
    </row>
    <row r="1135" spans="4:19">
      <c r="D1135" s="104"/>
      <c r="E1135" s="104"/>
      <c r="F1135" s="104"/>
      <c r="G1135" s="104"/>
      <c r="H1135" s="104"/>
      <c r="I1135" s="104"/>
      <c r="J1135" s="104"/>
      <c r="K1135" s="104"/>
      <c r="L1135" s="104"/>
      <c r="M1135" s="104"/>
      <c r="N1135" s="104"/>
      <c r="O1135" s="104"/>
      <c r="P1135" s="104"/>
      <c r="Q1135" s="104"/>
      <c r="R1135" s="104"/>
      <c r="S1135" s="104"/>
    </row>
    <row r="1136" spans="4:19">
      <c r="D1136" s="104"/>
      <c r="E1136" s="104"/>
      <c r="F1136" s="104"/>
      <c r="G1136" s="104"/>
      <c r="H1136" s="104"/>
      <c r="I1136" s="104"/>
      <c r="J1136" s="104"/>
      <c r="K1136" s="104"/>
      <c r="L1136" s="104"/>
      <c r="M1136" s="104"/>
      <c r="N1136" s="104"/>
      <c r="O1136" s="104"/>
      <c r="P1136" s="104"/>
      <c r="Q1136" s="104"/>
      <c r="R1136" s="104"/>
      <c r="S1136" s="104"/>
    </row>
    <row r="1137" spans="4:19">
      <c r="D1137" s="104"/>
      <c r="E1137" s="104"/>
      <c r="F1137" s="104"/>
      <c r="G1137" s="104"/>
      <c r="H1137" s="104"/>
      <c r="I1137" s="104"/>
      <c r="J1137" s="104"/>
      <c r="K1137" s="104"/>
      <c r="L1137" s="104"/>
      <c r="M1137" s="104"/>
      <c r="N1137" s="104"/>
      <c r="O1137" s="104"/>
      <c r="P1137" s="104"/>
      <c r="Q1137" s="104"/>
      <c r="R1137" s="104"/>
      <c r="S1137" s="104"/>
    </row>
    <row r="1138" spans="4:19">
      <c r="D1138" s="104"/>
      <c r="E1138" s="104"/>
      <c r="F1138" s="104"/>
      <c r="G1138" s="104"/>
      <c r="H1138" s="104"/>
      <c r="I1138" s="104"/>
      <c r="J1138" s="104"/>
      <c r="K1138" s="104"/>
      <c r="L1138" s="104"/>
      <c r="M1138" s="104"/>
      <c r="N1138" s="104"/>
      <c r="O1138" s="104"/>
      <c r="P1138" s="104"/>
      <c r="Q1138" s="104"/>
      <c r="R1138" s="104"/>
      <c r="S1138" s="104"/>
    </row>
    <row r="1139" spans="4:19">
      <c r="D1139" s="104"/>
      <c r="E1139" s="104"/>
      <c r="F1139" s="104"/>
      <c r="G1139" s="104"/>
      <c r="H1139" s="104"/>
      <c r="I1139" s="104"/>
      <c r="J1139" s="104"/>
      <c r="K1139" s="104"/>
      <c r="L1139" s="104"/>
      <c r="M1139" s="104"/>
      <c r="N1139" s="104"/>
      <c r="O1139" s="104"/>
      <c r="P1139" s="104"/>
      <c r="Q1139" s="104"/>
      <c r="R1139" s="104"/>
      <c r="S1139" s="104"/>
    </row>
    <row r="1140" spans="4:19">
      <c r="D1140" s="104"/>
      <c r="E1140" s="104"/>
      <c r="F1140" s="104"/>
      <c r="G1140" s="104"/>
      <c r="H1140" s="104"/>
      <c r="I1140" s="104"/>
      <c r="J1140" s="104"/>
      <c r="K1140" s="104"/>
      <c r="L1140" s="104"/>
      <c r="M1140" s="104"/>
      <c r="N1140" s="104"/>
      <c r="O1140" s="104"/>
      <c r="P1140" s="104"/>
      <c r="Q1140" s="104"/>
      <c r="R1140" s="104"/>
      <c r="S1140" s="104"/>
    </row>
    <row r="1141" spans="4:19">
      <c r="D1141" s="104"/>
      <c r="E1141" s="104"/>
      <c r="F1141" s="104"/>
      <c r="G1141" s="104"/>
      <c r="H1141" s="104"/>
      <c r="I1141" s="104"/>
      <c r="J1141" s="104"/>
      <c r="K1141" s="104"/>
      <c r="L1141" s="104"/>
      <c r="M1141" s="104"/>
      <c r="N1141" s="104"/>
      <c r="O1141" s="104"/>
      <c r="P1141" s="104"/>
      <c r="Q1141" s="104"/>
      <c r="R1141" s="104"/>
      <c r="S1141" s="104"/>
    </row>
    <row r="1142" spans="4:19">
      <c r="D1142" s="104"/>
      <c r="E1142" s="104"/>
      <c r="F1142" s="104"/>
      <c r="G1142" s="104"/>
      <c r="H1142" s="104"/>
      <c r="I1142" s="104"/>
      <c r="J1142" s="104"/>
      <c r="K1142" s="104"/>
      <c r="L1142" s="104"/>
      <c r="M1142" s="104"/>
      <c r="N1142" s="104"/>
      <c r="O1142" s="104"/>
      <c r="P1142" s="104"/>
      <c r="Q1142" s="104"/>
      <c r="R1142" s="104"/>
      <c r="S1142" s="104"/>
    </row>
    <row r="1143" spans="4:19">
      <c r="D1143" s="104"/>
      <c r="E1143" s="104"/>
      <c r="F1143" s="104"/>
      <c r="G1143" s="104"/>
      <c r="H1143" s="104"/>
      <c r="I1143" s="104"/>
      <c r="J1143" s="104"/>
      <c r="K1143" s="104"/>
      <c r="L1143" s="104"/>
      <c r="M1143" s="104"/>
      <c r="N1143" s="104"/>
      <c r="O1143" s="104"/>
      <c r="P1143" s="104"/>
      <c r="Q1143" s="104"/>
      <c r="R1143" s="104"/>
      <c r="S1143" s="104"/>
    </row>
    <row r="1144" spans="4:19">
      <c r="D1144" s="104"/>
      <c r="E1144" s="104"/>
      <c r="F1144" s="104"/>
      <c r="G1144" s="104"/>
      <c r="H1144" s="104"/>
      <c r="I1144" s="104"/>
      <c r="J1144" s="104"/>
      <c r="K1144" s="104"/>
      <c r="L1144" s="104"/>
      <c r="M1144" s="104"/>
      <c r="N1144" s="104"/>
      <c r="O1144" s="104"/>
      <c r="P1144" s="104"/>
      <c r="Q1144" s="104"/>
      <c r="R1144" s="104"/>
      <c r="S1144" s="104"/>
    </row>
    <row r="1145" spans="4:19">
      <c r="D1145" s="104"/>
      <c r="E1145" s="104"/>
      <c r="F1145" s="104"/>
      <c r="G1145" s="104"/>
      <c r="H1145" s="104"/>
      <c r="I1145" s="104"/>
      <c r="J1145" s="104"/>
      <c r="K1145" s="104"/>
      <c r="L1145" s="104"/>
      <c r="M1145" s="104"/>
      <c r="N1145" s="104"/>
      <c r="O1145" s="104"/>
      <c r="P1145" s="104"/>
      <c r="Q1145" s="104"/>
      <c r="R1145" s="104"/>
      <c r="S1145" s="104"/>
    </row>
    <row r="1146" spans="4:19">
      <c r="D1146" s="104"/>
      <c r="E1146" s="104"/>
      <c r="F1146" s="104"/>
      <c r="G1146" s="104"/>
      <c r="H1146" s="104"/>
      <c r="I1146" s="104"/>
      <c r="J1146" s="104"/>
      <c r="K1146" s="104"/>
      <c r="L1146" s="104"/>
      <c r="M1146" s="104"/>
      <c r="N1146" s="104"/>
      <c r="O1146" s="104"/>
      <c r="P1146" s="104"/>
      <c r="Q1146" s="104"/>
      <c r="R1146" s="104"/>
      <c r="S1146" s="104"/>
    </row>
    <row r="1147" spans="4:19">
      <c r="D1147" s="104"/>
      <c r="E1147" s="104"/>
      <c r="F1147" s="104"/>
      <c r="G1147" s="104"/>
      <c r="H1147" s="104"/>
      <c r="I1147" s="104"/>
      <c r="J1147" s="104"/>
      <c r="K1147" s="104"/>
      <c r="L1147" s="104"/>
      <c r="M1147" s="104"/>
      <c r="N1147" s="104"/>
      <c r="O1147" s="104"/>
      <c r="P1147" s="104"/>
      <c r="Q1147" s="104"/>
      <c r="R1147" s="104"/>
      <c r="S1147" s="104"/>
    </row>
    <row r="1148" spans="4:19">
      <c r="D1148" s="104"/>
      <c r="E1148" s="104"/>
      <c r="F1148" s="104"/>
      <c r="G1148" s="104"/>
      <c r="H1148" s="104"/>
      <c r="I1148" s="104"/>
      <c r="J1148" s="104"/>
      <c r="K1148" s="104"/>
      <c r="L1148" s="104"/>
      <c r="M1148" s="104"/>
      <c r="N1148" s="104"/>
      <c r="O1148" s="104"/>
      <c r="P1148" s="104"/>
      <c r="Q1148" s="104"/>
      <c r="R1148" s="104"/>
      <c r="S1148" s="104"/>
    </row>
    <row r="1149" spans="4:19">
      <c r="D1149" s="104"/>
      <c r="E1149" s="104"/>
      <c r="F1149" s="104"/>
      <c r="G1149" s="104"/>
      <c r="H1149" s="104"/>
      <c r="I1149" s="104"/>
      <c r="J1149" s="104"/>
      <c r="K1149" s="104"/>
      <c r="L1149" s="104"/>
      <c r="M1149" s="104"/>
      <c r="N1149" s="104"/>
      <c r="O1149" s="104"/>
      <c r="P1149" s="104"/>
      <c r="Q1149" s="104"/>
      <c r="R1149" s="104"/>
      <c r="S1149" s="104"/>
    </row>
    <row r="1150" spans="4:19">
      <c r="D1150" s="104"/>
      <c r="E1150" s="104"/>
      <c r="F1150" s="104"/>
      <c r="G1150" s="104"/>
      <c r="H1150" s="104"/>
      <c r="I1150" s="104"/>
      <c r="J1150" s="104"/>
      <c r="K1150" s="104"/>
      <c r="L1150" s="104"/>
      <c r="M1150" s="104"/>
      <c r="N1150" s="104"/>
      <c r="O1150" s="104"/>
      <c r="P1150" s="104"/>
      <c r="Q1150" s="104"/>
      <c r="R1150" s="104"/>
      <c r="S1150" s="104"/>
    </row>
    <row r="1151" spans="4:19">
      <c r="D1151" s="104"/>
      <c r="E1151" s="104"/>
      <c r="F1151" s="104"/>
      <c r="G1151" s="104"/>
      <c r="H1151" s="104"/>
      <c r="I1151" s="104"/>
      <c r="J1151" s="104"/>
      <c r="K1151" s="104"/>
      <c r="L1151" s="104"/>
      <c r="M1151" s="104"/>
      <c r="N1151" s="104"/>
      <c r="O1151" s="104"/>
      <c r="P1151" s="104"/>
      <c r="Q1151" s="104"/>
      <c r="R1151" s="104"/>
      <c r="S1151" s="104"/>
    </row>
    <row r="1152" spans="4:19">
      <c r="D1152" s="104"/>
      <c r="E1152" s="104"/>
      <c r="F1152" s="104"/>
      <c r="G1152" s="104"/>
      <c r="H1152" s="104"/>
      <c r="I1152" s="104"/>
      <c r="J1152" s="104"/>
      <c r="K1152" s="104"/>
      <c r="L1152" s="104"/>
      <c r="M1152" s="104"/>
      <c r="N1152" s="104"/>
      <c r="O1152" s="104"/>
      <c r="P1152" s="104"/>
      <c r="Q1152" s="104"/>
      <c r="R1152" s="104"/>
      <c r="S1152" s="104"/>
    </row>
    <row r="1153" spans="4:19">
      <c r="D1153" s="104"/>
      <c r="E1153" s="104"/>
      <c r="F1153" s="104"/>
      <c r="G1153" s="104"/>
      <c r="H1153" s="104"/>
      <c r="I1153" s="104"/>
      <c r="J1153" s="104"/>
      <c r="K1153" s="104"/>
      <c r="L1153" s="104"/>
      <c r="M1153" s="104"/>
      <c r="N1153" s="104"/>
      <c r="O1153" s="104"/>
      <c r="P1153" s="104"/>
      <c r="Q1153" s="104"/>
      <c r="R1153" s="104"/>
      <c r="S1153" s="104"/>
    </row>
    <row r="1154" spans="4:19">
      <c r="D1154" s="104"/>
      <c r="E1154" s="104"/>
      <c r="F1154" s="104"/>
      <c r="G1154" s="104"/>
      <c r="H1154" s="104"/>
      <c r="I1154" s="104"/>
      <c r="J1154" s="104"/>
      <c r="K1154" s="104"/>
      <c r="L1154" s="104"/>
      <c r="M1154" s="104"/>
      <c r="N1154" s="104"/>
      <c r="O1154" s="104"/>
      <c r="P1154" s="104"/>
      <c r="Q1154" s="104"/>
      <c r="R1154" s="104"/>
      <c r="S1154" s="104"/>
    </row>
    <row r="1155" spans="4:19">
      <c r="D1155" s="104"/>
      <c r="E1155" s="104"/>
      <c r="F1155" s="104"/>
      <c r="G1155" s="104"/>
      <c r="H1155" s="104"/>
      <c r="I1155" s="104"/>
      <c r="J1155" s="104"/>
      <c r="K1155" s="104"/>
      <c r="L1155" s="104"/>
      <c r="M1155" s="104"/>
      <c r="N1155" s="104"/>
      <c r="O1155" s="104"/>
      <c r="P1155" s="104"/>
      <c r="Q1155" s="104"/>
      <c r="R1155" s="104"/>
      <c r="S1155" s="104"/>
    </row>
    <row r="1156" spans="4:19">
      <c r="D1156" s="104"/>
      <c r="E1156" s="104"/>
      <c r="F1156" s="104"/>
      <c r="G1156" s="104"/>
      <c r="H1156" s="104"/>
      <c r="I1156" s="104"/>
      <c r="J1156" s="104"/>
      <c r="K1156" s="104"/>
      <c r="L1156" s="104"/>
      <c r="M1156" s="104"/>
      <c r="N1156" s="104"/>
      <c r="O1156" s="104"/>
      <c r="P1156" s="104"/>
      <c r="Q1156" s="104"/>
      <c r="R1156" s="104"/>
      <c r="S1156" s="104"/>
    </row>
    <row r="1157" spans="4:19">
      <c r="D1157" s="104"/>
      <c r="E1157" s="104"/>
      <c r="F1157" s="104"/>
      <c r="G1157" s="104"/>
      <c r="H1157" s="104"/>
      <c r="I1157" s="104"/>
      <c r="J1157" s="104"/>
      <c r="K1157" s="104"/>
      <c r="L1157" s="104"/>
      <c r="M1157" s="104"/>
      <c r="N1157" s="104"/>
      <c r="O1157" s="104"/>
      <c r="P1157" s="104"/>
      <c r="Q1157" s="104"/>
      <c r="R1157" s="104"/>
      <c r="S1157" s="104"/>
    </row>
    <row r="1158" spans="4:19">
      <c r="D1158" s="104"/>
      <c r="E1158" s="104"/>
      <c r="F1158" s="104"/>
      <c r="G1158" s="104"/>
      <c r="H1158" s="104"/>
      <c r="I1158" s="104"/>
      <c r="J1158" s="104"/>
      <c r="K1158" s="104"/>
      <c r="L1158" s="104"/>
      <c r="M1158" s="104"/>
      <c r="N1158" s="104"/>
      <c r="O1158" s="104"/>
      <c r="P1158" s="104"/>
      <c r="Q1158" s="104"/>
      <c r="R1158" s="104"/>
      <c r="S1158" s="104"/>
    </row>
    <row r="1159" spans="4:19">
      <c r="D1159" s="104"/>
      <c r="E1159" s="104"/>
      <c r="F1159" s="104"/>
      <c r="G1159" s="104"/>
      <c r="H1159" s="104"/>
      <c r="I1159" s="104"/>
      <c r="J1159" s="104"/>
      <c r="K1159" s="104"/>
      <c r="L1159" s="104"/>
      <c r="M1159" s="104"/>
      <c r="N1159" s="104"/>
      <c r="O1159" s="104"/>
      <c r="P1159" s="104"/>
      <c r="Q1159" s="104"/>
      <c r="R1159" s="104"/>
      <c r="S1159" s="104"/>
    </row>
    <row r="1160" spans="4:19">
      <c r="D1160" s="104"/>
      <c r="E1160" s="104"/>
      <c r="F1160" s="104"/>
      <c r="G1160" s="104"/>
      <c r="H1160" s="104"/>
      <c r="I1160" s="104"/>
      <c r="J1160" s="104"/>
      <c r="K1160" s="104"/>
      <c r="L1160" s="104"/>
      <c r="M1160" s="104"/>
      <c r="N1160" s="104"/>
      <c r="O1160" s="104"/>
      <c r="P1160" s="104"/>
      <c r="Q1160" s="104"/>
      <c r="R1160" s="104"/>
      <c r="S1160" s="104"/>
    </row>
    <row r="1161" spans="4:19">
      <c r="D1161" s="104"/>
      <c r="E1161" s="104"/>
      <c r="F1161" s="104"/>
      <c r="G1161" s="104"/>
      <c r="H1161" s="104"/>
      <c r="I1161" s="104"/>
      <c r="J1161" s="104"/>
      <c r="K1161" s="104"/>
      <c r="L1161" s="104"/>
      <c r="M1161" s="104"/>
      <c r="N1161" s="104"/>
      <c r="O1161" s="104"/>
      <c r="P1161" s="104"/>
      <c r="Q1161" s="104"/>
      <c r="R1161" s="104"/>
      <c r="S1161" s="104"/>
    </row>
    <row r="1162" spans="4:19">
      <c r="D1162" s="104"/>
      <c r="E1162" s="104"/>
      <c r="F1162" s="104"/>
      <c r="G1162" s="104"/>
      <c r="H1162" s="104"/>
      <c r="I1162" s="104"/>
      <c r="J1162" s="104"/>
      <c r="K1162" s="104"/>
      <c r="L1162" s="104"/>
      <c r="M1162" s="104"/>
      <c r="N1162" s="104"/>
      <c r="O1162" s="104"/>
      <c r="P1162" s="104"/>
      <c r="Q1162" s="104"/>
      <c r="R1162" s="104"/>
      <c r="S1162" s="104"/>
    </row>
    <row r="1163" spans="4:19">
      <c r="D1163" s="104"/>
      <c r="E1163" s="104"/>
      <c r="F1163" s="104"/>
      <c r="G1163" s="104"/>
      <c r="H1163" s="104"/>
      <c r="I1163" s="104"/>
      <c r="J1163" s="104"/>
      <c r="K1163" s="104"/>
      <c r="L1163" s="104"/>
      <c r="M1163" s="104"/>
      <c r="N1163" s="104"/>
      <c r="O1163" s="104"/>
      <c r="P1163" s="104"/>
      <c r="Q1163" s="104"/>
      <c r="R1163" s="104"/>
      <c r="S1163" s="104"/>
    </row>
    <row r="1164" spans="4:19">
      <c r="D1164" s="104"/>
      <c r="E1164" s="104"/>
      <c r="F1164" s="104"/>
      <c r="G1164" s="104"/>
      <c r="H1164" s="104"/>
      <c r="I1164" s="104"/>
      <c r="J1164" s="104"/>
      <c r="K1164" s="104"/>
      <c r="L1164" s="104"/>
      <c r="M1164" s="104"/>
      <c r="N1164" s="104"/>
      <c r="O1164" s="104"/>
      <c r="P1164" s="104"/>
      <c r="Q1164" s="104"/>
      <c r="R1164" s="104"/>
      <c r="S1164" s="104"/>
    </row>
    <row r="1165" spans="4:19">
      <c r="D1165" s="104"/>
      <c r="E1165" s="104"/>
      <c r="F1165" s="104"/>
      <c r="G1165" s="104"/>
      <c r="H1165" s="104"/>
      <c r="I1165" s="104"/>
      <c r="J1165" s="104"/>
      <c r="K1165" s="104"/>
      <c r="L1165" s="104"/>
      <c r="M1165" s="104"/>
      <c r="N1165" s="104"/>
      <c r="O1165" s="104"/>
      <c r="P1165" s="104"/>
      <c r="Q1165" s="104"/>
      <c r="R1165" s="104"/>
      <c r="S1165" s="104"/>
    </row>
    <row r="1166" spans="4:19">
      <c r="D1166" s="104"/>
      <c r="E1166" s="104"/>
      <c r="F1166" s="104"/>
      <c r="G1166" s="104"/>
      <c r="H1166" s="104"/>
      <c r="I1166" s="104"/>
      <c r="J1166" s="104"/>
      <c r="K1166" s="104"/>
      <c r="L1166" s="104"/>
      <c r="M1166" s="104"/>
      <c r="N1166" s="104"/>
      <c r="O1166" s="104"/>
      <c r="P1166" s="104"/>
      <c r="Q1166" s="104"/>
      <c r="R1166" s="104"/>
      <c r="S1166" s="104"/>
    </row>
    <row r="1167" spans="4:19">
      <c r="D1167" s="104"/>
      <c r="E1167" s="104"/>
      <c r="F1167" s="104"/>
      <c r="G1167" s="104"/>
      <c r="H1167" s="104"/>
      <c r="I1167" s="104"/>
      <c r="J1167" s="104"/>
      <c r="K1167" s="104"/>
      <c r="L1167" s="104"/>
      <c r="M1167" s="104"/>
      <c r="N1167" s="104"/>
      <c r="O1167" s="104"/>
      <c r="P1167" s="104"/>
      <c r="Q1167" s="104"/>
      <c r="R1167" s="104"/>
      <c r="S1167" s="104"/>
    </row>
    <row r="1168" spans="4:19">
      <c r="D1168" s="104"/>
      <c r="E1168" s="104"/>
      <c r="F1168" s="104"/>
      <c r="G1168" s="104"/>
      <c r="H1168" s="104"/>
      <c r="I1168" s="104"/>
      <c r="J1168" s="104"/>
      <c r="K1168" s="104"/>
      <c r="L1168" s="104"/>
      <c r="M1168" s="104"/>
      <c r="N1168" s="104"/>
      <c r="O1168" s="104"/>
      <c r="P1168" s="104"/>
      <c r="Q1168" s="104"/>
      <c r="R1168" s="104"/>
      <c r="S1168" s="104"/>
    </row>
    <row r="1169" spans="4:19">
      <c r="D1169" s="104"/>
      <c r="E1169" s="104"/>
      <c r="F1169" s="104"/>
      <c r="G1169" s="104"/>
      <c r="H1169" s="104"/>
      <c r="I1169" s="104"/>
      <c r="J1169" s="104"/>
      <c r="K1169" s="104"/>
      <c r="L1169" s="104"/>
      <c r="M1169" s="104"/>
      <c r="N1169" s="104"/>
      <c r="O1169" s="104"/>
      <c r="P1169" s="104"/>
      <c r="Q1169" s="104"/>
      <c r="R1169" s="104"/>
      <c r="S1169" s="104"/>
    </row>
    <row r="1170" spans="4:19">
      <c r="D1170" s="104"/>
      <c r="E1170" s="104"/>
      <c r="F1170" s="104"/>
      <c r="G1170" s="104"/>
      <c r="H1170" s="104"/>
      <c r="I1170" s="104"/>
      <c r="J1170" s="104"/>
      <c r="K1170" s="104"/>
      <c r="L1170" s="104"/>
      <c r="M1170" s="104"/>
      <c r="N1170" s="104"/>
      <c r="O1170" s="104"/>
      <c r="P1170" s="104"/>
      <c r="Q1170" s="104"/>
      <c r="R1170" s="104"/>
      <c r="S1170" s="104"/>
    </row>
    <row r="1171" spans="4:19">
      <c r="D1171" s="104"/>
      <c r="E1171" s="104"/>
      <c r="F1171" s="104"/>
      <c r="G1171" s="104"/>
      <c r="H1171" s="104"/>
      <c r="I1171" s="104"/>
      <c r="J1171" s="104"/>
      <c r="K1171" s="104"/>
      <c r="L1171" s="104"/>
      <c r="M1171" s="104"/>
      <c r="N1171" s="104"/>
      <c r="O1171" s="104"/>
      <c r="P1171" s="104"/>
      <c r="Q1171" s="104"/>
      <c r="R1171" s="104"/>
      <c r="S1171" s="104"/>
    </row>
    <row r="1172" spans="4:19">
      <c r="D1172" s="104"/>
      <c r="E1172" s="104"/>
      <c r="F1172" s="104"/>
      <c r="G1172" s="104"/>
      <c r="H1172" s="104"/>
      <c r="I1172" s="104"/>
      <c r="J1172" s="104"/>
      <c r="K1172" s="104"/>
      <c r="L1172" s="104"/>
      <c r="M1172" s="104"/>
      <c r="N1172" s="104"/>
      <c r="O1172" s="104"/>
      <c r="P1172" s="104"/>
      <c r="Q1172" s="104"/>
      <c r="R1172" s="104"/>
      <c r="S1172" s="104"/>
    </row>
    <row r="1173" spans="4:19">
      <c r="D1173" s="104"/>
      <c r="E1173" s="104"/>
      <c r="F1173" s="104"/>
      <c r="G1173" s="104"/>
      <c r="H1173" s="104"/>
      <c r="I1173" s="104"/>
      <c r="J1173" s="104"/>
      <c r="K1173" s="104"/>
      <c r="L1173" s="104"/>
      <c r="M1173" s="104"/>
      <c r="N1173" s="104"/>
      <c r="O1173" s="104"/>
      <c r="P1173" s="104"/>
      <c r="Q1173" s="104"/>
      <c r="R1173" s="104"/>
      <c r="S1173" s="104"/>
    </row>
    <row r="1174" spans="4:19">
      <c r="D1174" s="104"/>
      <c r="E1174" s="104"/>
      <c r="F1174" s="104"/>
      <c r="G1174" s="104"/>
      <c r="H1174" s="104"/>
      <c r="I1174" s="104"/>
      <c r="J1174" s="104"/>
      <c r="K1174" s="104"/>
      <c r="L1174" s="104"/>
      <c r="M1174" s="104"/>
      <c r="N1174" s="104"/>
      <c r="O1174" s="104"/>
      <c r="P1174" s="104"/>
      <c r="Q1174" s="104"/>
      <c r="R1174" s="104"/>
      <c r="S1174" s="104"/>
    </row>
    <row r="1175" spans="4:19">
      <c r="D1175" s="104"/>
      <c r="E1175" s="104"/>
      <c r="F1175" s="104"/>
      <c r="G1175" s="104"/>
      <c r="H1175" s="104"/>
      <c r="I1175" s="104"/>
      <c r="J1175" s="104"/>
      <c r="K1175" s="104"/>
      <c r="L1175" s="104"/>
      <c r="M1175" s="104"/>
      <c r="N1175" s="104"/>
      <c r="O1175" s="104"/>
      <c r="P1175" s="104"/>
      <c r="Q1175" s="104"/>
      <c r="R1175" s="104"/>
      <c r="S1175" s="104"/>
    </row>
    <row r="1176" spans="4:19">
      <c r="D1176" s="104"/>
      <c r="E1176" s="104"/>
      <c r="F1176" s="104"/>
      <c r="G1176" s="104"/>
      <c r="H1176" s="104"/>
      <c r="I1176" s="104"/>
      <c r="J1176" s="104"/>
      <c r="K1176" s="104"/>
      <c r="L1176" s="104"/>
      <c r="M1176" s="104"/>
      <c r="N1176" s="104"/>
      <c r="O1176" s="104"/>
      <c r="P1176" s="104"/>
      <c r="Q1176" s="104"/>
      <c r="R1176" s="104"/>
      <c r="S1176" s="104"/>
    </row>
    <row r="1177" spans="4:19">
      <c r="D1177" s="104"/>
      <c r="E1177" s="104"/>
      <c r="F1177" s="104"/>
      <c r="G1177" s="104"/>
      <c r="H1177" s="104"/>
      <c r="I1177" s="104"/>
      <c r="J1177" s="104"/>
      <c r="K1177" s="104"/>
      <c r="L1177" s="104"/>
      <c r="M1177" s="104"/>
      <c r="N1177" s="104"/>
      <c r="O1177" s="104"/>
      <c r="P1177" s="104"/>
      <c r="Q1177" s="104"/>
      <c r="R1177" s="104"/>
      <c r="S1177" s="104"/>
    </row>
    <row r="1178" spans="4:19">
      <c r="D1178" s="104"/>
      <c r="E1178" s="104"/>
      <c r="F1178" s="104"/>
      <c r="G1178" s="104"/>
      <c r="H1178" s="104"/>
      <c r="I1178" s="104"/>
      <c r="J1178" s="104"/>
      <c r="K1178" s="104"/>
      <c r="L1178" s="104"/>
      <c r="M1178" s="104"/>
      <c r="N1178" s="104"/>
      <c r="O1178" s="104"/>
      <c r="P1178" s="104"/>
      <c r="Q1178" s="104"/>
      <c r="R1178" s="104"/>
      <c r="S1178" s="104"/>
    </row>
    <row r="1179" spans="4:19">
      <c r="D1179" s="104"/>
      <c r="E1179" s="104"/>
      <c r="F1179" s="104"/>
      <c r="G1179" s="104"/>
      <c r="H1179" s="104"/>
      <c r="I1179" s="104"/>
      <c r="J1179" s="104"/>
      <c r="K1179" s="104"/>
      <c r="L1179" s="104"/>
      <c r="M1179" s="104"/>
      <c r="N1179" s="104"/>
      <c r="O1179" s="104"/>
      <c r="P1179" s="104"/>
      <c r="Q1179" s="104"/>
      <c r="R1179" s="104"/>
      <c r="S1179" s="104"/>
    </row>
    <row r="1180" spans="4:19">
      <c r="D1180" s="104"/>
      <c r="E1180" s="104"/>
      <c r="F1180" s="104"/>
      <c r="G1180" s="104"/>
      <c r="H1180" s="104"/>
      <c r="I1180" s="104"/>
      <c r="J1180" s="104"/>
      <c r="K1180" s="104"/>
      <c r="L1180" s="104"/>
      <c r="M1180" s="104"/>
      <c r="N1180" s="104"/>
      <c r="O1180" s="104"/>
      <c r="P1180" s="104"/>
      <c r="Q1180" s="104"/>
      <c r="R1180" s="104"/>
      <c r="S1180" s="104"/>
    </row>
    <row r="1181" spans="4:19">
      <c r="D1181" s="104"/>
      <c r="E1181" s="104"/>
      <c r="F1181" s="104"/>
      <c r="G1181" s="104"/>
      <c r="H1181" s="104"/>
      <c r="I1181" s="104"/>
      <c r="J1181" s="104"/>
      <c r="K1181" s="104"/>
      <c r="L1181" s="104"/>
      <c r="M1181" s="104"/>
      <c r="N1181" s="104"/>
      <c r="O1181" s="104"/>
      <c r="P1181" s="104"/>
      <c r="Q1181" s="104"/>
      <c r="R1181" s="104"/>
      <c r="S1181" s="104"/>
    </row>
    <row r="1182" spans="4:19">
      <c r="D1182" s="104"/>
      <c r="E1182" s="104"/>
      <c r="F1182" s="104"/>
      <c r="G1182" s="104"/>
      <c r="H1182" s="104"/>
      <c r="I1182" s="104"/>
      <c r="J1182" s="104"/>
      <c r="K1182" s="104"/>
      <c r="L1182" s="104"/>
      <c r="M1182" s="104"/>
      <c r="N1182" s="104"/>
      <c r="O1182" s="104"/>
      <c r="P1182" s="104"/>
      <c r="Q1182" s="104"/>
      <c r="R1182" s="104"/>
      <c r="S1182" s="104"/>
    </row>
    <row r="1183" spans="4:19">
      <c r="D1183" s="104"/>
      <c r="E1183" s="104"/>
      <c r="F1183" s="104"/>
      <c r="G1183" s="104"/>
      <c r="H1183" s="104"/>
      <c r="I1183" s="104"/>
      <c r="J1183" s="104"/>
      <c r="K1183" s="104"/>
      <c r="L1183" s="104"/>
      <c r="M1183" s="104"/>
      <c r="N1183" s="104"/>
      <c r="O1183" s="104"/>
      <c r="P1183" s="104"/>
      <c r="Q1183" s="104"/>
      <c r="R1183" s="104"/>
      <c r="S1183" s="104"/>
    </row>
    <row r="1184" spans="4:19">
      <c r="D1184" s="104"/>
      <c r="E1184" s="104"/>
      <c r="F1184" s="104"/>
      <c r="G1184" s="104"/>
      <c r="H1184" s="104"/>
      <c r="I1184" s="104"/>
      <c r="J1184" s="104"/>
      <c r="K1184" s="104"/>
      <c r="L1184" s="104"/>
      <c r="M1184" s="104"/>
      <c r="N1184" s="104"/>
      <c r="O1184" s="104"/>
      <c r="P1184" s="104"/>
      <c r="Q1184" s="104"/>
      <c r="R1184" s="104"/>
      <c r="S1184" s="104"/>
    </row>
    <row r="1185" spans="4:19">
      <c r="D1185" s="104"/>
      <c r="E1185" s="104"/>
      <c r="F1185" s="104"/>
      <c r="G1185" s="104"/>
      <c r="H1185" s="104"/>
      <c r="I1185" s="104"/>
      <c r="J1185" s="104"/>
      <c r="K1185" s="104"/>
      <c r="L1185" s="104"/>
      <c r="M1185" s="104"/>
      <c r="N1185" s="104"/>
      <c r="O1185" s="104"/>
      <c r="P1185" s="104"/>
      <c r="Q1185" s="104"/>
      <c r="R1185" s="104"/>
      <c r="S1185" s="104"/>
    </row>
    <row r="1186" spans="4:19">
      <c r="D1186" s="104"/>
      <c r="E1186" s="104"/>
      <c r="F1186" s="104"/>
      <c r="G1186" s="104"/>
      <c r="H1186" s="104"/>
      <c r="I1186" s="104"/>
      <c r="J1186" s="104"/>
      <c r="K1186" s="104"/>
      <c r="L1186" s="104"/>
      <c r="M1186" s="104"/>
      <c r="N1186" s="104"/>
      <c r="O1186" s="104"/>
      <c r="P1186" s="104"/>
      <c r="Q1186" s="104"/>
      <c r="R1186" s="104"/>
      <c r="S1186" s="104"/>
    </row>
    <row r="1187" spans="4:19">
      <c r="D1187" s="104"/>
      <c r="E1187" s="104"/>
      <c r="F1187" s="104"/>
      <c r="G1187" s="104"/>
      <c r="H1187" s="104"/>
      <c r="I1187" s="104"/>
      <c r="J1187" s="104"/>
      <c r="K1187" s="104"/>
      <c r="L1187" s="104"/>
      <c r="M1187" s="104"/>
      <c r="N1187" s="104"/>
      <c r="O1187" s="104"/>
      <c r="P1187" s="104"/>
      <c r="Q1187" s="104"/>
      <c r="R1187" s="104"/>
      <c r="S1187" s="104"/>
    </row>
    <row r="1188" spans="4:19">
      <c r="D1188" s="104"/>
      <c r="E1188" s="104"/>
      <c r="F1188" s="104"/>
      <c r="G1188" s="104"/>
      <c r="H1188" s="104"/>
      <c r="I1188" s="104"/>
      <c r="J1188" s="104"/>
      <c r="K1188" s="104"/>
      <c r="L1188" s="104"/>
      <c r="M1188" s="104"/>
      <c r="N1188" s="104"/>
      <c r="O1188" s="104"/>
      <c r="P1188" s="104"/>
      <c r="Q1188" s="104"/>
      <c r="R1188" s="104"/>
      <c r="S1188" s="104"/>
    </row>
    <row r="1189" spans="4:19">
      <c r="D1189" s="104"/>
      <c r="E1189" s="104"/>
      <c r="F1189" s="104"/>
      <c r="G1189" s="104"/>
      <c r="H1189" s="104"/>
      <c r="I1189" s="104"/>
      <c r="J1189" s="104"/>
      <c r="K1189" s="104"/>
      <c r="L1189" s="104"/>
      <c r="M1189" s="104"/>
      <c r="N1189" s="104"/>
      <c r="O1189" s="104"/>
      <c r="P1189" s="104"/>
      <c r="Q1189" s="104"/>
      <c r="R1189" s="104"/>
      <c r="S1189" s="104"/>
    </row>
    <row r="1190" spans="4:19">
      <c r="D1190" s="104"/>
      <c r="E1190" s="104"/>
      <c r="F1190" s="104"/>
      <c r="G1190" s="104"/>
      <c r="H1190" s="104"/>
      <c r="I1190" s="104"/>
      <c r="J1190" s="104"/>
      <c r="K1190" s="104"/>
      <c r="L1190" s="104"/>
      <c r="M1190" s="104"/>
      <c r="N1190" s="104"/>
      <c r="O1190" s="104"/>
      <c r="P1190" s="104"/>
      <c r="Q1190" s="104"/>
      <c r="R1190" s="104"/>
      <c r="S1190" s="104"/>
    </row>
    <row r="1191" spans="4:19">
      <c r="D1191" s="104"/>
      <c r="E1191" s="104"/>
      <c r="F1191" s="104"/>
      <c r="G1191" s="104"/>
      <c r="H1191" s="104"/>
      <c r="I1191" s="104"/>
      <c r="J1191" s="104"/>
      <c r="K1191" s="104"/>
      <c r="L1191" s="104"/>
      <c r="M1191" s="104"/>
      <c r="N1191" s="104"/>
      <c r="O1191" s="104"/>
      <c r="P1191" s="104"/>
      <c r="Q1191" s="104"/>
      <c r="R1191" s="104"/>
      <c r="S1191" s="104"/>
    </row>
    <row r="1192" spans="4:19">
      <c r="D1192" s="104"/>
      <c r="E1192" s="104"/>
      <c r="F1192" s="104"/>
      <c r="G1192" s="104"/>
      <c r="H1192" s="104"/>
      <c r="I1192" s="104"/>
      <c r="J1192" s="104"/>
      <c r="K1192" s="104"/>
      <c r="L1192" s="104"/>
      <c r="M1192" s="104"/>
      <c r="N1192" s="104"/>
      <c r="O1192" s="104"/>
      <c r="P1192" s="104"/>
      <c r="Q1192" s="104"/>
      <c r="R1192" s="104"/>
      <c r="S1192" s="104"/>
    </row>
    <row r="1193" spans="4:19">
      <c r="D1193" s="104"/>
      <c r="E1193" s="104"/>
      <c r="F1193" s="104"/>
      <c r="G1193" s="104"/>
      <c r="H1193" s="104"/>
      <c r="I1193" s="104"/>
      <c r="J1193" s="104"/>
      <c r="K1193" s="104"/>
      <c r="L1193" s="104"/>
      <c r="M1193" s="104"/>
      <c r="N1193" s="104"/>
      <c r="O1193" s="104"/>
      <c r="P1193" s="104"/>
      <c r="Q1193" s="104"/>
      <c r="R1193" s="104"/>
      <c r="S1193" s="104"/>
    </row>
    <row r="1194" spans="4:19">
      <c r="D1194" s="104"/>
      <c r="E1194" s="104"/>
      <c r="F1194" s="104"/>
      <c r="G1194" s="104"/>
      <c r="H1194" s="104"/>
      <c r="I1194" s="104"/>
      <c r="J1194" s="104"/>
      <c r="K1194" s="104"/>
      <c r="L1194" s="104"/>
      <c r="M1194" s="104"/>
      <c r="N1194" s="104"/>
      <c r="O1194" s="104"/>
      <c r="P1194" s="104"/>
      <c r="Q1194" s="104"/>
      <c r="R1194" s="104"/>
      <c r="S1194" s="104"/>
    </row>
    <row r="1195" spans="4:19">
      <c r="D1195" s="104"/>
      <c r="E1195" s="104"/>
      <c r="F1195" s="104"/>
      <c r="G1195" s="104"/>
      <c r="H1195" s="104"/>
      <c r="I1195" s="104"/>
      <c r="J1195" s="104"/>
      <c r="K1195" s="104"/>
      <c r="L1195" s="104"/>
      <c r="M1195" s="104"/>
      <c r="N1195" s="104"/>
      <c r="O1195" s="104"/>
      <c r="P1195" s="104"/>
      <c r="Q1195" s="104"/>
      <c r="R1195" s="104"/>
      <c r="S1195" s="104"/>
    </row>
    <row r="1196" spans="4:19">
      <c r="D1196" s="104"/>
      <c r="E1196" s="104"/>
      <c r="F1196" s="104"/>
      <c r="G1196" s="104"/>
      <c r="H1196" s="104"/>
      <c r="I1196" s="104"/>
      <c r="J1196" s="104"/>
      <c r="K1196" s="104"/>
      <c r="L1196" s="104"/>
      <c r="M1196" s="104"/>
      <c r="N1196" s="104"/>
      <c r="O1196" s="104"/>
      <c r="P1196" s="104"/>
      <c r="Q1196" s="104"/>
      <c r="R1196" s="104"/>
      <c r="S1196" s="104"/>
    </row>
    <row r="1197" spans="4:19">
      <c r="D1197" s="104"/>
      <c r="E1197" s="104"/>
      <c r="F1197" s="104"/>
      <c r="G1197" s="104"/>
      <c r="H1197" s="104"/>
      <c r="I1197" s="104"/>
      <c r="J1197" s="104"/>
      <c r="K1197" s="104"/>
      <c r="L1197" s="104"/>
      <c r="M1197" s="104"/>
      <c r="N1197" s="104"/>
      <c r="O1197" s="104"/>
      <c r="P1197" s="104"/>
      <c r="Q1197" s="104"/>
      <c r="R1197" s="104"/>
      <c r="S1197" s="104"/>
    </row>
    <row r="1198" spans="4:19">
      <c r="D1198" s="104"/>
      <c r="E1198" s="104"/>
      <c r="F1198" s="104"/>
      <c r="G1198" s="104"/>
      <c r="H1198" s="104"/>
      <c r="I1198" s="104"/>
      <c r="J1198" s="104"/>
      <c r="K1198" s="104"/>
      <c r="L1198" s="104"/>
      <c r="M1198" s="104"/>
      <c r="N1198" s="104"/>
      <c r="O1198" s="104"/>
      <c r="P1198" s="104"/>
      <c r="Q1198" s="104"/>
      <c r="R1198" s="104"/>
      <c r="S1198" s="104"/>
    </row>
    <row r="1199" spans="4:19">
      <c r="D1199" s="104"/>
      <c r="E1199" s="104"/>
      <c r="F1199" s="104"/>
      <c r="G1199" s="104"/>
      <c r="H1199" s="104"/>
      <c r="I1199" s="104"/>
      <c r="J1199" s="104"/>
      <c r="K1199" s="104"/>
      <c r="L1199" s="104"/>
      <c r="M1199" s="104"/>
      <c r="N1199" s="104"/>
      <c r="O1199" s="104"/>
      <c r="P1199" s="104"/>
      <c r="Q1199" s="104"/>
      <c r="R1199" s="104"/>
      <c r="S1199" s="104"/>
    </row>
    <row r="1200" spans="4:19">
      <c r="D1200" s="104"/>
      <c r="E1200" s="104"/>
      <c r="F1200" s="104"/>
      <c r="G1200" s="104"/>
      <c r="H1200" s="104"/>
      <c r="I1200" s="104"/>
      <c r="J1200" s="104"/>
      <c r="K1200" s="104"/>
      <c r="L1200" s="104"/>
      <c r="M1200" s="104"/>
      <c r="N1200" s="104"/>
      <c r="O1200" s="104"/>
      <c r="P1200" s="104"/>
      <c r="Q1200" s="104"/>
      <c r="R1200" s="104"/>
      <c r="S1200" s="104"/>
    </row>
    <row r="1201" spans="4:19">
      <c r="D1201" s="104"/>
      <c r="E1201" s="104"/>
      <c r="F1201" s="104"/>
      <c r="G1201" s="104"/>
      <c r="H1201" s="104"/>
      <c r="I1201" s="104"/>
      <c r="J1201" s="104"/>
      <c r="K1201" s="104"/>
      <c r="L1201" s="104"/>
      <c r="M1201" s="104"/>
      <c r="N1201" s="104"/>
      <c r="O1201" s="104"/>
      <c r="P1201" s="104"/>
      <c r="Q1201" s="104"/>
      <c r="R1201" s="104"/>
      <c r="S1201" s="104"/>
    </row>
    <row r="1202" spans="4:19">
      <c r="D1202" s="104"/>
      <c r="E1202" s="104"/>
      <c r="F1202" s="104"/>
      <c r="G1202" s="104"/>
      <c r="H1202" s="104"/>
      <c r="I1202" s="104"/>
      <c r="J1202" s="104"/>
      <c r="K1202" s="104"/>
      <c r="L1202" s="104"/>
      <c r="M1202" s="104"/>
      <c r="N1202" s="104"/>
      <c r="O1202" s="104"/>
      <c r="P1202" s="104"/>
      <c r="Q1202" s="104"/>
      <c r="R1202" s="104"/>
      <c r="S1202" s="104"/>
    </row>
    <row r="1203" spans="4:19">
      <c r="D1203" s="104"/>
      <c r="E1203" s="104"/>
      <c r="F1203" s="104"/>
      <c r="G1203" s="104"/>
      <c r="H1203" s="104"/>
      <c r="I1203" s="104"/>
      <c r="J1203" s="104"/>
      <c r="K1203" s="104"/>
      <c r="L1203" s="104"/>
      <c r="M1203" s="104"/>
      <c r="N1203" s="104"/>
      <c r="O1203" s="104"/>
      <c r="P1203" s="104"/>
      <c r="Q1203" s="104"/>
      <c r="R1203" s="104"/>
      <c r="S1203" s="104"/>
    </row>
    <row r="1204" spans="4:19">
      <c r="D1204" s="104"/>
      <c r="E1204" s="104"/>
      <c r="F1204" s="104"/>
      <c r="G1204" s="104"/>
      <c r="H1204" s="104"/>
      <c r="I1204" s="104"/>
      <c r="J1204" s="104"/>
      <c r="K1204" s="104"/>
      <c r="L1204" s="104"/>
      <c r="M1204" s="104"/>
      <c r="N1204" s="104"/>
      <c r="O1204" s="104"/>
      <c r="P1204" s="104"/>
      <c r="Q1204" s="104"/>
      <c r="R1204" s="104"/>
      <c r="S1204" s="104"/>
    </row>
    <row r="1205" spans="4:19">
      <c r="D1205" s="104"/>
      <c r="E1205" s="104"/>
      <c r="F1205" s="104"/>
      <c r="G1205" s="104"/>
      <c r="H1205" s="104"/>
      <c r="I1205" s="104"/>
      <c r="J1205" s="104"/>
      <c r="K1205" s="104"/>
      <c r="L1205" s="104"/>
      <c r="M1205" s="104"/>
      <c r="N1205" s="104"/>
      <c r="O1205" s="104"/>
      <c r="P1205" s="104"/>
      <c r="Q1205" s="104"/>
      <c r="R1205" s="104"/>
      <c r="S1205" s="104"/>
    </row>
    <row r="1206" spans="4:19">
      <c r="D1206" s="104"/>
      <c r="E1206" s="104"/>
      <c r="F1206" s="104"/>
      <c r="G1206" s="104"/>
      <c r="H1206" s="104"/>
      <c r="I1206" s="104"/>
      <c r="J1206" s="104"/>
      <c r="K1206" s="104"/>
      <c r="L1206" s="104"/>
      <c r="M1206" s="104"/>
      <c r="N1206" s="104"/>
      <c r="O1206" s="104"/>
      <c r="P1206" s="104"/>
      <c r="Q1206" s="104"/>
      <c r="R1206" s="104"/>
      <c r="S1206" s="104"/>
    </row>
    <row r="1207" spans="4:19">
      <c r="D1207" s="104"/>
      <c r="E1207" s="104"/>
      <c r="F1207" s="104"/>
      <c r="G1207" s="104"/>
      <c r="H1207" s="104"/>
      <c r="I1207" s="104"/>
      <c r="J1207" s="104"/>
      <c r="K1207" s="104"/>
      <c r="L1207" s="104"/>
      <c r="M1207" s="104"/>
      <c r="N1207" s="104"/>
      <c r="O1207" s="104"/>
      <c r="P1207" s="104"/>
      <c r="Q1207" s="104"/>
      <c r="R1207" s="104"/>
      <c r="S1207" s="104"/>
    </row>
    <row r="1208" spans="4:19">
      <c r="D1208" s="104"/>
      <c r="E1208" s="104"/>
      <c r="F1208" s="104"/>
      <c r="G1208" s="104"/>
      <c r="H1208" s="104"/>
      <c r="I1208" s="104"/>
      <c r="J1208" s="104"/>
      <c r="K1208" s="104"/>
      <c r="L1208" s="104"/>
      <c r="M1208" s="104"/>
      <c r="N1208" s="104"/>
      <c r="O1208" s="104"/>
      <c r="P1208" s="104"/>
      <c r="Q1208" s="104"/>
      <c r="R1208" s="104"/>
      <c r="S1208" s="104"/>
    </row>
    <row r="1209" spans="4:19">
      <c r="D1209" s="104"/>
      <c r="E1209" s="104"/>
      <c r="F1209" s="104"/>
      <c r="G1209" s="104"/>
      <c r="H1209" s="104"/>
      <c r="I1209" s="104"/>
      <c r="J1209" s="104"/>
      <c r="K1209" s="104"/>
      <c r="L1209" s="104"/>
      <c r="M1209" s="104"/>
      <c r="N1209" s="104"/>
      <c r="O1209" s="104"/>
      <c r="P1209" s="104"/>
      <c r="Q1209" s="104"/>
      <c r="R1209" s="104"/>
      <c r="S1209" s="104"/>
    </row>
    <row r="1210" spans="4:19">
      <c r="D1210" s="104"/>
      <c r="E1210" s="104"/>
      <c r="F1210" s="104"/>
      <c r="G1210" s="104"/>
      <c r="H1210" s="104"/>
      <c r="I1210" s="104"/>
      <c r="J1210" s="104"/>
      <c r="K1210" s="104"/>
      <c r="L1210" s="104"/>
      <c r="M1210" s="104"/>
      <c r="N1210" s="104"/>
      <c r="O1210" s="104"/>
      <c r="P1210" s="104"/>
      <c r="Q1210" s="104"/>
      <c r="R1210" s="104"/>
      <c r="S1210" s="104"/>
    </row>
    <row r="1211" spans="4:19">
      <c r="D1211" s="104"/>
      <c r="E1211" s="104"/>
      <c r="F1211" s="104"/>
      <c r="G1211" s="104"/>
      <c r="H1211" s="104"/>
      <c r="I1211" s="104"/>
      <c r="J1211" s="104"/>
      <c r="K1211" s="104"/>
      <c r="L1211" s="104"/>
      <c r="M1211" s="104"/>
      <c r="N1211" s="104"/>
      <c r="O1211" s="104"/>
      <c r="P1211" s="104"/>
      <c r="Q1211" s="104"/>
      <c r="R1211" s="104"/>
      <c r="S1211" s="104"/>
    </row>
    <row r="1212" spans="4:19">
      <c r="D1212" s="104"/>
      <c r="E1212" s="104"/>
      <c r="F1212" s="104"/>
      <c r="G1212" s="104"/>
      <c r="H1212" s="104"/>
      <c r="I1212" s="104"/>
      <c r="J1212" s="104"/>
      <c r="K1212" s="104"/>
      <c r="L1212" s="104"/>
      <c r="M1212" s="104"/>
      <c r="N1212" s="104"/>
      <c r="O1212" s="104"/>
      <c r="P1212" s="104"/>
      <c r="Q1212" s="104"/>
      <c r="R1212" s="104"/>
      <c r="S1212" s="104"/>
    </row>
    <row r="1213" spans="4:19">
      <c r="D1213" s="104"/>
      <c r="E1213" s="104"/>
      <c r="F1213" s="104"/>
      <c r="G1213" s="104"/>
      <c r="H1213" s="104"/>
      <c r="I1213" s="104"/>
      <c r="J1213" s="104"/>
      <c r="K1213" s="104"/>
      <c r="L1213" s="104"/>
      <c r="M1213" s="104"/>
      <c r="N1213" s="104"/>
      <c r="O1213" s="104"/>
      <c r="P1213" s="104"/>
      <c r="Q1213" s="104"/>
      <c r="R1213" s="104"/>
      <c r="S1213" s="104"/>
    </row>
    <row r="1214" spans="4:19">
      <c r="D1214" s="104"/>
      <c r="E1214" s="104"/>
      <c r="F1214" s="104"/>
      <c r="G1214" s="104"/>
      <c r="H1214" s="104"/>
      <c r="I1214" s="104"/>
      <c r="J1214" s="104"/>
      <c r="K1214" s="104"/>
      <c r="L1214" s="104"/>
      <c r="M1214" s="104"/>
      <c r="N1214" s="104"/>
      <c r="O1214" s="104"/>
      <c r="P1214" s="104"/>
      <c r="Q1214" s="104"/>
      <c r="R1214" s="104"/>
      <c r="S1214" s="104"/>
    </row>
    <row r="1215" spans="4:19">
      <c r="D1215" s="104"/>
      <c r="E1215" s="104"/>
      <c r="F1215" s="104"/>
      <c r="G1215" s="104"/>
      <c r="H1215" s="104"/>
      <c r="I1215" s="104"/>
      <c r="J1215" s="104"/>
      <c r="K1215" s="104"/>
      <c r="L1215" s="104"/>
      <c r="M1215" s="104"/>
      <c r="N1215" s="104"/>
      <c r="O1215" s="104"/>
      <c r="P1215" s="104"/>
      <c r="Q1215" s="104"/>
      <c r="R1215" s="104"/>
      <c r="S1215" s="104"/>
    </row>
    <row r="1216" spans="4:19">
      <c r="D1216" s="104"/>
      <c r="E1216" s="104"/>
      <c r="F1216" s="104"/>
      <c r="G1216" s="104"/>
      <c r="H1216" s="104"/>
      <c r="I1216" s="104"/>
      <c r="J1216" s="104"/>
      <c r="K1216" s="104"/>
      <c r="L1216" s="104"/>
      <c r="M1216" s="104"/>
      <c r="N1216" s="104"/>
      <c r="O1216" s="104"/>
      <c r="P1216" s="104"/>
      <c r="Q1216" s="104"/>
      <c r="R1216" s="104"/>
      <c r="S1216" s="104"/>
    </row>
    <row r="1217" spans="4:19">
      <c r="D1217" s="104"/>
      <c r="E1217" s="104"/>
      <c r="F1217" s="104"/>
      <c r="G1217" s="104"/>
      <c r="H1217" s="104"/>
      <c r="I1217" s="104"/>
      <c r="J1217" s="104"/>
      <c r="K1217" s="104"/>
      <c r="L1217" s="104"/>
      <c r="M1217" s="104"/>
      <c r="N1217" s="104"/>
      <c r="O1217" s="104"/>
      <c r="P1217" s="104"/>
      <c r="Q1217" s="104"/>
      <c r="R1217" s="104"/>
      <c r="S1217" s="104"/>
    </row>
    <row r="1218" spans="4:19">
      <c r="D1218" s="104"/>
      <c r="E1218" s="104"/>
      <c r="F1218" s="104"/>
      <c r="G1218" s="104"/>
      <c r="H1218" s="104"/>
      <c r="I1218" s="104"/>
      <c r="J1218" s="104"/>
      <c r="K1218" s="104"/>
      <c r="L1218" s="104"/>
      <c r="M1218" s="104"/>
      <c r="N1218" s="104"/>
      <c r="O1218" s="104"/>
      <c r="P1218" s="104"/>
      <c r="Q1218" s="104"/>
      <c r="R1218" s="104"/>
      <c r="S1218" s="104"/>
    </row>
    <row r="1219" spans="4:19">
      <c r="D1219" s="104"/>
      <c r="E1219" s="104"/>
      <c r="F1219" s="104"/>
      <c r="G1219" s="104"/>
      <c r="H1219" s="104"/>
      <c r="I1219" s="104"/>
      <c r="J1219" s="104"/>
      <c r="K1219" s="104"/>
      <c r="L1219" s="104"/>
      <c r="M1219" s="104"/>
      <c r="N1219" s="104"/>
      <c r="O1219" s="104"/>
      <c r="P1219" s="104"/>
      <c r="Q1219" s="104"/>
      <c r="R1219" s="104"/>
      <c r="S1219" s="104"/>
    </row>
    <row r="1220" spans="4:19">
      <c r="D1220" s="104"/>
      <c r="E1220" s="104"/>
      <c r="F1220" s="104"/>
      <c r="G1220" s="104"/>
      <c r="H1220" s="104"/>
      <c r="I1220" s="104"/>
      <c r="J1220" s="104"/>
      <c r="K1220" s="104"/>
      <c r="L1220" s="104"/>
      <c r="M1220" s="104"/>
      <c r="N1220" s="104"/>
      <c r="O1220" s="104"/>
      <c r="P1220" s="104"/>
      <c r="Q1220" s="104"/>
      <c r="R1220" s="104"/>
      <c r="S1220" s="104"/>
    </row>
    <row r="1221" spans="4:19">
      <c r="D1221" s="104"/>
      <c r="E1221" s="104"/>
      <c r="F1221" s="104"/>
      <c r="G1221" s="104"/>
      <c r="H1221" s="104"/>
      <c r="I1221" s="104"/>
      <c r="J1221" s="104"/>
      <c r="K1221" s="104"/>
      <c r="L1221" s="104"/>
      <c r="M1221" s="104"/>
      <c r="N1221" s="104"/>
      <c r="O1221" s="104"/>
      <c r="P1221" s="104"/>
      <c r="Q1221" s="104"/>
      <c r="R1221" s="104"/>
      <c r="S1221" s="104"/>
    </row>
    <row r="1222" spans="4:19">
      <c r="D1222" s="104"/>
      <c r="E1222" s="104"/>
      <c r="F1222" s="104"/>
      <c r="G1222" s="104"/>
      <c r="H1222" s="104"/>
      <c r="I1222" s="104"/>
      <c r="J1222" s="104"/>
      <c r="K1222" s="104"/>
      <c r="L1222" s="104"/>
      <c r="M1222" s="104"/>
      <c r="N1222" s="104"/>
      <c r="O1222" s="104"/>
      <c r="P1222" s="104"/>
      <c r="Q1222" s="104"/>
      <c r="R1222" s="104"/>
      <c r="S1222" s="104"/>
    </row>
    <row r="1223" spans="4:19">
      <c r="D1223" s="104"/>
      <c r="E1223" s="104"/>
      <c r="F1223" s="104"/>
      <c r="G1223" s="104"/>
      <c r="H1223" s="104"/>
      <c r="I1223" s="104"/>
      <c r="J1223" s="104"/>
      <c r="K1223" s="104"/>
      <c r="L1223" s="104"/>
      <c r="M1223" s="104"/>
      <c r="N1223" s="104"/>
      <c r="O1223" s="104"/>
      <c r="P1223" s="104"/>
      <c r="Q1223" s="104"/>
      <c r="R1223" s="104"/>
      <c r="S1223" s="104"/>
    </row>
    <row r="1224" spans="4:19">
      <c r="D1224" s="104"/>
      <c r="E1224" s="104"/>
      <c r="F1224" s="104"/>
      <c r="G1224" s="104"/>
      <c r="H1224" s="104"/>
      <c r="I1224" s="104"/>
      <c r="J1224" s="104"/>
      <c r="K1224" s="104"/>
      <c r="L1224" s="104"/>
      <c r="M1224" s="104"/>
      <c r="N1224" s="104"/>
      <c r="O1224" s="104"/>
      <c r="P1224" s="104"/>
      <c r="Q1224" s="104"/>
      <c r="R1224" s="104"/>
      <c r="S1224" s="104"/>
    </row>
    <row r="1225" spans="4:19">
      <c r="D1225" s="104"/>
      <c r="E1225" s="104"/>
      <c r="F1225" s="104"/>
      <c r="G1225" s="104"/>
      <c r="H1225" s="104"/>
      <c r="I1225" s="104"/>
      <c r="J1225" s="104"/>
      <c r="K1225" s="104"/>
      <c r="L1225" s="104"/>
      <c r="M1225" s="104"/>
      <c r="N1225" s="104"/>
      <c r="O1225" s="104"/>
      <c r="P1225" s="104"/>
      <c r="Q1225" s="104"/>
      <c r="R1225" s="104"/>
      <c r="S1225" s="104"/>
    </row>
    <row r="1226" spans="4:19">
      <c r="D1226" s="104"/>
      <c r="E1226" s="104"/>
      <c r="F1226" s="104"/>
      <c r="G1226" s="104"/>
      <c r="H1226" s="104"/>
      <c r="I1226" s="104"/>
      <c r="J1226" s="104"/>
      <c r="K1226" s="104"/>
      <c r="L1226" s="104"/>
      <c r="M1226" s="104"/>
      <c r="N1226" s="104"/>
      <c r="O1226" s="104"/>
      <c r="P1226" s="104"/>
      <c r="Q1226" s="104"/>
      <c r="R1226" s="104"/>
      <c r="S1226" s="104"/>
    </row>
    <row r="1227" spans="4:19">
      <c r="D1227" s="104"/>
      <c r="E1227" s="104"/>
      <c r="F1227" s="104"/>
      <c r="G1227" s="104"/>
      <c r="H1227" s="104"/>
      <c r="I1227" s="104"/>
      <c r="J1227" s="104"/>
      <c r="K1227" s="104"/>
      <c r="L1227" s="104"/>
      <c r="M1227" s="104"/>
      <c r="N1227" s="104"/>
      <c r="O1227" s="104"/>
      <c r="P1227" s="104"/>
      <c r="Q1227" s="104"/>
      <c r="R1227" s="104"/>
      <c r="S1227" s="104"/>
    </row>
    <row r="1228" spans="4:19">
      <c r="D1228" s="104"/>
      <c r="E1228" s="104"/>
      <c r="F1228" s="104"/>
      <c r="G1228" s="104"/>
      <c r="H1228" s="104"/>
      <c r="I1228" s="104"/>
      <c r="J1228" s="104"/>
      <c r="K1228" s="104"/>
      <c r="L1228" s="104"/>
      <c r="M1228" s="104"/>
      <c r="N1228" s="104"/>
      <c r="O1228" s="104"/>
      <c r="P1228" s="104"/>
      <c r="Q1228" s="104"/>
      <c r="R1228" s="104"/>
      <c r="S1228" s="104"/>
    </row>
    <row r="1229" spans="4:19">
      <c r="D1229" s="104"/>
      <c r="E1229" s="104"/>
      <c r="F1229" s="104"/>
      <c r="G1229" s="104"/>
      <c r="H1229" s="104"/>
      <c r="I1229" s="104"/>
      <c r="J1229" s="104"/>
      <c r="K1229" s="104"/>
      <c r="L1229" s="104"/>
      <c r="M1229" s="104"/>
      <c r="N1229" s="104"/>
      <c r="O1229" s="104"/>
      <c r="P1229" s="104"/>
      <c r="Q1229" s="104"/>
      <c r="R1229" s="104"/>
      <c r="S1229" s="104"/>
    </row>
    <row r="1230" spans="4:19">
      <c r="D1230" s="104"/>
      <c r="E1230" s="104"/>
      <c r="F1230" s="104"/>
      <c r="G1230" s="104"/>
      <c r="H1230" s="104"/>
      <c r="I1230" s="104"/>
      <c r="J1230" s="104"/>
      <c r="K1230" s="104"/>
      <c r="L1230" s="104"/>
      <c r="M1230" s="104"/>
      <c r="N1230" s="104"/>
      <c r="O1230" s="104"/>
      <c r="P1230" s="104"/>
      <c r="Q1230" s="104"/>
      <c r="R1230" s="104"/>
      <c r="S1230" s="104"/>
    </row>
    <row r="1231" spans="4:19">
      <c r="D1231" s="104"/>
      <c r="E1231" s="104"/>
      <c r="F1231" s="104"/>
      <c r="G1231" s="104"/>
      <c r="H1231" s="104"/>
      <c r="I1231" s="104"/>
      <c r="J1231" s="104"/>
      <c r="K1231" s="104"/>
      <c r="L1231" s="104"/>
      <c r="M1231" s="104"/>
      <c r="N1231" s="104"/>
      <c r="O1231" s="104"/>
      <c r="P1231" s="104"/>
      <c r="Q1231" s="104"/>
      <c r="R1231" s="104"/>
      <c r="S1231" s="104"/>
    </row>
    <row r="1232" spans="4:19">
      <c r="D1232" s="104"/>
      <c r="E1232" s="104"/>
      <c r="F1232" s="104"/>
      <c r="G1232" s="104"/>
      <c r="H1232" s="104"/>
      <c r="I1232" s="104"/>
      <c r="J1232" s="104"/>
      <c r="K1232" s="104"/>
      <c r="L1232" s="104"/>
      <c r="M1232" s="104"/>
      <c r="N1232" s="104"/>
      <c r="O1232" s="104"/>
      <c r="P1232" s="104"/>
      <c r="Q1232" s="104"/>
      <c r="R1232" s="104"/>
      <c r="S1232" s="104"/>
    </row>
    <row r="1233" spans="4:19">
      <c r="D1233" s="104"/>
      <c r="E1233" s="104"/>
      <c r="F1233" s="104"/>
      <c r="G1233" s="104"/>
      <c r="H1233" s="104"/>
      <c r="I1233" s="104"/>
      <c r="J1233" s="104"/>
      <c r="K1233" s="104"/>
      <c r="L1233" s="104"/>
      <c r="M1233" s="104"/>
      <c r="N1233" s="104"/>
      <c r="O1233" s="104"/>
      <c r="P1233" s="104"/>
      <c r="Q1233" s="104"/>
      <c r="R1233" s="104"/>
      <c r="S1233" s="104"/>
    </row>
    <row r="1234" spans="4:19">
      <c r="D1234" s="104"/>
      <c r="E1234" s="104"/>
      <c r="F1234" s="104"/>
      <c r="G1234" s="104"/>
      <c r="H1234" s="104"/>
      <c r="I1234" s="104"/>
      <c r="J1234" s="104"/>
      <c r="K1234" s="104"/>
      <c r="L1234" s="104"/>
      <c r="M1234" s="104"/>
      <c r="N1234" s="104"/>
      <c r="O1234" s="104"/>
      <c r="P1234" s="104"/>
      <c r="Q1234" s="104"/>
      <c r="R1234" s="104"/>
      <c r="S1234" s="104"/>
    </row>
    <row r="1235" spans="4:19">
      <c r="D1235" s="104"/>
      <c r="E1235" s="104"/>
      <c r="F1235" s="104"/>
      <c r="G1235" s="104"/>
      <c r="H1235" s="104"/>
      <c r="I1235" s="104"/>
      <c r="J1235" s="104"/>
      <c r="K1235" s="104"/>
      <c r="L1235" s="104"/>
      <c r="M1235" s="104"/>
      <c r="N1235" s="104"/>
      <c r="O1235" s="104"/>
      <c r="P1235" s="104"/>
      <c r="Q1235" s="104"/>
      <c r="R1235" s="104"/>
      <c r="S1235" s="104"/>
    </row>
    <row r="1236" spans="4:19">
      <c r="D1236" s="104"/>
      <c r="E1236" s="104"/>
      <c r="F1236" s="104"/>
      <c r="G1236" s="104"/>
      <c r="H1236" s="104"/>
      <c r="I1236" s="104"/>
      <c r="J1236" s="104"/>
      <c r="K1236" s="104"/>
      <c r="L1236" s="104"/>
      <c r="M1236" s="104"/>
      <c r="N1236" s="104"/>
      <c r="O1236" s="104"/>
      <c r="P1236" s="104"/>
      <c r="Q1236" s="104"/>
      <c r="R1236" s="104"/>
      <c r="S1236" s="104"/>
    </row>
    <row r="1237" spans="4:19">
      <c r="D1237" s="104"/>
      <c r="E1237" s="104"/>
      <c r="F1237" s="104"/>
      <c r="G1237" s="104"/>
      <c r="H1237" s="104"/>
      <c r="I1237" s="104"/>
      <c r="J1237" s="104"/>
      <c r="K1237" s="104"/>
      <c r="L1237" s="104"/>
      <c r="M1237" s="104"/>
      <c r="N1237" s="104"/>
      <c r="O1237" s="104"/>
      <c r="P1237" s="104"/>
      <c r="Q1237" s="104"/>
      <c r="R1237" s="104"/>
      <c r="S1237" s="104"/>
    </row>
    <row r="1238" spans="4:19">
      <c r="D1238" s="104"/>
      <c r="E1238" s="104"/>
      <c r="F1238" s="104"/>
      <c r="G1238" s="104"/>
      <c r="H1238" s="104"/>
      <c r="I1238" s="104"/>
      <c r="J1238" s="104"/>
      <c r="K1238" s="104"/>
      <c r="L1238" s="104"/>
      <c r="M1238" s="104"/>
      <c r="N1238" s="104"/>
      <c r="O1238" s="104"/>
      <c r="P1238" s="104"/>
      <c r="Q1238" s="104"/>
      <c r="R1238" s="104"/>
      <c r="S1238" s="104"/>
    </row>
    <row r="1239" spans="4:19">
      <c r="D1239" s="104"/>
      <c r="E1239" s="104"/>
      <c r="F1239" s="104"/>
      <c r="G1239" s="104"/>
      <c r="H1239" s="104"/>
      <c r="I1239" s="104"/>
      <c r="J1239" s="104"/>
      <c r="K1239" s="104"/>
      <c r="L1239" s="104"/>
      <c r="M1239" s="104"/>
      <c r="N1239" s="104"/>
      <c r="O1239" s="104"/>
      <c r="P1239" s="104"/>
      <c r="Q1239" s="104"/>
      <c r="R1239" s="104"/>
      <c r="S1239" s="104"/>
    </row>
    <row r="1240" spans="4:19">
      <c r="D1240" s="104"/>
      <c r="E1240" s="104"/>
      <c r="F1240" s="104"/>
      <c r="G1240" s="104"/>
      <c r="H1240" s="104"/>
      <c r="I1240" s="104"/>
      <c r="J1240" s="104"/>
      <c r="K1240" s="104"/>
      <c r="L1240" s="104"/>
      <c r="M1240" s="104"/>
      <c r="N1240" s="104"/>
      <c r="O1240" s="104"/>
      <c r="P1240" s="104"/>
      <c r="Q1240" s="104"/>
      <c r="R1240" s="104"/>
      <c r="S1240" s="104"/>
    </row>
    <row r="1241" spans="4:19">
      <c r="D1241" s="104"/>
      <c r="E1241" s="104"/>
      <c r="F1241" s="104"/>
      <c r="G1241" s="104"/>
      <c r="H1241" s="104"/>
      <c r="I1241" s="104"/>
      <c r="J1241" s="104"/>
      <c r="K1241" s="104"/>
      <c r="L1241" s="104"/>
      <c r="M1241" s="104"/>
      <c r="N1241" s="104"/>
      <c r="O1241" s="104"/>
      <c r="P1241" s="104"/>
      <c r="Q1241" s="104"/>
      <c r="R1241" s="104"/>
      <c r="S1241" s="104"/>
    </row>
    <row r="1242" spans="4:19">
      <c r="D1242" s="104"/>
      <c r="E1242" s="104"/>
      <c r="F1242" s="104"/>
      <c r="G1242" s="104"/>
      <c r="H1242" s="104"/>
      <c r="I1242" s="104"/>
      <c r="J1242" s="104"/>
      <c r="K1242" s="104"/>
      <c r="L1242" s="104"/>
      <c r="M1242" s="104"/>
      <c r="N1242" s="104"/>
      <c r="O1242" s="104"/>
      <c r="P1242" s="104"/>
      <c r="Q1242" s="104"/>
      <c r="R1242" s="104"/>
      <c r="S1242" s="104"/>
    </row>
    <row r="1243" spans="4:19">
      <c r="D1243" s="104"/>
      <c r="E1243" s="104"/>
      <c r="F1243" s="104"/>
      <c r="G1243" s="104"/>
      <c r="H1243" s="104"/>
      <c r="I1243" s="104"/>
      <c r="J1243" s="104"/>
      <c r="K1243" s="104"/>
      <c r="L1243" s="104"/>
      <c r="M1243" s="104"/>
      <c r="N1243" s="104"/>
      <c r="O1243" s="104"/>
      <c r="P1243" s="104"/>
      <c r="Q1243" s="104"/>
      <c r="R1243" s="104"/>
      <c r="S1243" s="104"/>
    </row>
    <row r="1244" spans="4:19">
      <c r="D1244" s="104"/>
      <c r="E1244" s="104"/>
      <c r="F1244" s="104"/>
      <c r="G1244" s="104"/>
      <c r="H1244" s="104"/>
      <c r="I1244" s="104"/>
      <c r="J1244" s="104"/>
      <c r="K1244" s="104"/>
      <c r="L1244" s="104"/>
      <c r="M1244" s="104"/>
      <c r="N1244" s="104"/>
      <c r="O1244" s="104"/>
      <c r="P1244" s="104"/>
      <c r="Q1244" s="104"/>
      <c r="R1244" s="104"/>
      <c r="S1244" s="104"/>
    </row>
    <row r="1245" spans="4:19">
      <c r="D1245" s="104"/>
      <c r="E1245" s="104"/>
      <c r="F1245" s="104"/>
      <c r="G1245" s="104"/>
      <c r="H1245" s="104"/>
      <c r="I1245" s="104"/>
      <c r="J1245" s="104"/>
      <c r="K1245" s="104"/>
      <c r="L1245" s="104"/>
      <c r="M1245" s="104"/>
      <c r="N1245" s="104"/>
      <c r="O1245" s="104"/>
      <c r="P1245" s="104"/>
      <c r="Q1245" s="104"/>
      <c r="R1245" s="104"/>
      <c r="S1245" s="104"/>
    </row>
    <row r="1246" spans="4:19">
      <c r="D1246" s="104"/>
      <c r="E1246" s="104"/>
      <c r="F1246" s="104"/>
      <c r="G1246" s="104"/>
      <c r="H1246" s="104"/>
      <c r="I1246" s="104"/>
      <c r="J1246" s="104"/>
      <c r="K1246" s="104"/>
      <c r="L1246" s="104"/>
      <c r="M1246" s="104"/>
      <c r="N1246" s="104"/>
      <c r="O1246" s="104"/>
      <c r="P1246" s="104"/>
      <c r="Q1246" s="104"/>
      <c r="R1246" s="104"/>
      <c r="S1246" s="104"/>
    </row>
    <row r="1247" spans="4:19">
      <c r="D1247" s="104"/>
      <c r="E1247" s="104"/>
      <c r="F1247" s="104"/>
      <c r="G1247" s="104"/>
      <c r="H1247" s="104"/>
      <c r="I1247" s="104"/>
      <c r="J1247" s="104"/>
      <c r="K1247" s="104"/>
      <c r="L1247" s="104"/>
      <c r="M1247" s="104"/>
      <c r="N1247" s="104"/>
      <c r="O1247" s="104"/>
      <c r="P1247" s="104"/>
      <c r="Q1247" s="104"/>
      <c r="R1247" s="104"/>
      <c r="S1247" s="104"/>
    </row>
    <row r="1248" spans="4:19">
      <c r="D1248" s="104"/>
      <c r="E1248" s="104"/>
      <c r="F1248" s="104"/>
      <c r="G1248" s="104"/>
      <c r="H1248" s="104"/>
      <c r="I1248" s="104"/>
      <c r="J1248" s="104"/>
      <c r="K1248" s="104"/>
      <c r="L1248" s="104"/>
      <c r="M1248" s="104"/>
      <c r="N1248" s="104"/>
      <c r="O1248" s="104"/>
      <c r="P1248" s="104"/>
      <c r="Q1248" s="104"/>
      <c r="R1248" s="104"/>
      <c r="S1248" s="104"/>
    </row>
    <row r="1249" spans="4:19">
      <c r="D1249" s="104"/>
      <c r="E1249" s="104"/>
      <c r="F1249" s="104"/>
      <c r="G1249" s="104"/>
      <c r="H1249" s="104"/>
      <c r="I1249" s="104"/>
      <c r="J1249" s="104"/>
      <c r="K1249" s="104"/>
      <c r="L1249" s="104"/>
      <c r="M1249" s="104"/>
      <c r="N1249" s="104"/>
      <c r="O1249" s="104"/>
      <c r="P1249" s="104"/>
      <c r="Q1249" s="104"/>
      <c r="R1249" s="104"/>
      <c r="S1249" s="104"/>
    </row>
    <row r="1250" spans="4:19">
      <c r="D1250" s="104"/>
      <c r="E1250" s="104"/>
      <c r="F1250" s="104"/>
      <c r="G1250" s="104"/>
      <c r="H1250" s="104"/>
      <c r="I1250" s="104"/>
      <c r="J1250" s="104"/>
      <c r="K1250" s="104"/>
      <c r="L1250" s="104"/>
      <c r="M1250" s="104"/>
      <c r="N1250" s="104"/>
      <c r="O1250" s="104"/>
      <c r="P1250" s="104"/>
      <c r="Q1250" s="104"/>
      <c r="R1250" s="104"/>
      <c r="S1250" s="104"/>
    </row>
    <row r="1251" spans="4:19">
      <c r="D1251" s="104"/>
      <c r="E1251" s="104"/>
      <c r="F1251" s="104"/>
      <c r="G1251" s="104"/>
      <c r="H1251" s="104"/>
      <c r="I1251" s="104"/>
      <c r="J1251" s="104"/>
      <c r="K1251" s="104"/>
      <c r="L1251" s="104"/>
      <c r="M1251" s="104"/>
      <c r="N1251" s="104"/>
      <c r="O1251" s="104"/>
      <c r="P1251" s="104"/>
      <c r="Q1251" s="104"/>
      <c r="R1251" s="104"/>
      <c r="S1251" s="104"/>
    </row>
    <row r="1252" spans="4:19">
      <c r="D1252" s="104"/>
      <c r="E1252" s="104"/>
      <c r="F1252" s="104"/>
      <c r="G1252" s="104"/>
      <c r="H1252" s="104"/>
      <c r="I1252" s="104"/>
      <c r="J1252" s="104"/>
      <c r="K1252" s="104"/>
      <c r="L1252" s="104"/>
      <c r="M1252" s="104"/>
      <c r="N1252" s="104"/>
      <c r="O1252" s="104"/>
      <c r="P1252" s="104"/>
      <c r="Q1252" s="104"/>
      <c r="R1252" s="104"/>
      <c r="S1252" s="104"/>
    </row>
    <row r="1253" spans="4:19">
      <c r="D1253" s="104"/>
      <c r="E1253" s="104"/>
      <c r="F1253" s="104"/>
      <c r="G1253" s="104"/>
      <c r="H1253" s="104"/>
      <c r="I1253" s="104"/>
      <c r="J1253" s="104"/>
      <c r="K1253" s="104"/>
      <c r="L1253" s="104"/>
      <c r="M1253" s="104"/>
      <c r="N1253" s="104"/>
      <c r="O1253" s="104"/>
      <c r="P1253" s="104"/>
      <c r="Q1253" s="104"/>
      <c r="R1253" s="104"/>
      <c r="S1253" s="104"/>
    </row>
    <row r="1254" spans="4:19">
      <c r="D1254" s="104"/>
      <c r="E1254" s="104"/>
      <c r="F1254" s="104"/>
      <c r="G1254" s="104"/>
      <c r="H1254" s="104"/>
      <c r="I1254" s="104"/>
      <c r="J1254" s="104"/>
      <c r="K1254" s="104"/>
      <c r="L1254" s="104"/>
      <c r="M1254" s="104"/>
      <c r="N1254" s="104"/>
      <c r="O1254" s="104"/>
      <c r="P1254" s="104"/>
      <c r="Q1254" s="104"/>
      <c r="R1254" s="104"/>
      <c r="S1254" s="104"/>
    </row>
    <row r="1255" spans="4:19">
      <c r="D1255" s="104"/>
      <c r="E1255" s="104"/>
      <c r="F1255" s="104"/>
      <c r="G1255" s="104"/>
      <c r="H1255" s="104"/>
      <c r="I1255" s="104"/>
      <c r="J1255" s="104"/>
      <c r="K1255" s="104"/>
      <c r="L1255" s="104"/>
      <c r="M1255" s="104"/>
      <c r="N1255" s="104"/>
      <c r="O1255" s="104"/>
      <c r="P1255" s="104"/>
      <c r="Q1255" s="104"/>
      <c r="R1255" s="104"/>
      <c r="S1255" s="104"/>
    </row>
    <row r="1256" spans="4:19">
      <c r="D1256" s="104"/>
      <c r="E1256" s="104"/>
      <c r="F1256" s="104"/>
      <c r="G1256" s="104"/>
      <c r="H1256" s="104"/>
      <c r="I1256" s="104"/>
      <c r="J1256" s="104"/>
      <c r="K1256" s="104"/>
      <c r="L1256" s="104"/>
      <c r="M1256" s="104"/>
      <c r="N1256" s="104"/>
      <c r="O1256" s="104"/>
      <c r="P1256" s="104"/>
      <c r="Q1256" s="104"/>
      <c r="R1256" s="104"/>
      <c r="S1256" s="104"/>
    </row>
    <row r="1257" spans="4:19">
      <c r="D1257" s="104"/>
      <c r="E1257" s="104"/>
      <c r="F1257" s="104"/>
      <c r="G1257" s="104"/>
      <c r="H1257" s="104"/>
      <c r="I1257" s="104"/>
      <c r="J1257" s="104"/>
      <c r="K1257" s="104"/>
      <c r="L1257" s="104"/>
      <c r="M1257" s="104"/>
      <c r="N1257" s="104"/>
      <c r="O1257" s="104"/>
      <c r="P1257" s="104"/>
      <c r="Q1257" s="104"/>
      <c r="R1257" s="104"/>
      <c r="S1257" s="104"/>
    </row>
    <row r="1258" spans="4:19">
      <c r="D1258" s="104"/>
      <c r="E1258" s="104"/>
      <c r="F1258" s="104"/>
      <c r="G1258" s="104"/>
      <c r="H1258" s="104"/>
      <c r="I1258" s="104"/>
      <c r="J1258" s="104"/>
      <c r="K1258" s="104"/>
      <c r="L1258" s="104"/>
      <c r="M1258" s="104"/>
      <c r="N1258" s="104"/>
      <c r="O1258" s="104"/>
      <c r="P1258" s="104"/>
      <c r="Q1258" s="104"/>
      <c r="R1258" s="104"/>
      <c r="S1258" s="104"/>
    </row>
    <row r="1259" spans="4:19">
      <c r="D1259" s="104"/>
      <c r="E1259" s="104"/>
      <c r="F1259" s="104"/>
      <c r="G1259" s="104"/>
      <c r="H1259" s="104"/>
      <c r="I1259" s="104"/>
      <c r="J1259" s="104"/>
      <c r="K1259" s="104"/>
      <c r="L1259" s="104"/>
      <c r="M1259" s="104"/>
      <c r="N1259" s="104"/>
      <c r="O1259" s="104"/>
      <c r="P1259" s="104"/>
      <c r="Q1259" s="104"/>
      <c r="R1259" s="104"/>
      <c r="S1259" s="104"/>
    </row>
    <row r="1260" spans="4:19">
      <c r="D1260" s="104"/>
      <c r="E1260" s="104"/>
      <c r="F1260" s="104"/>
      <c r="G1260" s="104"/>
      <c r="H1260" s="104"/>
      <c r="I1260" s="104"/>
      <c r="J1260" s="104"/>
      <c r="K1260" s="104"/>
      <c r="L1260" s="104"/>
      <c r="M1260" s="104"/>
      <c r="N1260" s="104"/>
      <c r="O1260" s="104"/>
      <c r="P1260" s="104"/>
      <c r="Q1260" s="104"/>
      <c r="R1260" s="104"/>
      <c r="S1260" s="104"/>
    </row>
    <row r="1261" spans="4:19">
      <c r="D1261" s="104"/>
      <c r="E1261" s="104"/>
      <c r="F1261" s="104"/>
      <c r="G1261" s="104"/>
      <c r="H1261" s="104"/>
      <c r="I1261" s="104"/>
      <c r="J1261" s="104"/>
      <c r="K1261" s="104"/>
      <c r="L1261" s="104"/>
      <c r="M1261" s="104"/>
      <c r="N1261" s="104"/>
      <c r="O1261" s="104"/>
      <c r="P1261" s="104"/>
      <c r="Q1261" s="104"/>
      <c r="R1261" s="104"/>
      <c r="S1261" s="104"/>
    </row>
    <row r="1262" spans="4:19">
      <c r="D1262" s="104"/>
      <c r="E1262" s="104"/>
      <c r="F1262" s="104"/>
      <c r="G1262" s="104"/>
      <c r="H1262" s="104"/>
      <c r="I1262" s="104"/>
      <c r="J1262" s="104"/>
      <c r="K1262" s="104"/>
      <c r="L1262" s="104"/>
      <c r="M1262" s="104"/>
      <c r="N1262" s="104"/>
      <c r="O1262" s="104"/>
      <c r="P1262" s="104"/>
      <c r="Q1262" s="104"/>
      <c r="R1262" s="104"/>
      <c r="S1262" s="104"/>
    </row>
    <row r="1263" spans="4:19">
      <c r="D1263" s="104"/>
      <c r="E1263" s="104"/>
      <c r="F1263" s="104"/>
      <c r="G1263" s="104"/>
      <c r="H1263" s="104"/>
      <c r="I1263" s="104"/>
      <c r="J1263" s="104"/>
      <c r="K1263" s="104"/>
      <c r="L1263" s="104"/>
      <c r="M1263" s="104"/>
      <c r="N1263" s="104"/>
      <c r="O1263" s="104"/>
      <c r="P1263" s="104"/>
      <c r="Q1263" s="104"/>
      <c r="R1263" s="104"/>
      <c r="S1263" s="104"/>
    </row>
    <row r="1264" spans="4:19">
      <c r="D1264" s="104"/>
      <c r="E1264" s="104"/>
      <c r="F1264" s="104"/>
      <c r="G1264" s="104"/>
      <c r="H1264" s="104"/>
      <c r="I1264" s="104"/>
      <c r="J1264" s="104"/>
      <c r="K1264" s="104"/>
      <c r="L1264" s="104"/>
      <c r="M1264" s="104"/>
      <c r="N1264" s="104"/>
      <c r="O1264" s="104"/>
      <c r="P1264" s="104"/>
      <c r="Q1264" s="104"/>
      <c r="R1264" s="104"/>
      <c r="S1264" s="104"/>
    </row>
    <row r="1265" spans="4:19">
      <c r="D1265" s="104"/>
      <c r="E1265" s="104"/>
      <c r="F1265" s="104"/>
      <c r="G1265" s="104"/>
      <c r="H1265" s="104"/>
      <c r="I1265" s="104"/>
      <c r="J1265" s="104"/>
      <c r="K1265" s="104"/>
      <c r="L1265" s="104"/>
      <c r="M1265" s="104"/>
      <c r="N1265" s="104"/>
      <c r="O1265" s="104"/>
      <c r="P1265" s="104"/>
      <c r="Q1265" s="104"/>
      <c r="R1265" s="104"/>
      <c r="S1265" s="104"/>
    </row>
    <row r="1266" spans="4:19">
      <c r="D1266" s="104"/>
      <c r="E1266" s="104"/>
      <c r="F1266" s="104"/>
      <c r="G1266" s="104"/>
      <c r="H1266" s="104"/>
      <c r="I1266" s="104"/>
      <c r="J1266" s="104"/>
      <c r="K1266" s="104"/>
      <c r="L1266" s="104"/>
      <c r="M1266" s="104"/>
      <c r="N1266" s="104"/>
      <c r="O1266" s="104"/>
      <c r="P1266" s="104"/>
      <c r="Q1266" s="104"/>
      <c r="R1266" s="104"/>
      <c r="S1266" s="104"/>
    </row>
    <row r="1267" spans="4:19">
      <c r="D1267" s="104"/>
      <c r="E1267" s="104"/>
      <c r="F1267" s="104"/>
      <c r="G1267" s="104"/>
      <c r="H1267" s="104"/>
      <c r="I1267" s="104"/>
      <c r="J1267" s="104"/>
      <c r="K1267" s="104"/>
      <c r="L1267" s="104"/>
      <c r="M1267" s="104"/>
      <c r="N1267" s="104"/>
      <c r="O1267" s="104"/>
      <c r="P1267" s="104"/>
      <c r="Q1267" s="104"/>
      <c r="R1267" s="104"/>
      <c r="S1267" s="104"/>
    </row>
    <row r="1268" spans="4:19">
      <c r="D1268" s="104"/>
      <c r="E1268" s="104"/>
      <c r="F1268" s="104"/>
      <c r="G1268" s="104"/>
      <c r="H1268" s="104"/>
      <c r="I1268" s="104"/>
      <c r="J1268" s="104"/>
      <c r="K1268" s="104"/>
      <c r="L1268" s="104"/>
      <c r="M1268" s="104"/>
      <c r="N1268" s="104"/>
      <c r="O1268" s="104"/>
      <c r="P1268" s="104"/>
      <c r="Q1268" s="104"/>
      <c r="R1268" s="104"/>
      <c r="S1268" s="104"/>
    </row>
    <row r="1269" spans="4:19">
      <c r="D1269" s="104"/>
      <c r="E1269" s="104"/>
      <c r="F1269" s="104"/>
      <c r="G1269" s="104"/>
      <c r="H1269" s="104"/>
      <c r="I1269" s="104"/>
      <c r="J1269" s="104"/>
      <c r="K1269" s="104"/>
      <c r="L1269" s="104"/>
      <c r="M1269" s="104"/>
      <c r="N1269" s="104"/>
      <c r="O1269" s="104"/>
      <c r="P1269" s="104"/>
      <c r="Q1269" s="104"/>
      <c r="R1269" s="104"/>
      <c r="S1269" s="104"/>
    </row>
    <row r="1270" spans="4:19">
      <c r="D1270" s="104"/>
      <c r="E1270" s="104"/>
      <c r="F1270" s="104"/>
      <c r="G1270" s="104"/>
      <c r="H1270" s="104"/>
      <c r="I1270" s="104"/>
      <c r="J1270" s="104"/>
      <c r="K1270" s="104"/>
      <c r="L1270" s="104"/>
      <c r="M1270" s="104"/>
      <c r="N1270" s="104"/>
      <c r="O1270" s="104"/>
      <c r="P1270" s="104"/>
      <c r="Q1270" s="104"/>
      <c r="R1270" s="104"/>
      <c r="S1270" s="104"/>
    </row>
    <row r="1271" spans="4:19">
      <c r="D1271" s="104"/>
      <c r="E1271" s="104"/>
      <c r="F1271" s="104"/>
      <c r="G1271" s="104"/>
      <c r="H1271" s="104"/>
      <c r="I1271" s="104"/>
      <c r="J1271" s="104"/>
      <c r="K1271" s="104"/>
      <c r="L1271" s="104"/>
      <c r="M1271" s="104"/>
      <c r="N1271" s="104"/>
      <c r="O1271" s="104"/>
      <c r="P1271" s="104"/>
      <c r="Q1271" s="104"/>
      <c r="R1271" s="104"/>
      <c r="S1271" s="104"/>
    </row>
    <row r="1272" spans="4:19">
      <c r="D1272" s="104"/>
      <c r="E1272" s="104"/>
      <c r="F1272" s="104"/>
      <c r="G1272" s="104"/>
      <c r="H1272" s="104"/>
      <c r="I1272" s="104"/>
      <c r="J1272" s="104"/>
      <c r="K1272" s="104"/>
      <c r="L1272" s="104"/>
      <c r="M1272" s="104"/>
      <c r="N1272" s="104"/>
      <c r="O1272" s="104"/>
      <c r="P1272" s="104"/>
      <c r="Q1272" s="104"/>
      <c r="R1272" s="104"/>
      <c r="S1272" s="104"/>
    </row>
    <row r="1273" spans="4:19">
      <c r="D1273" s="104"/>
      <c r="E1273" s="104"/>
      <c r="F1273" s="104"/>
      <c r="G1273" s="104"/>
      <c r="H1273" s="104"/>
      <c r="I1273" s="104"/>
      <c r="J1273" s="104"/>
      <c r="K1273" s="104"/>
      <c r="L1273" s="104"/>
      <c r="M1273" s="104"/>
      <c r="N1273" s="104"/>
      <c r="O1273" s="104"/>
      <c r="P1273" s="104"/>
      <c r="Q1273" s="104"/>
      <c r="R1273" s="104"/>
      <c r="S1273" s="104"/>
    </row>
    <row r="1274" spans="4:19">
      <c r="D1274" s="104"/>
      <c r="E1274" s="104"/>
      <c r="F1274" s="104"/>
      <c r="G1274" s="104"/>
      <c r="H1274" s="104"/>
      <c r="I1274" s="104"/>
      <c r="J1274" s="104"/>
      <c r="K1274" s="104"/>
      <c r="L1274" s="104"/>
      <c r="M1274" s="104"/>
      <c r="N1274" s="104"/>
      <c r="O1274" s="104"/>
      <c r="P1274" s="104"/>
      <c r="Q1274" s="104"/>
      <c r="R1274" s="104"/>
      <c r="S1274" s="104"/>
    </row>
    <row r="1275" spans="4:19">
      <c r="D1275" s="104"/>
      <c r="E1275" s="104"/>
      <c r="F1275" s="104"/>
      <c r="G1275" s="104"/>
      <c r="H1275" s="104"/>
      <c r="I1275" s="104"/>
      <c r="J1275" s="104"/>
      <c r="K1275" s="104"/>
      <c r="L1275" s="104"/>
      <c r="M1275" s="104"/>
      <c r="N1275" s="104"/>
      <c r="O1275" s="104"/>
      <c r="P1275" s="104"/>
      <c r="Q1275" s="104"/>
      <c r="R1275" s="104"/>
      <c r="S1275" s="104"/>
    </row>
    <row r="1276" spans="4:19">
      <c r="D1276" s="104"/>
      <c r="E1276" s="104"/>
      <c r="F1276" s="104"/>
      <c r="G1276" s="104"/>
      <c r="H1276" s="104"/>
      <c r="I1276" s="104"/>
      <c r="J1276" s="104"/>
      <c r="K1276" s="104"/>
      <c r="L1276" s="104"/>
      <c r="M1276" s="104"/>
      <c r="N1276" s="104"/>
      <c r="O1276" s="104"/>
      <c r="P1276" s="104"/>
      <c r="Q1276" s="104"/>
      <c r="R1276" s="104"/>
      <c r="S1276" s="104"/>
    </row>
    <row r="1277" spans="4:19">
      <c r="D1277" s="104"/>
      <c r="E1277" s="104"/>
      <c r="F1277" s="104"/>
      <c r="G1277" s="104"/>
      <c r="H1277" s="104"/>
      <c r="I1277" s="104"/>
      <c r="J1277" s="104"/>
      <c r="K1277" s="104"/>
      <c r="L1277" s="104"/>
      <c r="M1277" s="104"/>
      <c r="N1277" s="104"/>
      <c r="O1277" s="104"/>
      <c r="P1277" s="104"/>
      <c r="Q1277" s="104"/>
      <c r="R1277" s="104"/>
      <c r="S1277" s="104"/>
    </row>
    <row r="1278" spans="4:19">
      <c r="D1278" s="104"/>
      <c r="E1278" s="104"/>
      <c r="F1278" s="104"/>
      <c r="G1278" s="104"/>
      <c r="H1278" s="104"/>
      <c r="I1278" s="104"/>
      <c r="J1278" s="104"/>
      <c r="K1278" s="104"/>
      <c r="L1278" s="104"/>
      <c r="M1278" s="104"/>
      <c r="N1278" s="104"/>
      <c r="O1278" s="104"/>
      <c r="P1278" s="104"/>
      <c r="Q1278" s="104"/>
      <c r="R1278" s="104"/>
      <c r="S1278" s="104"/>
    </row>
    <row r="1279" spans="4:19">
      <c r="D1279" s="104"/>
      <c r="E1279" s="104"/>
      <c r="F1279" s="104"/>
      <c r="G1279" s="104"/>
      <c r="H1279" s="104"/>
      <c r="I1279" s="104"/>
      <c r="J1279" s="104"/>
      <c r="K1279" s="104"/>
      <c r="L1279" s="104"/>
      <c r="M1279" s="104"/>
      <c r="N1279" s="104"/>
      <c r="O1279" s="104"/>
      <c r="P1279" s="104"/>
      <c r="Q1279" s="104"/>
      <c r="R1279" s="104"/>
      <c r="S1279" s="104"/>
    </row>
    <row r="1280" spans="4:19">
      <c r="D1280" s="104"/>
      <c r="E1280" s="104"/>
      <c r="F1280" s="104"/>
      <c r="G1280" s="104"/>
      <c r="H1280" s="104"/>
      <c r="I1280" s="104"/>
      <c r="J1280" s="104"/>
      <c r="K1280" s="104"/>
      <c r="L1280" s="104"/>
      <c r="M1280" s="104"/>
      <c r="N1280" s="104"/>
      <c r="O1280" s="104"/>
      <c r="P1280" s="104"/>
      <c r="Q1280" s="104"/>
      <c r="R1280" s="104"/>
      <c r="S1280" s="104"/>
    </row>
    <row r="1281" spans="4:19">
      <c r="D1281" s="104"/>
      <c r="E1281" s="104"/>
      <c r="F1281" s="104"/>
      <c r="G1281" s="104"/>
      <c r="H1281" s="104"/>
      <c r="I1281" s="104"/>
      <c r="J1281" s="104"/>
      <c r="K1281" s="104"/>
      <c r="L1281" s="104"/>
      <c r="M1281" s="104"/>
      <c r="N1281" s="104"/>
      <c r="O1281" s="104"/>
      <c r="P1281" s="104"/>
      <c r="Q1281" s="104"/>
      <c r="R1281" s="104"/>
      <c r="S1281" s="104"/>
    </row>
    <row r="1282" spans="4:19">
      <c r="D1282" s="104"/>
      <c r="E1282" s="104"/>
      <c r="F1282" s="104"/>
      <c r="G1282" s="104"/>
      <c r="H1282" s="104"/>
      <c r="I1282" s="104"/>
      <c r="J1282" s="104"/>
      <c r="K1282" s="104"/>
      <c r="L1282" s="104"/>
      <c r="M1282" s="104"/>
      <c r="N1282" s="104"/>
      <c r="O1282" s="104"/>
      <c r="P1282" s="104"/>
      <c r="Q1282" s="104"/>
      <c r="R1282" s="104"/>
      <c r="S1282" s="104"/>
    </row>
    <row r="1283" spans="4:19">
      <c r="D1283" s="104"/>
      <c r="E1283" s="104"/>
      <c r="F1283" s="104"/>
      <c r="G1283" s="104"/>
      <c r="H1283" s="104"/>
      <c r="I1283" s="104"/>
      <c r="J1283" s="104"/>
      <c r="K1283" s="104"/>
      <c r="L1283" s="104"/>
      <c r="M1283" s="104"/>
      <c r="N1283" s="104"/>
      <c r="O1283" s="104"/>
      <c r="P1283" s="104"/>
      <c r="Q1283" s="104"/>
      <c r="R1283" s="104"/>
      <c r="S1283" s="104"/>
    </row>
    <row r="1284" spans="4:19">
      <c r="D1284" s="104"/>
      <c r="E1284" s="104"/>
      <c r="F1284" s="104"/>
      <c r="G1284" s="104"/>
      <c r="H1284" s="104"/>
      <c r="I1284" s="104"/>
      <c r="J1284" s="104"/>
      <c r="K1284" s="104"/>
      <c r="L1284" s="104"/>
      <c r="M1284" s="104"/>
      <c r="N1284" s="104"/>
      <c r="O1284" s="104"/>
      <c r="P1284" s="104"/>
      <c r="Q1284" s="104"/>
      <c r="R1284" s="104"/>
      <c r="S1284" s="104"/>
    </row>
    <row r="1285" spans="4:19">
      <c r="D1285" s="104"/>
      <c r="E1285" s="104"/>
      <c r="F1285" s="104"/>
      <c r="G1285" s="104"/>
      <c r="H1285" s="104"/>
      <c r="I1285" s="104"/>
      <c r="J1285" s="104"/>
      <c r="K1285" s="104"/>
      <c r="L1285" s="104"/>
      <c r="M1285" s="104"/>
      <c r="N1285" s="104"/>
      <c r="O1285" s="104"/>
      <c r="P1285" s="104"/>
      <c r="Q1285" s="104"/>
      <c r="R1285" s="104"/>
      <c r="S1285" s="104"/>
    </row>
    <row r="1286" spans="4:19">
      <c r="D1286" s="104"/>
      <c r="E1286" s="104"/>
      <c r="F1286" s="104"/>
      <c r="G1286" s="104"/>
      <c r="H1286" s="104"/>
      <c r="I1286" s="104"/>
      <c r="J1286" s="104"/>
      <c r="K1286" s="104"/>
      <c r="L1286" s="104"/>
      <c r="M1286" s="104"/>
      <c r="N1286" s="104"/>
      <c r="O1286" s="104"/>
      <c r="P1286" s="104"/>
      <c r="Q1286" s="104"/>
      <c r="R1286" s="104"/>
      <c r="S1286" s="104"/>
    </row>
    <row r="1287" spans="4:19">
      <c r="D1287" s="104"/>
      <c r="E1287" s="104"/>
      <c r="F1287" s="104"/>
      <c r="G1287" s="104"/>
      <c r="H1287" s="104"/>
      <c r="I1287" s="104"/>
      <c r="J1287" s="104"/>
      <c r="K1287" s="104"/>
      <c r="L1287" s="104"/>
      <c r="M1287" s="104"/>
      <c r="N1287" s="104"/>
      <c r="O1287" s="104"/>
      <c r="P1287" s="104"/>
      <c r="Q1287" s="104"/>
      <c r="R1287" s="104"/>
      <c r="S1287" s="104"/>
    </row>
    <row r="1288" spans="4:19">
      <c r="D1288" s="104"/>
      <c r="E1288" s="104"/>
      <c r="F1288" s="104"/>
      <c r="G1288" s="104"/>
      <c r="H1288" s="104"/>
      <c r="I1288" s="104"/>
      <c r="J1288" s="104"/>
      <c r="K1288" s="104"/>
      <c r="L1288" s="104"/>
      <c r="M1288" s="104"/>
      <c r="N1288" s="104"/>
      <c r="O1288" s="104"/>
      <c r="P1288" s="104"/>
      <c r="Q1288" s="104"/>
      <c r="R1288" s="104"/>
      <c r="S1288" s="104"/>
    </row>
    <row r="1289" spans="4:19">
      <c r="D1289" s="104"/>
      <c r="E1289" s="104"/>
      <c r="F1289" s="104"/>
      <c r="G1289" s="104"/>
      <c r="H1289" s="104"/>
      <c r="I1289" s="104"/>
      <c r="J1289" s="104"/>
      <c r="K1289" s="104"/>
      <c r="L1289" s="104"/>
      <c r="M1289" s="104"/>
      <c r="N1289" s="104"/>
      <c r="O1289" s="104"/>
      <c r="P1289" s="104"/>
      <c r="Q1289" s="104"/>
      <c r="R1289" s="104"/>
      <c r="S1289" s="104"/>
    </row>
    <row r="1290" spans="4:19">
      <c r="D1290" s="104"/>
      <c r="E1290" s="104"/>
      <c r="F1290" s="104"/>
      <c r="G1290" s="104"/>
      <c r="H1290" s="104"/>
      <c r="I1290" s="104"/>
      <c r="J1290" s="104"/>
      <c r="K1290" s="104"/>
      <c r="L1290" s="104"/>
      <c r="M1290" s="104"/>
      <c r="N1290" s="104"/>
      <c r="O1290" s="104"/>
      <c r="P1290" s="104"/>
      <c r="Q1290" s="104"/>
      <c r="R1290" s="104"/>
      <c r="S1290" s="104"/>
    </row>
    <row r="1291" spans="4:19">
      <c r="D1291" s="104"/>
      <c r="E1291" s="104"/>
      <c r="F1291" s="104"/>
      <c r="G1291" s="104"/>
      <c r="H1291" s="104"/>
      <c r="I1291" s="104"/>
      <c r="J1291" s="104"/>
      <c r="K1291" s="104"/>
      <c r="L1291" s="104"/>
      <c r="M1291" s="104"/>
      <c r="N1291" s="104"/>
      <c r="O1291" s="104"/>
      <c r="P1291" s="104"/>
      <c r="Q1291" s="104"/>
      <c r="R1291" s="104"/>
      <c r="S1291" s="104"/>
    </row>
    <row r="1292" spans="4:19">
      <c r="D1292" s="104"/>
      <c r="E1292" s="104"/>
      <c r="F1292" s="104"/>
      <c r="G1292" s="104"/>
      <c r="H1292" s="104"/>
      <c r="I1292" s="104"/>
      <c r="J1292" s="104"/>
      <c r="K1292" s="104"/>
      <c r="L1292" s="104"/>
      <c r="M1292" s="104"/>
      <c r="N1292" s="104"/>
      <c r="O1292" s="104"/>
      <c r="P1292" s="104"/>
      <c r="Q1292" s="104"/>
      <c r="R1292" s="104"/>
      <c r="S1292" s="104"/>
    </row>
    <row r="1293" spans="4:19">
      <c r="D1293" s="104"/>
      <c r="E1293" s="104"/>
      <c r="F1293" s="104"/>
      <c r="G1293" s="104"/>
      <c r="H1293" s="104"/>
      <c r="I1293" s="104"/>
      <c r="J1293" s="104"/>
      <c r="K1293" s="104"/>
      <c r="L1293" s="104"/>
      <c r="M1293" s="104"/>
      <c r="N1293" s="104"/>
      <c r="O1293" s="104"/>
      <c r="P1293" s="104"/>
      <c r="Q1293" s="104"/>
      <c r="R1293" s="104"/>
      <c r="S1293" s="104"/>
    </row>
    <row r="1294" spans="4:19">
      <c r="D1294" s="104"/>
      <c r="E1294" s="104"/>
      <c r="F1294" s="104"/>
      <c r="G1294" s="104"/>
      <c r="H1294" s="104"/>
      <c r="I1294" s="104"/>
      <c r="J1294" s="104"/>
      <c r="K1294" s="104"/>
      <c r="L1294" s="104"/>
      <c r="M1294" s="104"/>
      <c r="N1294" s="104"/>
      <c r="O1294" s="104"/>
      <c r="P1294" s="104"/>
      <c r="Q1294" s="104"/>
      <c r="R1294" s="104"/>
      <c r="S1294" s="104"/>
    </row>
    <row r="1295" spans="4:19">
      <c r="D1295" s="104"/>
      <c r="E1295" s="104"/>
      <c r="F1295" s="104"/>
      <c r="G1295" s="104"/>
      <c r="H1295" s="104"/>
      <c r="I1295" s="104"/>
      <c r="J1295" s="104"/>
      <c r="K1295" s="104"/>
      <c r="L1295" s="104"/>
      <c r="M1295" s="104"/>
      <c r="N1295" s="104"/>
      <c r="O1295" s="104"/>
      <c r="P1295" s="104"/>
      <c r="Q1295" s="104"/>
      <c r="R1295" s="104"/>
      <c r="S1295" s="104"/>
    </row>
    <row r="1296" spans="4:19">
      <c r="D1296" s="104"/>
      <c r="E1296" s="104"/>
      <c r="F1296" s="104"/>
      <c r="G1296" s="104"/>
      <c r="H1296" s="104"/>
      <c r="I1296" s="104"/>
      <c r="J1296" s="104"/>
      <c r="K1296" s="104"/>
      <c r="L1296" s="104"/>
      <c r="M1296" s="104"/>
      <c r="N1296" s="104"/>
      <c r="O1296" s="104"/>
      <c r="P1296" s="104"/>
      <c r="Q1296" s="104"/>
      <c r="R1296" s="104"/>
      <c r="S1296" s="104"/>
    </row>
    <row r="1297" spans="4:19">
      <c r="D1297" s="104"/>
      <c r="E1297" s="104"/>
      <c r="F1297" s="104"/>
      <c r="G1297" s="104"/>
      <c r="H1297" s="104"/>
      <c r="I1297" s="104"/>
      <c r="J1297" s="104"/>
      <c r="K1297" s="104"/>
      <c r="L1297" s="104"/>
      <c r="M1297" s="104"/>
      <c r="N1297" s="104"/>
      <c r="O1297" s="104"/>
      <c r="P1297" s="104"/>
      <c r="Q1297" s="104"/>
      <c r="R1297" s="104"/>
      <c r="S1297" s="104"/>
    </row>
    <row r="1298" spans="4:19">
      <c r="D1298" s="104"/>
      <c r="E1298" s="104"/>
      <c r="F1298" s="104"/>
      <c r="G1298" s="104"/>
      <c r="H1298" s="104"/>
      <c r="I1298" s="104"/>
      <c r="J1298" s="104"/>
      <c r="K1298" s="104"/>
      <c r="L1298" s="104"/>
      <c r="M1298" s="104"/>
      <c r="N1298" s="104"/>
      <c r="O1298" s="104"/>
      <c r="P1298" s="104"/>
      <c r="Q1298" s="104"/>
      <c r="R1298" s="104"/>
      <c r="S1298" s="104"/>
    </row>
    <row r="1299" spans="4:19">
      <c r="D1299" s="104"/>
      <c r="E1299" s="104"/>
      <c r="F1299" s="104"/>
      <c r="G1299" s="104"/>
      <c r="H1299" s="104"/>
      <c r="I1299" s="104"/>
      <c r="J1299" s="104"/>
      <c r="K1299" s="104"/>
      <c r="L1299" s="104"/>
      <c r="M1299" s="104"/>
      <c r="N1299" s="104"/>
      <c r="O1299" s="104"/>
      <c r="P1299" s="104"/>
      <c r="Q1299" s="104"/>
      <c r="R1299" s="104"/>
      <c r="S1299" s="104"/>
    </row>
    <row r="1300" spans="4:19">
      <c r="D1300" s="104"/>
      <c r="E1300" s="104"/>
      <c r="F1300" s="104"/>
      <c r="G1300" s="104"/>
      <c r="H1300" s="104"/>
      <c r="I1300" s="104"/>
      <c r="J1300" s="104"/>
      <c r="K1300" s="104"/>
      <c r="L1300" s="104"/>
      <c r="M1300" s="104"/>
      <c r="N1300" s="104"/>
      <c r="O1300" s="104"/>
      <c r="P1300" s="104"/>
      <c r="Q1300" s="104"/>
      <c r="R1300" s="104"/>
      <c r="S1300" s="104"/>
    </row>
    <row r="1301" spans="4:19">
      <c r="D1301" s="104"/>
      <c r="E1301" s="104"/>
      <c r="F1301" s="104"/>
      <c r="G1301" s="104"/>
      <c r="H1301" s="104"/>
      <c r="I1301" s="104"/>
      <c r="J1301" s="104"/>
      <c r="K1301" s="104"/>
      <c r="L1301" s="104"/>
      <c r="M1301" s="104"/>
      <c r="N1301" s="104"/>
      <c r="O1301" s="104"/>
      <c r="P1301" s="104"/>
      <c r="Q1301" s="104"/>
      <c r="R1301" s="104"/>
      <c r="S1301" s="104"/>
    </row>
    <row r="1302" spans="4:19">
      <c r="D1302" s="104"/>
      <c r="E1302" s="104"/>
      <c r="F1302" s="104"/>
      <c r="G1302" s="104"/>
      <c r="H1302" s="104"/>
      <c r="I1302" s="104"/>
      <c r="J1302" s="104"/>
      <c r="K1302" s="104"/>
      <c r="L1302" s="104"/>
      <c r="M1302" s="104"/>
      <c r="N1302" s="104"/>
      <c r="O1302" s="104"/>
      <c r="P1302" s="104"/>
      <c r="Q1302" s="104"/>
      <c r="R1302" s="104"/>
      <c r="S1302" s="104"/>
    </row>
    <row r="1303" spans="4:19">
      <c r="D1303" s="104"/>
      <c r="E1303" s="104"/>
      <c r="F1303" s="104"/>
      <c r="G1303" s="104"/>
      <c r="H1303" s="104"/>
      <c r="I1303" s="104"/>
      <c r="J1303" s="104"/>
      <c r="K1303" s="104"/>
      <c r="L1303" s="104"/>
      <c r="M1303" s="104"/>
      <c r="N1303" s="104"/>
      <c r="O1303" s="104"/>
      <c r="P1303" s="104"/>
      <c r="Q1303" s="104"/>
      <c r="R1303" s="104"/>
      <c r="S1303" s="104"/>
    </row>
    <row r="1304" spans="4:19">
      <c r="D1304" s="104"/>
      <c r="E1304" s="104"/>
      <c r="F1304" s="104"/>
      <c r="G1304" s="104"/>
      <c r="H1304" s="104"/>
      <c r="I1304" s="104"/>
      <c r="J1304" s="104"/>
      <c r="K1304" s="104"/>
      <c r="L1304" s="104"/>
      <c r="M1304" s="104"/>
      <c r="N1304" s="104"/>
      <c r="O1304" s="104"/>
      <c r="P1304" s="104"/>
      <c r="Q1304" s="104"/>
      <c r="R1304" s="104"/>
      <c r="S1304" s="104"/>
    </row>
    <row r="1305" spans="4:19">
      <c r="D1305" s="104"/>
      <c r="E1305" s="104"/>
      <c r="F1305" s="104"/>
      <c r="G1305" s="104"/>
      <c r="H1305" s="104"/>
      <c r="I1305" s="104"/>
      <c r="J1305" s="104"/>
      <c r="K1305" s="104"/>
      <c r="L1305" s="104"/>
      <c r="M1305" s="104"/>
      <c r="N1305" s="104"/>
      <c r="O1305" s="104"/>
      <c r="P1305" s="104"/>
      <c r="Q1305" s="104"/>
      <c r="R1305" s="104"/>
      <c r="S1305" s="104"/>
    </row>
    <row r="1306" spans="4:19">
      <c r="D1306" s="104"/>
      <c r="E1306" s="104"/>
      <c r="F1306" s="104"/>
      <c r="G1306" s="104"/>
      <c r="H1306" s="104"/>
      <c r="I1306" s="104"/>
      <c r="J1306" s="104"/>
      <c r="K1306" s="104"/>
      <c r="L1306" s="104"/>
      <c r="M1306" s="104"/>
      <c r="N1306" s="104"/>
      <c r="O1306" s="104"/>
      <c r="P1306" s="104"/>
      <c r="Q1306" s="104"/>
      <c r="R1306" s="104"/>
      <c r="S1306" s="104"/>
    </row>
    <row r="1307" spans="4:19">
      <c r="D1307" s="104"/>
      <c r="E1307" s="104"/>
      <c r="F1307" s="104"/>
      <c r="G1307" s="104"/>
      <c r="H1307" s="104"/>
      <c r="I1307" s="104"/>
      <c r="J1307" s="104"/>
      <c r="K1307" s="104"/>
      <c r="L1307" s="104"/>
      <c r="M1307" s="104"/>
      <c r="N1307" s="104"/>
      <c r="O1307" s="104"/>
      <c r="P1307" s="104"/>
      <c r="Q1307" s="104"/>
      <c r="R1307" s="104"/>
      <c r="S1307" s="104"/>
    </row>
    <row r="1308" spans="4:19">
      <c r="D1308" s="104"/>
      <c r="E1308" s="104"/>
      <c r="F1308" s="104"/>
      <c r="G1308" s="104"/>
      <c r="H1308" s="104"/>
      <c r="I1308" s="104"/>
      <c r="J1308" s="104"/>
      <c r="K1308" s="104"/>
      <c r="L1308" s="104"/>
      <c r="M1308" s="104"/>
      <c r="N1308" s="104"/>
      <c r="O1308" s="104"/>
      <c r="P1308" s="104"/>
      <c r="Q1308" s="104"/>
      <c r="R1308" s="104"/>
      <c r="S1308" s="104"/>
    </row>
    <row r="1309" spans="4:19">
      <c r="D1309" s="104"/>
      <c r="E1309" s="104"/>
      <c r="F1309" s="104"/>
      <c r="G1309" s="104"/>
      <c r="H1309" s="104"/>
      <c r="I1309" s="104"/>
      <c r="J1309" s="104"/>
      <c r="K1309" s="104"/>
      <c r="L1309" s="104"/>
      <c r="M1309" s="104"/>
      <c r="N1309" s="104"/>
      <c r="O1309" s="104"/>
      <c r="P1309" s="104"/>
      <c r="Q1309" s="104"/>
      <c r="R1309" s="104"/>
      <c r="S1309" s="104"/>
    </row>
    <row r="1310" spans="4:19">
      <c r="D1310" s="104"/>
      <c r="E1310" s="104"/>
      <c r="F1310" s="104"/>
      <c r="G1310" s="104"/>
      <c r="H1310" s="104"/>
      <c r="I1310" s="104"/>
      <c r="J1310" s="104"/>
      <c r="K1310" s="104"/>
      <c r="L1310" s="104"/>
      <c r="M1310" s="104"/>
      <c r="N1310" s="104"/>
      <c r="O1310" s="104"/>
      <c r="P1310" s="104"/>
      <c r="Q1310" s="104"/>
      <c r="R1310" s="104"/>
      <c r="S1310" s="104"/>
    </row>
    <row r="1311" spans="4:19">
      <c r="D1311" s="104"/>
      <c r="E1311" s="104"/>
      <c r="F1311" s="104"/>
      <c r="G1311" s="104"/>
      <c r="H1311" s="104"/>
      <c r="I1311" s="104"/>
      <c r="J1311" s="104"/>
      <c r="K1311" s="104"/>
      <c r="L1311" s="104"/>
      <c r="M1311" s="104"/>
      <c r="N1311" s="104"/>
      <c r="O1311" s="104"/>
      <c r="P1311" s="104"/>
      <c r="Q1311" s="104"/>
      <c r="R1311" s="104"/>
      <c r="S1311" s="104"/>
    </row>
    <row r="1312" spans="4:19">
      <c r="D1312" s="104"/>
      <c r="E1312" s="104"/>
      <c r="F1312" s="104"/>
      <c r="G1312" s="104"/>
      <c r="H1312" s="104"/>
      <c r="I1312" s="104"/>
      <c r="J1312" s="104"/>
      <c r="K1312" s="104"/>
      <c r="L1312" s="104"/>
      <c r="M1312" s="104"/>
      <c r="N1312" s="104"/>
      <c r="O1312" s="104"/>
      <c r="P1312" s="104"/>
      <c r="Q1312" s="104"/>
      <c r="R1312" s="104"/>
      <c r="S1312" s="104"/>
    </row>
    <row r="1313" spans="4:19">
      <c r="D1313" s="104"/>
      <c r="E1313" s="104"/>
      <c r="F1313" s="104"/>
      <c r="G1313" s="104"/>
      <c r="H1313" s="104"/>
      <c r="I1313" s="104"/>
      <c r="J1313" s="104"/>
      <c r="K1313" s="104"/>
      <c r="L1313" s="104"/>
      <c r="M1313" s="104"/>
      <c r="N1313" s="104"/>
      <c r="O1313" s="104"/>
      <c r="P1313" s="104"/>
      <c r="Q1313" s="104"/>
      <c r="R1313" s="104"/>
      <c r="S1313" s="104"/>
    </row>
    <row r="1314" spans="4:19">
      <c r="D1314" s="104"/>
      <c r="E1314" s="104"/>
      <c r="F1314" s="104"/>
      <c r="G1314" s="104"/>
      <c r="H1314" s="104"/>
      <c r="I1314" s="104"/>
      <c r="J1314" s="104"/>
      <c r="K1314" s="104"/>
      <c r="L1314" s="104"/>
      <c r="M1314" s="104"/>
      <c r="N1314" s="104"/>
      <c r="O1314" s="104"/>
      <c r="P1314" s="104"/>
      <c r="Q1314" s="104"/>
      <c r="R1314" s="104"/>
      <c r="S1314" s="104"/>
    </row>
    <row r="1315" spans="4:19">
      <c r="D1315" s="104"/>
      <c r="E1315" s="104"/>
      <c r="F1315" s="104"/>
      <c r="G1315" s="104"/>
      <c r="H1315" s="104"/>
      <c r="I1315" s="104"/>
      <c r="J1315" s="104"/>
      <c r="K1315" s="104"/>
      <c r="L1315" s="104"/>
      <c r="M1315" s="104"/>
      <c r="N1315" s="104"/>
      <c r="O1315" s="104"/>
      <c r="P1315" s="104"/>
      <c r="Q1315" s="104"/>
      <c r="R1315" s="104"/>
      <c r="S1315" s="104"/>
    </row>
    <row r="1316" spans="4:19">
      <c r="D1316" s="104"/>
      <c r="E1316" s="104"/>
      <c r="F1316" s="104"/>
      <c r="G1316" s="104"/>
      <c r="H1316" s="104"/>
      <c r="I1316" s="104"/>
      <c r="J1316" s="104"/>
      <c r="K1316" s="104"/>
      <c r="L1316" s="104"/>
      <c r="M1316" s="104"/>
      <c r="N1316" s="104"/>
      <c r="O1316" s="104"/>
      <c r="P1316" s="104"/>
      <c r="Q1316" s="104"/>
      <c r="R1316" s="104"/>
      <c r="S1316" s="104"/>
    </row>
    <row r="1317" spans="4:19">
      <c r="D1317" s="104"/>
      <c r="E1317" s="104"/>
      <c r="F1317" s="104"/>
      <c r="G1317" s="104"/>
      <c r="H1317" s="104"/>
      <c r="I1317" s="104"/>
      <c r="J1317" s="104"/>
      <c r="K1317" s="104"/>
      <c r="L1317" s="104"/>
      <c r="M1317" s="104"/>
      <c r="N1317" s="104"/>
      <c r="O1317" s="104"/>
      <c r="P1317" s="104"/>
      <c r="Q1317" s="104"/>
      <c r="R1317" s="104"/>
      <c r="S1317" s="104"/>
    </row>
    <row r="1318" spans="4:19">
      <c r="D1318" s="104"/>
      <c r="E1318" s="104"/>
      <c r="F1318" s="104"/>
      <c r="G1318" s="104"/>
      <c r="H1318" s="104"/>
      <c r="I1318" s="104"/>
      <c r="J1318" s="104"/>
      <c r="K1318" s="104"/>
      <c r="L1318" s="104"/>
      <c r="M1318" s="104"/>
      <c r="N1318" s="104"/>
      <c r="O1318" s="104"/>
      <c r="P1318" s="104"/>
      <c r="Q1318" s="104"/>
      <c r="R1318" s="104"/>
      <c r="S1318" s="104"/>
    </row>
    <row r="1319" spans="4:19">
      <c r="D1319" s="104"/>
      <c r="E1319" s="104"/>
      <c r="F1319" s="104"/>
      <c r="G1319" s="104"/>
      <c r="H1319" s="104"/>
      <c r="I1319" s="104"/>
      <c r="J1319" s="104"/>
      <c r="K1319" s="104"/>
      <c r="L1319" s="104"/>
      <c r="M1319" s="104"/>
      <c r="N1319" s="104"/>
      <c r="O1319" s="104"/>
      <c r="P1319" s="104"/>
      <c r="Q1319" s="104"/>
      <c r="R1319" s="104"/>
      <c r="S1319" s="104"/>
    </row>
    <row r="1320" spans="4:19">
      <c r="D1320" s="104"/>
      <c r="E1320" s="104"/>
      <c r="F1320" s="104"/>
      <c r="G1320" s="104"/>
      <c r="H1320" s="104"/>
      <c r="I1320" s="104"/>
      <c r="J1320" s="104"/>
      <c r="K1320" s="104"/>
      <c r="L1320" s="104"/>
      <c r="M1320" s="104"/>
      <c r="N1320" s="104"/>
      <c r="O1320" s="104"/>
      <c r="P1320" s="104"/>
      <c r="Q1320" s="104"/>
      <c r="R1320" s="104"/>
      <c r="S1320" s="104"/>
    </row>
    <row r="1321" spans="4:19">
      <c r="D1321" s="104"/>
      <c r="E1321" s="104"/>
      <c r="F1321" s="104"/>
      <c r="G1321" s="104"/>
      <c r="H1321" s="104"/>
      <c r="I1321" s="104"/>
      <c r="J1321" s="104"/>
      <c r="K1321" s="104"/>
      <c r="L1321" s="104"/>
      <c r="M1321" s="104"/>
      <c r="N1321" s="104"/>
      <c r="O1321" s="104"/>
      <c r="P1321" s="104"/>
      <c r="Q1321" s="104"/>
      <c r="R1321" s="104"/>
      <c r="S1321" s="104"/>
    </row>
    <row r="1322" spans="4:19">
      <c r="D1322" s="104"/>
      <c r="E1322" s="104"/>
      <c r="F1322" s="104"/>
      <c r="G1322" s="104"/>
      <c r="H1322" s="104"/>
      <c r="I1322" s="104"/>
      <c r="J1322" s="104"/>
      <c r="K1322" s="104"/>
      <c r="L1322" s="104"/>
      <c r="M1322" s="104"/>
      <c r="N1322" s="104"/>
      <c r="O1322" s="104"/>
      <c r="P1322" s="104"/>
      <c r="Q1322" s="104"/>
      <c r="R1322" s="104"/>
      <c r="S1322" s="104"/>
    </row>
    <row r="1323" spans="4:19">
      <c r="D1323" s="104"/>
      <c r="E1323" s="104"/>
      <c r="F1323" s="104"/>
      <c r="G1323" s="104"/>
      <c r="H1323" s="104"/>
      <c r="I1323" s="104"/>
      <c r="J1323" s="104"/>
      <c r="K1323" s="104"/>
      <c r="L1323" s="104"/>
      <c r="M1323" s="104"/>
      <c r="N1323" s="104"/>
      <c r="O1323" s="104"/>
      <c r="P1323" s="104"/>
      <c r="Q1323" s="104"/>
      <c r="R1323" s="104"/>
      <c r="S1323" s="104"/>
    </row>
    <row r="1324" spans="4:19">
      <c r="D1324" s="104"/>
      <c r="E1324" s="104"/>
      <c r="F1324" s="104"/>
      <c r="G1324" s="104"/>
      <c r="H1324" s="104"/>
      <c r="I1324" s="104"/>
      <c r="J1324" s="104"/>
      <c r="K1324" s="104"/>
      <c r="L1324" s="104"/>
      <c r="M1324" s="104"/>
      <c r="N1324" s="104"/>
      <c r="O1324" s="104"/>
      <c r="P1324" s="104"/>
      <c r="Q1324" s="104"/>
      <c r="R1324" s="104"/>
      <c r="S1324" s="104"/>
    </row>
    <row r="1325" spans="4:19">
      <c r="D1325" s="104"/>
      <c r="E1325" s="104"/>
      <c r="F1325" s="104"/>
      <c r="G1325" s="104"/>
      <c r="H1325" s="104"/>
      <c r="I1325" s="104"/>
      <c r="J1325" s="104"/>
      <c r="K1325" s="104"/>
      <c r="L1325" s="104"/>
      <c r="M1325" s="104"/>
      <c r="N1325" s="104"/>
      <c r="O1325" s="104"/>
      <c r="P1325" s="104"/>
      <c r="Q1325" s="104"/>
      <c r="R1325" s="104"/>
      <c r="S1325" s="104"/>
    </row>
    <row r="1326" spans="4:19">
      <c r="D1326" s="104"/>
      <c r="E1326" s="104"/>
      <c r="F1326" s="104"/>
      <c r="G1326" s="104"/>
      <c r="H1326" s="104"/>
      <c r="I1326" s="104"/>
      <c r="J1326" s="104"/>
      <c r="K1326" s="104"/>
      <c r="L1326" s="104"/>
      <c r="M1326" s="104"/>
      <c r="N1326" s="104"/>
      <c r="O1326" s="104"/>
      <c r="P1326" s="104"/>
      <c r="Q1326" s="104"/>
      <c r="R1326" s="104"/>
      <c r="S1326" s="104"/>
    </row>
    <row r="1327" spans="4:19">
      <c r="D1327" s="104"/>
      <c r="E1327" s="104"/>
      <c r="F1327" s="104"/>
      <c r="G1327" s="104"/>
      <c r="H1327" s="104"/>
      <c r="I1327" s="104"/>
      <c r="J1327" s="104"/>
      <c r="K1327" s="104"/>
      <c r="L1327" s="104"/>
      <c r="M1327" s="104"/>
      <c r="N1327" s="104"/>
      <c r="O1327" s="104"/>
      <c r="P1327" s="104"/>
      <c r="Q1327" s="104"/>
      <c r="R1327" s="104"/>
      <c r="S1327" s="104"/>
    </row>
    <row r="1328" spans="4:19">
      <c r="D1328" s="104"/>
      <c r="E1328" s="104"/>
      <c r="F1328" s="104"/>
      <c r="G1328" s="104"/>
      <c r="H1328" s="104"/>
      <c r="I1328" s="104"/>
      <c r="J1328" s="104"/>
      <c r="K1328" s="104"/>
      <c r="L1328" s="104"/>
      <c r="M1328" s="104"/>
      <c r="N1328" s="104"/>
      <c r="O1328" s="104"/>
      <c r="P1328" s="104"/>
      <c r="Q1328" s="104"/>
      <c r="R1328" s="104"/>
      <c r="S1328" s="104"/>
    </row>
    <row r="1329" spans="4:19">
      <c r="D1329" s="104"/>
      <c r="E1329" s="104"/>
      <c r="F1329" s="104"/>
      <c r="G1329" s="104"/>
      <c r="H1329" s="104"/>
      <c r="I1329" s="104"/>
      <c r="J1329" s="104"/>
      <c r="K1329" s="104"/>
      <c r="L1329" s="104"/>
      <c r="M1329" s="104"/>
      <c r="N1329" s="104"/>
      <c r="O1329" s="104"/>
      <c r="P1329" s="104"/>
      <c r="Q1329" s="104"/>
      <c r="R1329" s="104"/>
      <c r="S1329" s="104"/>
    </row>
    <row r="1330" spans="4:19">
      <c r="D1330" s="104"/>
      <c r="E1330" s="104"/>
      <c r="F1330" s="104"/>
      <c r="G1330" s="104"/>
      <c r="H1330" s="104"/>
      <c r="I1330" s="104"/>
      <c r="J1330" s="104"/>
      <c r="K1330" s="104"/>
      <c r="L1330" s="104"/>
      <c r="M1330" s="104"/>
      <c r="N1330" s="104"/>
      <c r="O1330" s="104"/>
      <c r="P1330" s="104"/>
      <c r="Q1330" s="104"/>
      <c r="R1330" s="104"/>
      <c r="S1330" s="104"/>
    </row>
    <row r="1331" spans="4:19">
      <c r="D1331" s="104"/>
      <c r="E1331" s="104"/>
      <c r="F1331" s="104"/>
      <c r="G1331" s="104"/>
      <c r="H1331" s="104"/>
      <c r="I1331" s="104"/>
      <c r="J1331" s="104"/>
      <c r="K1331" s="104"/>
      <c r="L1331" s="104"/>
      <c r="M1331" s="104"/>
      <c r="N1331" s="104"/>
      <c r="O1331" s="104"/>
      <c r="P1331" s="104"/>
      <c r="Q1331" s="104"/>
      <c r="R1331" s="104"/>
      <c r="S1331" s="104"/>
    </row>
    <row r="1332" spans="4:19">
      <c r="D1332" s="104"/>
      <c r="E1332" s="104"/>
      <c r="F1332" s="104"/>
      <c r="G1332" s="104"/>
      <c r="H1332" s="104"/>
      <c r="I1332" s="104"/>
      <c r="J1332" s="104"/>
      <c r="K1332" s="104"/>
      <c r="L1332" s="104"/>
      <c r="M1332" s="104"/>
      <c r="N1332" s="104"/>
      <c r="O1332" s="104"/>
      <c r="P1332" s="104"/>
      <c r="Q1332" s="104"/>
      <c r="R1332" s="104"/>
      <c r="S1332" s="104"/>
    </row>
    <row r="1333" spans="4:19">
      <c r="D1333" s="104"/>
      <c r="E1333" s="104"/>
      <c r="F1333" s="104"/>
      <c r="G1333" s="104"/>
      <c r="H1333" s="104"/>
      <c r="I1333" s="104"/>
      <c r="J1333" s="104"/>
      <c r="K1333" s="104"/>
      <c r="L1333" s="104"/>
      <c r="M1333" s="104"/>
      <c r="N1333" s="104"/>
      <c r="O1333" s="104"/>
      <c r="P1333" s="104"/>
      <c r="Q1333" s="104"/>
      <c r="R1333" s="104"/>
      <c r="S1333" s="104"/>
    </row>
    <row r="1334" spans="4:19">
      <c r="D1334" s="104"/>
      <c r="E1334" s="104"/>
      <c r="F1334" s="104"/>
      <c r="G1334" s="104"/>
      <c r="H1334" s="104"/>
      <c r="I1334" s="104"/>
      <c r="J1334" s="104"/>
      <c r="K1334" s="104"/>
      <c r="L1334" s="104"/>
      <c r="M1334" s="104"/>
      <c r="N1334" s="104"/>
      <c r="O1334" s="104"/>
      <c r="P1334" s="104"/>
      <c r="Q1334" s="104"/>
      <c r="R1334" s="104"/>
      <c r="S1334" s="104"/>
    </row>
    <row r="1335" spans="4:19">
      <c r="D1335" s="104"/>
      <c r="E1335" s="104"/>
      <c r="F1335" s="104"/>
      <c r="G1335" s="104"/>
      <c r="H1335" s="104"/>
      <c r="I1335" s="104"/>
      <c r="J1335" s="104"/>
      <c r="K1335" s="104"/>
      <c r="L1335" s="104"/>
      <c r="M1335" s="104"/>
      <c r="N1335" s="104"/>
      <c r="O1335" s="104"/>
      <c r="P1335" s="104"/>
      <c r="Q1335" s="104"/>
      <c r="R1335" s="104"/>
      <c r="S1335" s="104"/>
    </row>
    <row r="1336" spans="4:19">
      <c r="D1336" s="104"/>
      <c r="E1336" s="104"/>
      <c r="F1336" s="104"/>
      <c r="G1336" s="104"/>
      <c r="H1336" s="104"/>
      <c r="I1336" s="104"/>
      <c r="J1336" s="104"/>
      <c r="K1336" s="104"/>
      <c r="L1336" s="104"/>
      <c r="M1336" s="104"/>
      <c r="N1336" s="104"/>
      <c r="O1336" s="104"/>
      <c r="P1336" s="104"/>
      <c r="Q1336" s="104"/>
      <c r="R1336" s="104"/>
      <c r="S1336" s="104"/>
    </row>
    <row r="1337" spans="4:19">
      <c r="D1337" s="104"/>
      <c r="E1337" s="104"/>
      <c r="F1337" s="104"/>
      <c r="G1337" s="104"/>
      <c r="H1337" s="104"/>
      <c r="I1337" s="104"/>
      <c r="J1337" s="104"/>
      <c r="K1337" s="104"/>
      <c r="L1337" s="104"/>
      <c r="M1337" s="104"/>
      <c r="N1337" s="104"/>
      <c r="O1337" s="104"/>
      <c r="P1337" s="104"/>
      <c r="Q1337" s="104"/>
      <c r="R1337" s="104"/>
      <c r="S1337" s="104"/>
    </row>
    <row r="1338" spans="4:19">
      <c r="D1338" s="104"/>
      <c r="E1338" s="104"/>
      <c r="F1338" s="104"/>
      <c r="G1338" s="104"/>
      <c r="H1338" s="104"/>
      <c r="I1338" s="104"/>
      <c r="J1338" s="104"/>
      <c r="K1338" s="104"/>
      <c r="L1338" s="104"/>
      <c r="M1338" s="104"/>
      <c r="N1338" s="104"/>
      <c r="O1338" s="104"/>
      <c r="P1338" s="104"/>
      <c r="Q1338" s="104"/>
      <c r="R1338" s="104"/>
      <c r="S1338" s="104"/>
    </row>
    <row r="1339" spans="4:19">
      <c r="D1339" s="104"/>
      <c r="E1339" s="104"/>
      <c r="F1339" s="104"/>
      <c r="G1339" s="104"/>
      <c r="H1339" s="104"/>
      <c r="I1339" s="104"/>
      <c r="J1339" s="104"/>
      <c r="K1339" s="104"/>
      <c r="L1339" s="104"/>
      <c r="M1339" s="104"/>
      <c r="N1339" s="104"/>
      <c r="O1339" s="104"/>
      <c r="P1339" s="104"/>
      <c r="Q1339" s="104"/>
      <c r="R1339" s="104"/>
      <c r="S1339" s="104"/>
    </row>
    <row r="1340" spans="4:19">
      <c r="D1340" s="104"/>
      <c r="E1340" s="104"/>
      <c r="F1340" s="104"/>
      <c r="G1340" s="104"/>
      <c r="H1340" s="104"/>
      <c r="I1340" s="104"/>
      <c r="J1340" s="104"/>
      <c r="K1340" s="104"/>
      <c r="L1340" s="104"/>
      <c r="M1340" s="104"/>
      <c r="N1340" s="104"/>
      <c r="O1340" s="104"/>
      <c r="P1340" s="104"/>
      <c r="Q1340" s="104"/>
      <c r="R1340" s="104"/>
      <c r="S1340" s="104"/>
    </row>
    <row r="1341" spans="4:19">
      <c r="D1341" s="104"/>
      <c r="E1341" s="104"/>
      <c r="F1341" s="104"/>
      <c r="G1341" s="104"/>
      <c r="H1341" s="104"/>
      <c r="I1341" s="104"/>
      <c r="J1341" s="104"/>
      <c r="K1341" s="104"/>
      <c r="L1341" s="104"/>
      <c r="M1341" s="104"/>
      <c r="N1341" s="104"/>
      <c r="O1341" s="104"/>
      <c r="P1341" s="104"/>
      <c r="Q1341" s="104"/>
      <c r="R1341" s="104"/>
      <c r="S1341" s="104"/>
    </row>
    <row r="1342" spans="4:19">
      <c r="D1342" s="104"/>
      <c r="E1342" s="104"/>
      <c r="F1342" s="104"/>
      <c r="G1342" s="104"/>
      <c r="H1342" s="104"/>
      <c r="I1342" s="104"/>
      <c r="J1342" s="104"/>
      <c r="K1342" s="104"/>
      <c r="L1342" s="104"/>
      <c r="M1342" s="104"/>
      <c r="N1342" s="104"/>
      <c r="O1342" s="104"/>
      <c r="P1342" s="104"/>
      <c r="Q1342" s="104"/>
      <c r="R1342" s="104"/>
      <c r="S1342" s="104"/>
    </row>
    <row r="1343" spans="4:19">
      <c r="D1343" s="104"/>
      <c r="E1343" s="104"/>
      <c r="F1343" s="104"/>
      <c r="G1343" s="104"/>
      <c r="H1343" s="104"/>
      <c r="I1343" s="104"/>
      <c r="J1343" s="104"/>
      <c r="K1343" s="104"/>
      <c r="L1343" s="104"/>
      <c r="M1343" s="104"/>
      <c r="N1343" s="104"/>
      <c r="O1343" s="104"/>
      <c r="P1343" s="104"/>
      <c r="Q1343" s="104"/>
      <c r="R1343" s="104"/>
      <c r="S1343" s="104"/>
    </row>
    <row r="1344" spans="4:19">
      <c r="D1344" s="104"/>
      <c r="E1344" s="104"/>
      <c r="F1344" s="104"/>
      <c r="G1344" s="104"/>
      <c r="H1344" s="104"/>
      <c r="I1344" s="104"/>
      <c r="J1344" s="104"/>
      <c r="K1344" s="104"/>
      <c r="L1344" s="104"/>
      <c r="M1344" s="104"/>
      <c r="N1344" s="104"/>
      <c r="O1344" s="104"/>
      <c r="P1344" s="104"/>
      <c r="Q1344" s="104"/>
      <c r="R1344" s="104"/>
      <c r="S1344" s="104"/>
    </row>
    <row r="1345" spans="4:19">
      <c r="D1345" s="104"/>
      <c r="E1345" s="104"/>
      <c r="F1345" s="104"/>
      <c r="G1345" s="104"/>
      <c r="H1345" s="104"/>
      <c r="I1345" s="104"/>
      <c r="J1345" s="104"/>
      <c r="K1345" s="104"/>
      <c r="L1345" s="104"/>
      <c r="M1345" s="104"/>
      <c r="N1345" s="104"/>
      <c r="O1345" s="104"/>
      <c r="P1345" s="104"/>
      <c r="Q1345" s="104"/>
      <c r="R1345" s="104"/>
      <c r="S1345" s="104"/>
    </row>
    <row r="1346" spans="4:19">
      <c r="D1346" s="104"/>
      <c r="E1346" s="104"/>
      <c r="F1346" s="104"/>
      <c r="G1346" s="104"/>
      <c r="H1346" s="104"/>
      <c r="I1346" s="104"/>
      <c r="J1346" s="104"/>
      <c r="K1346" s="104"/>
      <c r="L1346" s="104"/>
      <c r="M1346" s="104"/>
      <c r="N1346" s="104"/>
      <c r="O1346" s="104"/>
      <c r="P1346" s="104"/>
      <c r="Q1346" s="104"/>
      <c r="R1346" s="104"/>
      <c r="S1346" s="104"/>
    </row>
    <row r="1347" spans="4:19">
      <c r="D1347" s="104"/>
      <c r="E1347" s="104"/>
      <c r="F1347" s="104"/>
      <c r="G1347" s="104"/>
      <c r="H1347" s="104"/>
      <c r="I1347" s="104"/>
      <c r="J1347" s="104"/>
      <c r="K1347" s="104"/>
      <c r="L1347" s="104"/>
      <c r="M1347" s="104"/>
      <c r="N1347" s="104"/>
      <c r="O1347" s="104"/>
      <c r="P1347" s="104"/>
      <c r="Q1347" s="104"/>
      <c r="R1347" s="104"/>
      <c r="S1347" s="104"/>
    </row>
    <row r="1348" spans="4:19">
      <c r="D1348" s="104"/>
      <c r="E1348" s="104"/>
      <c r="F1348" s="104"/>
      <c r="G1348" s="104"/>
      <c r="H1348" s="104"/>
      <c r="I1348" s="104"/>
      <c r="J1348" s="104"/>
      <c r="K1348" s="104"/>
      <c r="L1348" s="104"/>
      <c r="M1348" s="104"/>
      <c r="N1348" s="104"/>
      <c r="O1348" s="104"/>
      <c r="P1348" s="104"/>
      <c r="Q1348" s="104"/>
      <c r="R1348" s="104"/>
      <c r="S1348" s="104"/>
    </row>
    <row r="1349" spans="4:19">
      <c r="D1349" s="104"/>
      <c r="E1349" s="104"/>
      <c r="F1349" s="104"/>
      <c r="G1349" s="104"/>
      <c r="H1349" s="104"/>
      <c r="I1349" s="104"/>
      <c r="J1349" s="104"/>
      <c r="K1349" s="104"/>
      <c r="L1349" s="104"/>
      <c r="M1349" s="104"/>
      <c r="N1349" s="104"/>
      <c r="O1349" s="104"/>
      <c r="P1349" s="104"/>
      <c r="Q1349" s="104"/>
      <c r="R1349" s="104"/>
      <c r="S1349" s="104"/>
    </row>
    <row r="1350" spans="4:19">
      <c r="D1350" s="104"/>
      <c r="E1350" s="104"/>
      <c r="F1350" s="104"/>
      <c r="G1350" s="104"/>
      <c r="H1350" s="104"/>
      <c r="I1350" s="104"/>
      <c r="J1350" s="104"/>
      <c r="K1350" s="104"/>
      <c r="L1350" s="104"/>
      <c r="M1350" s="104"/>
      <c r="N1350" s="104"/>
      <c r="O1350" s="104"/>
      <c r="P1350" s="104"/>
      <c r="Q1350" s="104"/>
      <c r="R1350" s="104"/>
      <c r="S1350" s="104"/>
    </row>
    <row r="1351" spans="4:19">
      <c r="D1351" s="104"/>
      <c r="E1351" s="104"/>
      <c r="F1351" s="104"/>
      <c r="G1351" s="104"/>
      <c r="H1351" s="104"/>
      <c r="I1351" s="104"/>
      <c r="J1351" s="104"/>
      <c r="K1351" s="104"/>
      <c r="L1351" s="104"/>
      <c r="M1351" s="104"/>
      <c r="N1351" s="104"/>
      <c r="O1351" s="104"/>
      <c r="P1351" s="104"/>
      <c r="Q1351" s="104"/>
      <c r="R1351" s="104"/>
      <c r="S1351" s="104"/>
    </row>
    <row r="1352" spans="4:19">
      <c r="D1352" s="104"/>
      <c r="E1352" s="104"/>
      <c r="F1352" s="104"/>
      <c r="G1352" s="104"/>
      <c r="H1352" s="104"/>
      <c r="I1352" s="104"/>
      <c r="J1352" s="104"/>
      <c r="K1352" s="104"/>
      <c r="L1352" s="104"/>
      <c r="M1352" s="104"/>
      <c r="N1352" s="104"/>
      <c r="O1352" s="104"/>
      <c r="P1352" s="104"/>
      <c r="Q1352" s="104"/>
      <c r="R1352" s="104"/>
      <c r="S1352" s="104"/>
    </row>
    <row r="1353" spans="4:19">
      <c r="D1353" s="104"/>
      <c r="E1353" s="104"/>
      <c r="F1353" s="104"/>
      <c r="G1353" s="104"/>
      <c r="H1353" s="104"/>
      <c r="I1353" s="104"/>
      <c r="J1353" s="104"/>
      <c r="K1353" s="104"/>
      <c r="L1353" s="104"/>
      <c r="M1353" s="104"/>
      <c r="N1353" s="104"/>
      <c r="O1353" s="104"/>
      <c r="P1353" s="104"/>
      <c r="Q1353" s="104"/>
      <c r="R1353" s="104"/>
      <c r="S1353" s="104"/>
    </row>
    <row r="1354" spans="4:19">
      <c r="D1354" s="104"/>
      <c r="E1354" s="104"/>
      <c r="F1354" s="104"/>
      <c r="G1354" s="104"/>
      <c r="H1354" s="104"/>
      <c r="I1354" s="104"/>
      <c r="J1354" s="104"/>
      <c r="K1354" s="104"/>
      <c r="L1354" s="104"/>
      <c r="M1354" s="104"/>
      <c r="N1354" s="104"/>
      <c r="O1354" s="104"/>
      <c r="P1354" s="104"/>
      <c r="Q1354" s="104"/>
      <c r="R1354" s="104"/>
      <c r="S1354" s="104"/>
    </row>
    <row r="1355" spans="4:19">
      <c r="D1355" s="104"/>
      <c r="E1355" s="104"/>
      <c r="F1355" s="104"/>
      <c r="G1355" s="104"/>
      <c r="H1355" s="104"/>
      <c r="I1355" s="104"/>
      <c r="J1355" s="104"/>
      <c r="K1355" s="104"/>
      <c r="L1355" s="104"/>
      <c r="M1355" s="104"/>
      <c r="N1355" s="104"/>
      <c r="O1355" s="104"/>
      <c r="P1355" s="104"/>
      <c r="Q1355" s="104"/>
      <c r="R1355" s="104"/>
      <c r="S1355" s="104"/>
    </row>
    <row r="1356" spans="4:19">
      <c r="D1356" s="104"/>
      <c r="E1356" s="104"/>
      <c r="F1356" s="104"/>
      <c r="G1356" s="104"/>
      <c r="H1356" s="104"/>
      <c r="I1356" s="104"/>
      <c r="J1356" s="104"/>
      <c r="K1356" s="104"/>
      <c r="L1356" s="104"/>
      <c r="M1356" s="104"/>
      <c r="N1356" s="104"/>
      <c r="O1356" s="104"/>
      <c r="P1356" s="104"/>
      <c r="Q1356" s="104"/>
      <c r="R1356" s="104"/>
      <c r="S1356" s="104"/>
    </row>
    <row r="1357" spans="4:19">
      <c r="D1357" s="104"/>
      <c r="E1357" s="104"/>
      <c r="F1357" s="104"/>
      <c r="G1357" s="104"/>
      <c r="H1357" s="104"/>
      <c r="I1357" s="104"/>
      <c r="J1357" s="104"/>
      <c r="K1357" s="104"/>
      <c r="L1357" s="104"/>
      <c r="M1357" s="104"/>
      <c r="N1357" s="104"/>
      <c r="O1357" s="104"/>
      <c r="P1357" s="104"/>
      <c r="Q1357" s="104"/>
      <c r="R1357" s="104"/>
      <c r="S1357" s="104"/>
    </row>
    <row r="1358" spans="4:19">
      <c r="D1358" s="104"/>
      <c r="E1358" s="104"/>
      <c r="F1358" s="104"/>
      <c r="G1358" s="104"/>
      <c r="H1358" s="104"/>
      <c r="I1358" s="104"/>
      <c r="J1358" s="104"/>
      <c r="K1358" s="104"/>
      <c r="L1358" s="104"/>
      <c r="M1358" s="104"/>
      <c r="N1358" s="104"/>
      <c r="O1358" s="104"/>
      <c r="P1358" s="104"/>
      <c r="Q1358" s="104"/>
      <c r="R1358" s="104"/>
      <c r="S1358" s="104"/>
    </row>
    <row r="1359" spans="4:19">
      <c r="D1359" s="104"/>
      <c r="E1359" s="104"/>
      <c r="F1359" s="104"/>
      <c r="G1359" s="104"/>
      <c r="H1359" s="104"/>
      <c r="I1359" s="104"/>
      <c r="J1359" s="104"/>
      <c r="K1359" s="104"/>
      <c r="L1359" s="104"/>
      <c r="M1359" s="104"/>
      <c r="N1359" s="104"/>
      <c r="O1359" s="104"/>
      <c r="P1359" s="104"/>
      <c r="Q1359" s="104"/>
      <c r="R1359" s="104"/>
      <c r="S1359" s="104"/>
    </row>
    <row r="1360" spans="4:19">
      <c r="D1360" s="104"/>
      <c r="E1360" s="104"/>
      <c r="F1360" s="104"/>
      <c r="G1360" s="104"/>
      <c r="H1360" s="104"/>
      <c r="I1360" s="104"/>
      <c r="J1360" s="104"/>
      <c r="K1360" s="104"/>
      <c r="L1360" s="104"/>
      <c r="M1360" s="104"/>
      <c r="N1360" s="104"/>
      <c r="O1360" s="104"/>
      <c r="P1360" s="104"/>
      <c r="Q1360" s="104"/>
      <c r="R1360" s="104"/>
      <c r="S1360" s="104"/>
    </row>
    <row r="1361" spans="4:19">
      <c r="D1361" s="104"/>
      <c r="E1361" s="104"/>
      <c r="F1361" s="104"/>
      <c r="G1361" s="104"/>
      <c r="H1361" s="104"/>
      <c r="I1361" s="104"/>
      <c r="J1361" s="104"/>
      <c r="K1361" s="104"/>
      <c r="L1361" s="104"/>
      <c r="M1361" s="104"/>
      <c r="N1361" s="104"/>
      <c r="O1361" s="104"/>
      <c r="P1361" s="104"/>
      <c r="Q1361" s="104"/>
      <c r="R1361" s="104"/>
      <c r="S1361" s="104"/>
    </row>
    <row r="1362" spans="4:19">
      <c r="D1362" s="104"/>
      <c r="E1362" s="104"/>
      <c r="F1362" s="104"/>
      <c r="G1362" s="104"/>
      <c r="H1362" s="104"/>
      <c r="I1362" s="104"/>
      <c r="J1362" s="104"/>
      <c r="K1362" s="104"/>
      <c r="L1362" s="104"/>
      <c r="M1362" s="104"/>
      <c r="N1362" s="104"/>
      <c r="O1362" s="104"/>
      <c r="P1362" s="104"/>
      <c r="Q1362" s="104"/>
      <c r="R1362" s="104"/>
      <c r="S1362" s="104"/>
    </row>
    <row r="1363" spans="4:19">
      <c r="D1363" s="104"/>
      <c r="E1363" s="104"/>
      <c r="F1363" s="104"/>
      <c r="G1363" s="104"/>
      <c r="H1363" s="104"/>
      <c r="I1363" s="104"/>
      <c r="J1363" s="104"/>
      <c r="K1363" s="104"/>
      <c r="L1363" s="104"/>
      <c r="M1363" s="104"/>
      <c r="N1363" s="104"/>
      <c r="O1363" s="104"/>
      <c r="P1363" s="104"/>
      <c r="Q1363" s="104"/>
      <c r="R1363" s="104"/>
      <c r="S1363" s="104"/>
    </row>
    <row r="1364" spans="4:19">
      <c r="D1364" s="104"/>
      <c r="E1364" s="104"/>
      <c r="F1364" s="104"/>
      <c r="G1364" s="104"/>
      <c r="H1364" s="104"/>
      <c r="I1364" s="104"/>
      <c r="J1364" s="104"/>
      <c r="K1364" s="104"/>
      <c r="L1364" s="104"/>
      <c r="M1364" s="104"/>
      <c r="N1364" s="104"/>
      <c r="O1364" s="104"/>
      <c r="P1364" s="104"/>
      <c r="Q1364" s="104"/>
      <c r="R1364" s="104"/>
      <c r="S1364" s="104"/>
    </row>
    <row r="1365" spans="4:19">
      <c r="D1365" s="104"/>
      <c r="E1365" s="104"/>
      <c r="F1365" s="104"/>
      <c r="G1365" s="104"/>
      <c r="H1365" s="104"/>
      <c r="I1365" s="104"/>
      <c r="J1365" s="104"/>
      <c r="K1365" s="104"/>
      <c r="L1365" s="104"/>
      <c r="M1365" s="104"/>
      <c r="N1365" s="104"/>
      <c r="O1365" s="104"/>
      <c r="P1365" s="104"/>
      <c r="Q1365" s="104"/>
      <c r="R1365" s="104"/>
      <c r="S1365" s="104"/>
    </row>
    <row r="1366" spans="4:19">
      <c r="D1366" s="104"/>
      <c r="E1366" s="104"/>
      <c r="F1366" s="104"/>
      <c r="G1366" s="104"/>
      <c r="H1366" s="104"/>
      <c r="I1366" s="104"/>
      <c r="J1366" s="104"/>
      <c r="K1366" s="104"/>
      <c r="L1366" s="104"/>
      <c r="M1366" s="104"/>
      <c r="N1366" s="104"/>
      <c r="O1366" s="104"/>
      <c r="P1366" s="104"/>
      <c r="Q1366" s="104"/>
      <c r="R1366" s="104"/>
      <c r="S1366" s="104"/>
    </row>
    <row r="1367" spans="4:19">
      <c r="D1367" s="104"/>
      <c r="E1367" s="104"/>
      <c r="F1367" s="104"/>
      <c r="G1367" s="104"/>
      <c r="H1367" s="104"/>
      <c r="I1367" s="104"/>
      <c r="J1367" s="104"/>
      <c r="K1367" s="104"/>
      <c r="L1367" s="104"/>
      <c r="M1367" s="104"/>
      <c r="N1367" s="104"/>
      <c r="O1367" s="104"/>
      <c r="P1367" s="104"/>
      <c r="Q1367" s="104"/>
      <c r="R1367" s="104"/>
      <c r="S1367" s="104"/>
    </row>
    <row r="1368" spans="4:19">
      <c r="D1368" s="104"/>
      <c r="E1368" s="104"/>
      <c r="F1368" s="104"/>
      <c r="G1368" s="104"/>
      <c r="H1368" s="104"/>
      <c r="I1368" s="104"/>
      <c r="J1368" s="104"/>
      <c r="K1368" s="104"/>
      <c r="L1368" s="104"/>
      <c r="M1368" s="104"/>
      <c r="N1368" s="104"/>
      <c r="O1368" s="104"/>
      <c r="P1368" s="104"/>
      <c r="Q1368" s="104"/>
      <c r="R1368" s="104"/>
      <c r="S1368" s="104"/>
    </row>
    <row r="1369" spans="4:19">
      <c r="D1369" s="104"/>
      <c r="E1369" s="104"/>
      <c r="F1369" s="104"/>
      <c r="G1369" s="104"/>
      <c r="H1369" s="104"/>
      <c r="I1369" s="104"/>
      <c r="J1369" s="104"/>
      <c r="K1369" s="104"/>
      <c r="L1369" s="104"/>
      <c r="M1369" s="104"/>
      <c r="N1369" s="104"/>
      <c r="O1369" s="104"/>
      <c r="P1369" s="104"/>
      <c r="Q1369" s="104"/>
      <c r="R1369" s="104"/>
      <c r="S1369" s="104"/>
    </row>
    <row r="1370" spans="4:19">
      <c r="D1370" s="104"/>
      <c r="E1370" s="104"/>
      <c r="F1370" s="104"/>
      <c r="G1370" s="104"/>
      <c r="H1370" s="104"/>
      <c r="I1370" s="104"/>
      <c r="J1370" s="104"/>
      <c r="K1370" s="104"/>
      <c r="L1370" s="104"/>
      <c r="M1370" s="104"/>
      <c r="N1370" s="104"/>
      <c r="O1370" s="104"/>
      <c r="P1370" s="104"/>
      <c r="Q1370" s="104"/>
      <c r="R1370" s="104"/>
      <c r="S1370" s="104"/>
    </row>
    <row r="1371" spans="4:19">
      <c r="D1371" s="104"/>
      <c r="E1371" s="104"/>
      <c r="F1371" s="104"/>
      <c r="G1371" s="104"/>
      <c r="H1371" s="104"/>
      <c r="I1371" s="104"/>
      <c r="J1371" s="104"/>
      <c r="K1371" s="104"/>
      <c r="L1371" s="104"/>
      <c r="M1371" s="104"/>
      <c r="N1371" s="104"/>
      <c r="O1371" s="104"/>
      <c r="P1371" s="104"/>
      <c r="Q1371" s="104"/>
      <c r="R1371" s="104"/>
      <c r="S1371" s="104"/>
    </row>
    <row r="1372" spans="4:19">
      <c r="D1372" s="104"/>
      <c r="E1372" s="104"/>
      <c r="F1372" s="104"/>
      <c r="G1372" s="104"/>
      <c r="H1372" s="104"/>
      <c r="I1372" s="104"/>
      <c r="J1372" s="104"/>
      <c r="K1372" s="104"/>
      <c r="L1372" s="104"/>
      <c r="M1372" s="104"/>
      <c r="N1372" s="104"/>
      <c r="O1372" s="104"/>
      <c r="P1372" s="104"/>
      <c r="Q1372" s="104"/>
      <c r="R1372" s="104"/>
      <c r="S1372" s="104"/>
    </row>
    <row r="1373" spans="4:19">
      <c r="D1373" s="104"/>
      <c r="E1373" s="104"/>
      <c r="F1373" s="104"/>
      <c r="G1373" s="104"/>
      <c r="H1373" s="104"/>
      <c r="I1373" s="104"/>
      <c r="J1373" s="104"/>
      <c r="K1373" s="104"/>
      <c r="L1373" s="104"/>
      <c r="M1373" s="104"/>
      <c r="N1373" s="104"/>
      <c r="O1373" s="104"/>
      <c r="P1373" s="104"/>
      <c r="Q1373" s="104"/>
      <c r="R1373" s="104"/>
      <c r="S1373" s="104"/>
    </row>
    <row r="1374" spans="4:19">
      <c r="D1374" s="104"/>
      <c r="E1374" s="104"/>
      <c r="F1374" s="104"/>
      <c r="G1374" s="104"/>
      <c r="H1374" s="104"/>
      <c r="I1374" s="104"/>
      <c r="J1374" s="104"/>
      <c r="K1374" s="104"/>
      <c r="L1374" s="104"/>
      <c r="M1374" s="104"/>
      <c r="N1374" s="104"/>
      <c r="O1374" s="104"/>
      <c r="P1374" s="104"/>
      <c r="Q1374" s="104"/>
      <c r="R1374" s="104"/>
      <c r="S1374" s="104"/>
    </row>
    <row r="1375" spans="4:19">
      <c r="D1375" s="104"/>
      <c r="E1375" s="104"/>
      <c r="F1375" s="104"/>
      <c r="G1375" s="104"/>
      <c r="H1375" s="104"/>
      <c r="I1375" s="104"/>
      <c r="J1375" s="104"/>
      <c r="K1375" s="104"/>
      <c r="L1375" s="104"/>
      <c r="M1375" s="104"/>
      <c r="N1375" s="104"/>
      <c r="O1375" s="104"/>
      <c r="P1375" s="104"/>
      <c r="Q1375" s="104"/>
      <c r="R1375" s="104"/>
      <c r="S1375" s="104"/>
    </row>
    <row r="1376" spans="4:19">
      <c r="D1376" s="104"/>
      <c r="E1376" s="104"/>
      <c r="F1376" s="104"/>
      <c r="G1376" s="104"/>
      <c r="H1376" s="104"/>
      <c r="I1376" s="104"/>
      <c r="J1376" s="104"/>
      <c r="K1376" s="104"/>
      <c r="L1376" s="104"/>
      <c r="M1376" s="104"/>
      <c r="N1376" s="104"/>
      <c r="O1376" s="104"/>
      <c r="P1376" s="104"/>
      <c r="Q1376" s="104"/>
      <c r="R1376" s="104"/>
      <c r="S1376" s="104"/>
    </row>
    <row r="1377" spans="4:19">
      <c r="D1377" s="104"/>
      <c r="E1377" s="104"/>
      <c r="F1377" s="104"/>
      <c r="G1377" s="104"/>
      <c r="H1377" s="104"/>
      <c r="I1377" s="104"/>
      <c r="J1377" s="104"/>
      <c r="K1377" s="104"/>
      <c r="L1377" s="104"/>
      <c r="M1377" s="104"/>
      <c r="N1377" s="104"/>
      <c r="O1377" s="104"/>
      <c r="P1377" s="104"/>
      <c r="Q1377" s="104"/>
      <c r="R1377" s="104"/>
      <c r="S1377" s="104"/>
    </row>
    <row r="1378" spans="4:19">
      <c r="D1378" s="104"/>
      <c r="E1378" s="104"/>
      <c r="F1378" s="104"/>
      <c r="G1378" s="104"/>
      <c r="H1378" s="104"/>
      <c r="I1378" s="104"/>
      <c r="J1378" s="104"/>
      <c r="K1378" s="104"/>
      <c r="L1378" s="104"/>
      <c r="M1378" s="104"/>
      <c r="N1378" s="104"/>
      <c r="O1378" s="104"/>
      <c r="P1378" s="104"/>
      <c r="Q1378" s="104"/>
      <c r="R1378" s="104"/>
      <c r="S1378" s="104"/>
    </row>
    <row r="1379" spans="4:19">
      <c r="D1379" s="104"/>
      <c r="E1379" s="104"/>
      <c r="F1379" s="104"/>
      <c r="G1379" s="104"/>
      <c r="H1379" s="104"/>
      <c r="I1379" s="104"/>
      <c r="J1379" s="104"/>
      <c r="K1379" s="104"/>
      <c r="L1379" s="104"/>
      <c r="M1379" s="104"/>
      <c r="N1379" s="104"/>
      <c r="O1379" s="104"/>
      <c r="P1379" s="104"/>
      <c r="Q1379" s="104"/>
      <c r="R1379" s="104"/>
      <c r="S1379" s="104"/>
    </row>
    <row r="1380" spans="4:19">
      <c r="D1380" s="104"/>
      <c r="E1380" s="104"/>
      <c r="F1380" s="104"/>
      <c r="G1380" s="104"/>
      <c r="H1380" s="104"/>
      <c r="I1380" s="104"/>
      <c r="J1380" s="104"/>
      <c r="K1380" s="104"/>
      <c r="L1380" s="104"/>
      <c r="M1380" s="104"/>
      <c r="N1380" s="104"/>
      <c r="O1380" s="104"/>
      <c r="P1380" s="104"/>
      <c r="Q1380" s="104"/>
      <c r="R1380" s="104"/>
      <c r="S1380" s="104"/>
    </row>
    <row r="1381" spans="4:19">
      <c r="D1381" s="104"/>
      <c r="E1381" s="104"/>
      <c r="F1381" s="104"/>
      <c r="G1381" s="104"/>
      <c r="H1381" s="104"/>
      <c r="I1381" s="104"/>
      <c r="J1381" s="104"/>
      <c r="K1381" s="104"/>
      <c r="L1381" s="104"/>
      <c r="M1381" s="104"/>
      <c r="N1381" s="104"/>
      <c r="O1381" s="104"/>
      <c r="P1381" s="104"/>
      <c r="Q1381" s="104"/>
      <c r="R1381" s="104"/>
      <c r="S1381" s="104"/>
    </row>
    <row r="1382" spans="4:19">
      <c r="D1382" s="104"/>
      <c r="E1382" s="104"/>
      <c r="F1382" s="104"/>
      <c r="G1382" s="104"/>
      <c r="H1382" s="104"/>
      <c r="I1382" s="104"/>
      <c r="J1382" s="104"/>
      <c r="K1382" s="104"/>
      <c r="L1382" s="104"/>
      <c r="M1382" s="104"/>
      <c r="N1382" s="104"/>
      <c r="O1382" s="104"/>
      <c r="P1382" s="104"/>
      <c r="Q1382" s="104"/>
      <c r="R1382" s="104"/>
      <c r="S1382" s="104"/>
    </row>
    <row r="1383" spans="4:19">
      <c r="D1383" s="104"/>
      <c r="E1383" s="104"/>
      <c r="F1383" s="104"/>
      <c r="G1383" s="104"/>
      <c r="H1383" s="104"/>
      <c r="I1383" s="104"/>
      <c r="J1383" s="104"/>
      <c r="K1383" s="104"/>
      <c r="L1383" s="104"/>
      <c r="M1383" s="104"/>
      <c r="N1383" s="104"/>
      <c r="O1383" s="104"/>
      <c r="P1383" s="104"/>
      <c r="Q1383" s="104"/>
      <c r="R1383" s="104"/>
      <c r="S1383" s="104"/>
    </row>
    <row r="1384" spans="4:19">
      <c r="D1384" s="104"/>
      <c r="E1384" s="104"/>
      <c r="F1384" s="104"/>
      <c r="G1384" s="104"/>
      <c r="H1384" s="104"/>
      <c r="I1384" s="104"/>
      <c r="J1384" s="104"/>
      <c r="K1384" s="104"/>
      <c r="L1384" s="104"/>
      <c r="M1384" s="104"/>
      <c r="N1384" s="104"/>
      <c r="O1384" s="104"/>
      <c r="P1384" s="104"/>
      <c r="Q1384" s="104"/>
      <c r="R1384" s="104"/>
      <c r="S1384" s="104"/>
    </row>
    <row r="1385" spans="4:19">
      <c r="D1385" s="104"/>
      <c r="E1385" s="104"/>
      <c r="F1385" s="104"/>
      <c r="G1385" s="104"/>
      <c r="H1385" s="104"/>
      <c r="I1385" s="104"/>
      <c r="J1385" s="104"/>
      <c r="K1385" s="104"/>
      <c r="L1385" s="104"/>
      <c r="M1385" s="104"/>
      <c r="N1385" s="104"/>
      <c r="O1385" s="104"/>
      <c r="P1385" s="104"/>
      <c r="Q1385" s="104"/>
      <c r="R1385" s="104"/>
      <c r="S1385" s="104"/>
    </row>
    <row r="1386" spans="4:19">
      <c r="D1386" s="104"/>
      <c r="E1386" s="104"/>
      <c r="F1386" s="104"/>
      <c r="G1386" s="104"/>
      <c r="H1386" s="104"/>
      <c r="I1386" s="104"/>
      <c r="J1386" s="104"/>
      <c r="K1386" s="104"/>
      <c r="L1386" s="104"/>
      <c r="M1386" s="104"/>
      <c r="N1386" s="104"/>
      <c r="O1386" s="104"/>
      <c r="P1386" s="104"/>
      <c r="Q1386" s="104"/>
      <c r="R1386" s="104"/>
      <c r="S1386" s="104"/>
    </row>
    <row r="1387" spans="4:19">
      <c r="D1387" s="104"/>
      <c r="E1387" s="104"/>
      <c r="F1387" s="104"/>
      <c r="G1387" s="104"/>
      <c r="H1387" s="104"/>
      <c r="I1387" s="104"/>
      <c r="J1387" s="104"/>
      <c r="K1387" s="104"/>
      <c r="L1387" s="104"/>
      <c r="M1387" s="104"/>
      <c r="N1387" s="104"/>
      <c r="O1387" s="104"/>
      <c r="P1387" s="104"/>
      <c r="Q1387" s="104"/>
      <c r="R1387" s="104"/>
      <c r="S1387" s="104"/>
    </row>
    <row r="1388" spans="4:19">
      <c r="D1388" s="104"/>
      <c r="E1388" s="104"/>
      <c r="F1388" s="104"/>
      <c r="G1388" s="104"/>
      <c r="H1388" s="104"/>
      <c r="I1388" s="104"/>
      <c r="J1388" s="104"/>
      <c r="K1388" s="104"/>
      <c r="L1388" s="104"/>
      <c r="M1388" s="104"/>
      <c r="N1388" s="104"/>
      <c r="O1388" s="104"/>
      <c r="P1388" s="104"/>
      <c r="Q1388" s="104"/>
      <c r="R1388" s="104"/>
      <c r="S1388" s="104"/>
    </row>
    <row r="1389" spans="4:19">
      <c r="D1389" s="104"/>
      <c r="E1389" s="104"/>
      <c r="F1389" s="104"/>
      <c r="G1389" s="104"/>
      <c r="H1389" s="104"/>
      <c r="I1389" s="104"/>
      <c r="J1389" s="104"/>
      <c r="K1389" s="104"/>
      <c r="L1389" s="104"/>
      <c r="M1389" s="104"/>
      <c r="N1389" s="104"/>
      <c r="O1389" s="104"/>
      <c r="P1389" s="104"/>
      <c r="Q1389" s="104"/>
      <c r="R1389" s="104"/>
      <c r="S1389" s="104"/>
    </row>
    <row r="1390" spans="4:19">
      <c r="D1390" s="104"/>
      <c r="E1390" s="104"/>
      <c r="F1390" s="104"/>
      <c r="G1390" s="104"/>
      <c r="H1390" s="104"/>
      <c r="I1390" s="104"/>
      <c r="J1390" s="104"/>
      <c r="K1390" s="104"/>
      <c r="L1390" s="104"/>
      <c r="M1390" s="104"/>
      <c r="N1390" s="104"/>
      <c r="O1390" s="104"/>
      <c r="P1390" s="104"/>
      <c r="Q1390" s="104"/>
      <c r="R1390" s="104"/>
      <c r="S1390" s="104"/>
    </row>
    <row r="1391" spans="4:19">
      <c r="D1391" s="104"/>
      <c r="E1391" s="104"/>
      <c r="F1391" s="104"/>
      <c r="G1391" s="104"/>
      <c r="H1391" s="104"/>
      <c r="I1391" s="104"/>
      <c r="J1391" s="104"/>
      <c r="K1391" s="104"/>
      <c r="L1391" s="104"/>
      <c r="M1391" s="104"/>
      <c r="N1391" s="104"/>
      <c r="O1391" s="104"/>
      <c r="P1391" s="104"/>
      <c r="Q1391" s="104"/>
      <c r="R1391" s="104"/>
      <c r="S1391" s="104"/>
    </row>
    <row r="1392" spans="4:19">
      <c r="D1392" s="104"/>
      <c r="E1392" s="104"/>
      <c r="F1392" s="104"/>
      <c r="G1392" s="104"/>
      <c r="H1392" s="104"/>
      <c r="I1392" s="104"/>
      <c r="J1392" s="104"/>
      <c r="K1392" s="104"/>
      <c r="L1392" s="104"/>
      <c r="M1392" s="104"/>
      <c r="N1392" s="104"/>
      <c r="O1392" s="104"/>
      <c r="P1392" s="104"/>
      <c r="Q1392" s="104"/>
      <c r="R1392" s="104"/>
      <c r="S1392" s="104"/>
    </row>
    <row r="1393" spans="4:19">
      <c r="D1393" s="104"/>
      <c r="E1393" s="104"/>
      <c r="F1393" s="104"/>
      <c r="G1393" s="104"/>
      <c r="H1393" s="104"/>
      <c r="I1393" s="104"/>
      <c r="J1393" s="104"/>
      <c r="K1393" s="104"/>
      <c r="L1393" s="104"/>
      <c r="M1393" s="104"/>
      <c r="N1393" s="104"/>
      <c r="O1393" s="104"/>
      <c r="P1393" s="104"/>
      <c r="Q1393" s="104"/>
      <c r="R1393" s="104"/>
      <c r="S1393" s="104"/>
    </row>
    <row r="1394" spans="4:19">
      <c r="D1394" s="104"/>
      <c r="E1394" s="104"/>
      <c r="F1394" s="104"/>
      <c r="G1394" s="104"/>
      <c r="H1394" s="104"/>
      <c r="I1394" s="104"/>
      <c r="J1394" s="104"/>
      <c r="K1394" s="104"/>
      <c r="L1394" s="104"/>
      <c r="M1394" s="104"/>
      <c r="N1394" s="104"/>
      <c r="O1394" s="104"/>
      <c r="P1394" s="104"/>
      <c r="Q1394" s="104"/>
      <c r="R1394" s="104"/>
      <c r="S1394" s="104"/>
    </row>
    <row r="1395" spans="4:19">
      <c r="D1395" s="104"/>
      <c r="E1395" s="104"/>
      <c r="F1395" s="104"/>
      <c r="G1395" s="104"/>
      <c r="H1395" s="104"/>
      <c r="I1395" s="104"/>
      <c r="J1395" s="104"/>
      <c r="K1395" s="104"/>
      <c r="L1395" s="104"/>
      <c r="M1395" s="104"/>
      <c r="N1395" s="104"/>
      <c r="O1395" s="104"/>
      <c r="P1395" s="104"/>
      <c r="Q1395" s="104"/>
      <c r="R1395" s="104"/>
      <c r="S1395" s="104"/>
    </row>
    <row r="1396" spans="4:19">
      <c r="D1396" s="104"/>
      <c r="E1396" s="104"/>
      <c r="F1396" s="104"/>
      <c r="G1396" s="104"/>
      <c r="H1396" s="104"/>
      <c r="I1396" s="104"/>
      <c r="J1396" s="104"/>
      <c r="K1396" s="104"/>
      <c r="L1396" s="104"/>
      <c r="M1396" s="104"/>
      <c r="N1396" s="104"/>
      <c r="O1396" s="104"/>
      <c r="P1396" s="104"/>
      <c r="Q1396" s="104"/>
      <c r="R1396" s="104"/>
      <c r="S1396" s="104"/>
    </row>
    <row r="1397" spans="4:19">
      <c r="D1397" s="104"/>
      <c r="E1397" s="104"/>
      <c r="F1397" s="104"/>
      <c r="G1397" s="104"/>
      <c r="H1397" s="104"/>
      <c r="I1397" s="104"/>
      <c r="J1397" s="104"/>
      <c r="K1397" s="104"/>
      <c r="L1397" s="104"/>
      <c r="M1397" s="104"/>
      <c r="N1397" s="104"/>
      <c r="O1397" s="104"/>
      <c r="P1397" s="104"/>
      <c r="Q1397" s="104"/>
      <c r="R1397" s="104"/>
      <c r="S1397" s="104"/>
    </row>
    <row r="1398" spans="4:19">
      <c r="D1398" s="104"/>
      <c r="E1398" s="104"/>
      <c r="F1398" s="104"/>
      <c r="G1398" s="104"/>
      <c r="H1398" s="104"/>
      <c r="I1398" s="104"/>
      <c r="J1398" s="104"/>
      <c r="K1398" s="104"/>
      <c r="L1398" s="104"/>
      <c r="M1398" s="104"/>
      <c r="N1398" s="104"/>
      <c r="O1398" s="104"/>
      <c r="P1398" s="104"/>
      <c r="Q1398" s="104"/>
      <c r="R1398" s="104"/>
      <c r="S1398" s="104"/>
    </row>
    <row r="1399" spans="4:19">
      <c r="D1399" s="104"/>
      <c r="E1399" s="104"/>
      <c r="F1399" s="104"/>
      <c r="G1399" s="104"/>
      <c r="H1399" s="104"/>
      <c r="I1399" s="104"/>
      <c r="J1399" s="104"/>
      <c r="K1399" s="104"/>
      <c r="L1399" s="104"/>
      <c r="M1399" s="104"/>
      <c r="N1399" s="104"/>
      <c r="O1399" s="104"/>
      <c r="P1399" s="104"/>
      <c r="Q1399" s="104"/>
      <c r="R1399" s="104"/>
      <c r="S1399" s="104"/>
    </row>
    <row r="1400" spans="4:19">
      <c r="D1400" s="104"/>
      <c r="E1400" s="104"/>
      <c r="F1400" s="104"/>
      <c r="G1400" s="104"/>
      <c r="H1400" s="104"/>
      <c r="I1400" s="104"/>
      <c r="J1400" s="104"/>
      <c r="K1400" s="104"/>
      <c r="L1400" s="104"/>
      <c r="M1400" s="104"/>
      <c r="N1400" s="104"/>
      <c r="O1400" s="104"/>
      <c r="P1400" s="104"/>
      <c r="Q1400" s="104"/>
      <c r="R1400" s="104"/>
      <c r="S1400" s="104"/>
    </row>
    <row r="1401" spans="4:19">
      <c r="D1401" s="104"/>
      <c r="E1401" s="104"/>
      <c r="F1401" s="104"/>
      <c r="G1401" s="104"/>
      <c r="H1401" s="104"/>
      <c r="I1401" s="104"/>
      <c r="J1401" s="104"/>
      <c r="K1401" s="104"/>
      <c r="L1401" s="104"/>
      <c r="M1401" s="104"/>
      <c r="N1401" s="104"/>
      <c r="O1401" s="104"/>
      <c r="P1401" s="104"/>
      <c r="Q1401" s="104"/>
      <c r="R1401" s="104"/>
      <c r="S1401" s="104"/>
    </row>
    <row r="1402" spans="4:19">
      <c r="D1402" s="104"/>
      <c r="E1402" s="104"/>
      <c r="F1402" s="104"/>
      <c r="G1402" s="104"/>
      <c r="H1402" s="104"/>
      <c r="I1402" s="104"/>
      <c r="J1402" s="104"/>
      <c r="K1402" s="104"/>
      <c r="L1402" s="104"/>
      <c r="M1402" s="104"/>
      <c r="N1402" s="104"/>
      <c r="O1402" s="104"/>
      <c r="P1402" s="104"/>
      <c r="Q1402" s="104"/>
      <c r="R1402" s="104"/>
      <c r="S1402" s="104"/>
    </row>
    <row r="1403" spans="4:19">
      <c r="D1403" s="104"/>
      <c r="E1403" s="104"/>
      <c r="F1403" s="104"/>
      <c r="G1403" s="104"/>
      <c r="H1403" s="104"/>
      <c r="I1403" s="104"/>
      <c r="J1403" s="104"/>
      <c r="K1403" s="104"/>
      <c r="L1403" s="104"/>
      <c r="M1403" s="104"/>
      <c r="N1403" s="104"/>
      <c r="O1403" s="104"/>
      <c r="P1403" s="104"/>
      <c r="Q1403" s="104"/>
      <c r="R1403" s="104"/>
      <c r="S1403" s="104"/>
    </row>
    <row r="1404" spans="4:19">
      <c r="D1404" s="104"/>
      <c r="E1404" s="104"/>
      <c r="F1404" s="104"/>
      <c r="G1404" s="104"/>
      <c r="H1404" s="104"/>
      <c r="I1404" s="104"/>
      <c r="J1404" s="104"/>
      <c r="K1404" s="104"/>
      <c r="L1404" s="104"/>
      <c r="M1404" s="104"/>
      <c r="N1404" s="104"/>
      <c r="O1404" s="104"/>
      <c r="P1404" s="104"/>
      <c r="Q1404" s="104"/>
      <c r="R1404" s="104"/>
      <c r="S1404" s="104"/>
    </row>
    <row r="1405" spans="4:19">
      <c r="D1405" s="104"/>
      <c r="E1405" s="104"/>
      <c r="F1405" s="104"/>
      <c r="G1405" s="104"/>
      <c r="H1405" s="104"/>
      <c r="I1405" s="104"/>
      <c r="J1405" s="104"/>
      <c r="K1405" s="104"/>
      <c r="L1405" s="104"/>
      <c r="M1405" s="104"/>
      <c r="N1405" s="104"/>
      <c r="O1405" s="104"/>
      <c r="P1405" s="104"/>
      <c r="Q1405" s="104"/>
      <c r="R1405" s="104"/>
      <c r="S1405" s="104"/>
    </row>
    <row r="1406" spans="4:19">
      <c r="D1406" s="104"/>
      <c r="E1406" s="104"/>
      <c r="F1406" s="104"/>
      <c r="G1406" s="104"/>
      <c r="H1406" s="104"/>
      <c r="I1406" s="104"/>
      <c r="J1406" s="104"/>
      <c r="K1406" s="104"/>
      <c r="L1406" s="104"/>
      <c r="M1406" s="104"/>
      <c r="N1406" s="104"/>
      <c r="O1406" s="104"/>
      <c r="P1406" s="104"/>
      <c r="Q1406" s="104"/>
      <c r="R1406" s="104"/>
      <c r="S1406" s="104"/>
    </row>
    <row r="1407" spans="4:19">
      <c r="D1407" s="104"/>
      <c r="E1407" s="104"/>
      <c r="F1407" s="104"/>
      <c r="G1407" s="104"/>
      <c r="H1407" s="104"/>
      <c r="I1407" s="104"/>
      <c r="J1407" s="104"/>
      <c r="K1407" s="104"/>
      <c r="L1407" s="104"/>
      <c r="M1407" s="104"/>
      <c r="N1407" s="104"/>
      <c r="O1407" s="104"/>
      <c r="P1407" s="104"/>
      <c r="Q1407" s="104"/>
      <c r="R1407" s="104"/>
      <c r="S1407" s="104"/>
    </row>
    <row r="1408" spans="4:19">
      <c r="D1408" s="104"/>
      <c r="E1408" s="104"/>
      <c r="F1408" s="104"/>
      <c r="G1408" s="104"/>
      <c r="H1408" s="104"/>
      <c r="I1408" s="104"/>
      <c r="J1408" s="104"/>
      <c r="K1408" s="104"/>
      <c r="L1408" s="104"/>
      <c r="M1408" s="104"/>
      <c r="N1408" s="104"/>
      <c r="O1408" s="104"/>
      <c r="P1408" s="104"/>
      <c r="Q1408" s="104"/>
      <c r="R1408" s="104"/>
      <c r="S1408" s="104"/>
    </row>
    <row r="1409" spans="4:19">
      <c r="D1409" s="104"/>
      <c r="E1409" s="104"/>
      <c r="F1409" s="104"/>
      <c r="G1409" s="104"/>
      <c r="H1409" s="104"/>
      <c r="I1409" s="104"/>
      <c r="J1409" s="104"/>
      <c r="K1409" s="104"/>
      <c r="L1409" s="104"/>
      <c r="M1409" s="104"/>
      <c r="N1409" s="104"/>
      <c r="O1409" s="104"/>
      <c r="P1409" s="104"/>
      <c r="Q1409" s="104"/>
      <c r="R1409" s="104"/>
      <c r="S1409" s="104"/>
    </row>
    <row r="1410" spans="4:19">
      <c r="D1410" s="104"/>
      <c r="E1410" s="104"/>
      <c r="F1410" s="104"/>
      <c r="G1410" s="104"/>
      <c r="H1410" s="104"/>
      <c r="I1410" s="104"/>
      <c r="J1410" s="104"/>
      <c r="K1410" s="104"/>
      <c r="L1410" s="104"/>
      <c r="M1410" s="104"/>
      <c r="N1410" s="104"/>
      <c r="O1410" s="104"/>
      <c r="P1410" s="104"/>
      <c r="Q1410" s="104"/>
      <c r="R1410" s="104"/>
      <c r="S1410" s="104"/>
    </row>
    <row r="1411" spans="4:19">
      <c r="D1411" s="104"/>
      <c r="E1411" s="104"/>
      <c r="F1411" s="104"/>
      <c r="G1411" s="104"/>
      <c r="H1411" s="104"/>
      <c r="I1411" s="104"/>
      <c r="J1411" s="104"/>
      <c r="K1411" s="104"/>
      <c r="L1411" s="104"/>
      <c r="M1411" s="104"/>
      <c r="N1411" s="104"/>
      <c r="O1411" s="104"/>
      <c r="P1411" s="104"/>
      <c r="Q1411" s="104"/>
      <c r="R1411" s="104"/>
      <c r="S1411" s="104"/>
    </row>
    <row r="1412" spans="4:19">
      <c r="D1412" s="104"/>
      <c r="E1412" s="104"/>
      <c r="F1412" s="104"/>
      <c r="G1412" s="104"/>
      <c r="H1412" s="104"/>
      <c r="I1412" s="104"/>
      <c r="J1412" s="104"/>
      <c r="K1412" s="104"/>
      <c r="L1412" s="104"/>
      <c r="M1412" s="104"/>
      <c r="N1412" s="104"/>
      <c r="O1412" s="104"/>
      <c r="P1412" s="104"/>
      <c r="Q1412" s="104"/>
      <c r="R1412" s="104"/>
      <c r="S1412" s="104"/>
    </row>
    <row r="1413" spans="4:19">
      <c r="D1413" s="104"/>
      <c r="E1413" s="104"/>
      <c r="F1413" s="104"/>
      <c r="G1413" s="104"/>
      <c r="H1413" s="104"/>
      <c r="I1413" s="104"/>
      <c r="J1413" s="104"/>
      <c r="K1413" s="104"/>
      <c r="L1413" s="104"/>
      <c r="M1413" s="104"/>
      <c r="N1413" s="104"/>
      <c r="O1413" s="104"/>
      <c r="P1413" s="104"/>
      <c r="Q1413" s="104"/>
      <c r="R1413" s="104"/>
      <c r="S1413" s="104"/>
    </row>
    <row r="1414" spans="4:19">
      <c r="D1414" s="104"/>
      <c r="E1414" s="104"/>
      <c r="F1414" s="104"/>
      <c r="G1414" s="104"/>
      <c r="H1414" s="104"/>
      <c r="I1414" s="104"/>
      <c r="J1414" s="104"/>
      <c r="K1414" s="104"/>
      <c r="L1414" s="104"/>
      <c r="M1414" s="104"/>
      <c r="N1414" s="104"/>
      <c r="O1414" s="104"/>
      <c r="P1414" s="104"/>
      <c r="Q1414" s="104"/>
      <c r="R1414" s="104"/>
      <c r="S1414" s="104"/>
    </row>
    <row r="1415" spans="4:19">
      <c r="D1415" s="104"/>
      <c r="E1415" s="104"/>
      <c r="F1415" s="104"/>
      <c r="G1415" s="104"/>
      <c r="H1415" s="104"/>
      <c r="I1415" s="104"/>
      <c r="J1415" s="104"/>
      <c r="K1415" s="104"/>
      <c r="L1415" s="104"/>
      <c r="M1415" s="104"/>
      <c r="N1415" s="104"/>
      <c r="O1415" s="104"/>
      <c r="P1415" s="104"/>
      <c r="Q1415" s="104"/>
      <c r="R1415" s="104"/>
      <c r="S1415" s="104"/>
    </row>
    <row r="1416" spans="4:19">
      <c r="D1416" s="104"/>
      <c r="E1416" s="104"/>
      <c r="F1416" s="104"/>
      <c r="G1416" s="104"/>
      <c r="H1416" s="104"/>
      <c r="I1416" s="104"/>
      <c r="J1416" s="104"/>
      <c r="K1416" s="104"/>
      <c r="L1416" s="104"/>
      <c r="M1416" s="104"/>
      <c r="N1416" s="104"/>
      <c r="O1416" s="104"/>
      <c r="P1416" s="104"/>
      <c r="Q1416" s="104"/>
      <c r="R1416" s="104"/>
      <c r="S1416" s="104"/>
    </row>
    <row r="1417" spans="4:19">
      <c r="D1417" s="104"/>
      <c r="E1417" s="104"/>
      <c r="F1417" s="104"/>
      <c r="G1417" s="104"/>
      <c r="H1417" s="104"/>
      <c r="I1417" s="104"/>
      <c r="J1417" s="104"/>
      <c r="K1417" s="104"/>
      <c r="L1417" s="104"/>
      <c r="M1417" s="104"/>
      <c r="N1417" s="104"/>
      <c r="O1417" s="104"/>
      <c r="P1417" s="104"/>
      <c r="Q1417" s="104"/>
      <c r="R1417" s="104"/>
      <c r="S1417" s="104"/>
    </row>
    <row r="1418" spans="4:19">
      <c r="D1418" s="104"/>
      <c r="E1418" s="104"/>
      <c r="F1418" s="104"/>
      <c r="G1418" s="104"/>
      <c r="H1418" s="104"/>
      <c r="I1418" s="104"/>
      <c r="J1418" s="104"/>
      <c r="K1418" s="104"/>
      <c r="L1418" s="104"/>
      <c r="M1418" s="104"/>
      <c r="N1418" s="104"/>
      <c r="O1418" s="104"/>
      <c r="P1418" s="104"/>
      <c r="Q1418" s="104"/>
      <c r="R1418" s="104"/>
      <c r="S1418" s="104"/>
    </row>
    <row r="1419" spans="4:19">
      <c r="D1419" s="104"/>
      <c r="E1419" s="104"/>
      <c r="F1419" s="104"/>
      <c r="G1419" s="104"/>
      <c r="H1419" s="104"/>
      <c r="I1419" s="104"/>
      <c r="J1419" s="104"/>
      <c r="K1419" s="104"/>
      <c r="L1419" s="104"/>
      <c r="M1419" s="104"/>
      <c r="N1419" s="104"/>
      <c r="O1419" s="104"/>
      <c r="P1419" s="104"/>
      <c r="Q1419" s="104"/>
      <c r="R1419" s="104"/>
      <c r="S1419" s="104"/>
    </row>
    <row r="1420" spans="4:19">
      <c r="D1420" s="104"/>
      <c r="E1420" s="104"/>
      <c r="F1420" s="104"/>
      <c r="G1420" s="104"/>
      <c r="H1420" s="104"/>
      <c r="I1420" s="104"/>
      <c r="J1420" s="104"/>
      <c r="K1420" s="104"/>
      <c r="L1420" s="104"/>
      <c r="M1420" s="104"/>
      <c r="N1420" s="104"/>
      <c r="O1420" s="104"/>
      <c r="P1420" s="104"/>
      <c r="Q1420" s="104"/>
      <c r="R1420" s="104"/>
      <c r="S1420" s="104"/>
    </row>
    <row r="1421" spans="4:19">
      <c r="D1421" s="104"/>
      <c r="E1421" s="104"/>
      <c r="F1421" s="104"/>
      <c r="G1421" s="104"/>
      <c r="H1421" s="104"/>
      <c r="I1421" s="104"/>
      <c r="J1421" s="104"/>
      <c r="K1421" s="104"/>
      <c r="L1421" s="104"/>
      <c r="M1421" s="104"/>
      <c r="N1421" s="104"/>
      <c r="O1421" s="104"/>
      <c r="P1421" s="104"/>
      <c r="Q1421" s="104"/>
      <c r="R1421" s="104"/>
      <c r="S1421" s="104"/>
    </row>
    <row r="1422" spans="4:19">
      <c r="D1422" s="104"/>
      <c r="E1422" s="104"/>
      <c r="F1422" s="104"/>
      <c r="G1422" s="104"/>
      <c r="H1422" s="104"/>
      <c r="I1422" s="104"/>
      <c r="J1422" s="104"/>
      <c r="K1422" s="104"/>
      <c r="L1422" s="104"/>
      <c r="M1422" s="104"/>
      <c r="N1422" s="104"/>
      <c r="O1422" s="104"/>
      <c r="P1422" s="104"/>
      <c r="Q1422" s="104"/>
      <c r="R1422" s="104"/>
      <c r="S1422" s="104"/>
    </row>
    <row r="1423" spans="4:19">
      <c r="D1423" s="104"/>
      <c r="E1423" s="104"/>
      <c r="F1423" s="104"/>
      <c r="G1423" s="104"/>
      <c r="H1423" s="104"/>
      <c r="I1423" s="104"/>
      <c r="J1423" s="104"/>
      <c r="K1423" s="104"/>
      <c r="L1423" s="104"/>
      <c r="M1423" s="104"/>
      <c r="N1423" s="104"/>
      <c r="O1423" s="104"/>
      <c r="P1423" s="104"/>
      <c r="Q1423" s="104"/>
      <c r="R1423" s="104"/>
      <c r="S1423" s="104"/>
    </row>
    <row r="1424" spans="4:19">
      <c r="D1424" s="104"/>
      <c r="E1424" s="104"/>
      <c r="F1424" s="104"/>
      <c r="G1424" s="104"/>
      <c r="H1424" s="104"/>
      <c r="I1424" s="104"/>
      <c r="J1424" s="104"/>
      <c r="K1424" s="104"/>
      <c r="L1424" s="104"/>
      <c r="M1424" s="104"/>
      <c r="N1424" s="104"/>
      <c r="O1424" s="104"/>
      <c r="P1424" s="104"/>
      <c r="Q1424" s="104"/>
      <c r="R1424" s="104"/>
      <c r="S1424" s="104"/>
    </row>
    <row r="1425" spans="4:19">
      <c r="D1425" s="104"/>
      <c r="E1425" s="104"/>
      <c r="F1425" s="104"/>
      <c r="G1425" s="104"/>
      <c r="H1425" s="104"/>
      <c r="I1425" s="104"/>
      <c r="J1425" s="104"/>
      <c r="K1425" s="104"/>
      <c r="L1425" s="104"/>
      <c r="M1425" s="104"/>
      <c r="N1425" s="104"/>
      <c r="O1425" s="104"/>
      <c r="P1425" s="104"/>
      <c r="Q1425" s="104"/>
      <c r="R1425" s="104"/>
      <c r="S1425" s="104"/>
    </row>
    <row r="1426" spans="4:19">
      <c r="D1426" s="104"/>
      <c r="E1426" s="104"/>
      <c r="F1426" s="104"/>
      <c r="G1426" s="104"/>
      <c r="H1426" s="104"/>
      <c r="I1426" s="104"/>
      <c r="J1426" s="104"/>
      <c r="K1426" s="104"/>
      <c r="L1426" s="104"/>
      <c r="M1426" s="104"/>
      <c r="N1426" s="104"/>
      <c r="O1426" s="104"/>
      <c r="P1426" s="104"/>
      <c r="Q1426" s="104"/>
      <c r="R1426" s="104"/>
      <c r="S1426" s="104"/>
    </row>
    <row r="1427" spans="4:19">
      <c r="D1427" s="104"/>
      <c r="E1427" s="104"/>
      <c r="F1427" s="104"/>
      <c r="G1427" s="104"/>
      <c r="H1427" s="104"/>
      <c r="I1427" s="104"/>
      <c r="J1427" s="104"/>
      <c r="K1427" s="104"/>
      <c r="L1427" s="104"/>
      <c r="M1427" s="104"/>
      <c r="N1427" s="104"/>
      <c r="O1427" s="104"/>
      <c r="P1427" s="104"/>
      <c r="Q1427" s="104"/>
      <c r="R1427" s="104"/>
      <c r="S1427" s="104"/>
    </row>
    <row r="1428" spans="4:19">
      <c r="D1428" s="104"/>
      <c r="E1428" s="104"/>
      <c r="F1428" s="104"/>
      <c r="G1428" s="104"/>
      <c r="H1428" s="104"/>
      <c r="I1428" s="104"/>
      <c r="J1428" s="104"/>
      <c r="K1428" s="104"/>
      <c r="L1428" s="104"/>
      <c r="M1428" s="104"/>
      <c r="N1428" s="104"/>
      <c r="O1428" s="104"/>
      <c r="P1428" s="104"/>
      <c r="Q1428" s="104"/>
      <c r="R1428" s="104"/>
      <c r="S1428" s="104"/>
    </row>
    <row r="1429" spans="4:19">
      <c r="D1429" s="104"/>
      <c r="E1429" s="104"/>
      <c r="F1429" s="104"/>
      <c r="G1429" s="104"/>
      <c r="H1429" s="104"/>
      <c r="I1429" s="104"/>
      <c r="J1429" s="104"/>
      <c r="K1429" s="104"/>
      <c r="L1429" s="104"/>
      <c r="M1429" s="104"/>
      <c r="N1429" s="104"/>
      <c r="O1429" s="104"/>
      <c r="P1429" s="104"/>
      <c r="Q1429" s="104"/>
      <c r="R1429" s="104"/>
      <c r="S1429" s="104"/>
    </row>
    <row r="1430" spans="4:19">
      <c r="D1430" s="104"/>
      <c r="E1430" s="104"/>
      <c r="F1430" s="104"/>
      <c r="G1430" s="104"/>
      <c r="H1430" s="104"/>
      <c r="I1430" s="104"/>
      <c r="J1430" s="104"/>
      <c r="K1430" s="104"/>
      <c r="L1430" s="104"/>
      <c r="M1430" s="104"/>
      <c r="N1430" s="104"/>
      <c r="O1430" s="104"/>
      <c r="P1430" s="104"/>
      <c r="Q1430" s="104"/>
      <c r="R1430" s="104"/>
      <c r="S1430" s="104"/>
    </row>
    <row r="1431" spans="4:19">
      <c r="D1431" s="104"/>
      <c r="E1431" s="104"/>
      <c r="F1431" s="104"/>
      <c r="G1431" s="104"/>
      <c r="H1431" s="104"/>
      <c r="I1431" s="104"/>
      <c r="J1431" s="104"/>
      <c r="K1431" s="104"/>
      <c r="L1431" s="104"/>
      <c r="M1431" s="104"/>
      <c r="N1431" s="104"/>
      <c r="O1431" s="104"/>
      <c r="P1431" s="104"/>
      <c r="Q1431" s="104"/>
      <c r="R1431" s="104"/>
      <c r="S1431" s="104"/>
    </row>
    <row r="1432" spans="4:19">
      <c r="D1432" s="104"/>
      <c r="E1432" s="104"/>
      <c r="F1432" s="104"/>
      <c r="G1432" s="104"/>
      <c r="H1432" s="104"/>
      <c r="I1432" s="104"/>
      <c r="J1432" s="104"/>
      <c r="K1432" s="104"/>
      <c r="L1432" s="104"/>
      <c r="M1432" s="104"/>
      <c r="N1432" s="104"/>
      <c r="O1432" s="104"/>
      <c r="P1432" s="104"/>
      <c r="Q1432" s="104"/>
      <c r="R1432" s="104"/>
      <c r="S1432" s="104"/>
    </row>
    <row r="1433" spans="4:19">
      <c r="D1433" s="104"/>
      <c r="E1433" s="104"/>
      <c r="F1433" s="104"/>
      <c r="G1433" s="104"/>
      <c r="H1433" s="104"/>
      <c r="I1433" s="104"/>
      <c r="J1433" s="104"/>
      <c r="K1433" s="104"/>
      <c r="L1433" s="104"/>
      <c r="M1433" s="104"/>
      <c r="N1433" s="104"/>
      <c r="O1433" s="104"/>
      <c r="P1433" s="104"/>
      <c r="Q1433" s="104"/>
      <c r="R1433" s="104"/>
      <c r="S1433" s="104"/>
    </row>
    <row r="1434" spans="4:19">
      <c r="D1434" s="104"/>
      <c r="E1434" s="104"/>
      <c r="F1434" s="104"/>
      <c r="G1434" s="104"/>
      <c r="H1434" s="104"/>
      <c r="I1434" s="104"/>
      <c r="J1434" s="104"/>
      <c r="K1434" s="104"/>
      <c r="L1434" s="104"/>
      <c r="M1434" s="104"/>
      <c r="N1434" s="104"/>
      <c r="O1434" s="104"/>
      <c r="P1434" s="104"/>
      <c r="Q1434" s="104"/>
      <c r="R1434" s="104"/>
      <c r="S1434" s="104"/>
    </row>
    <row r="1435" spans="4:19">
      <c r="D1435" s="104"/>
      <c r="E1435" s="104"/>
      <c r="F1435" s="104"/>
      <c r="G1435" s="104"/>
      <c r="H1435" s="104"/>
      <c r="I1435" s="104"/>
      <c r="J1435" s="104"/>
      <c r="K1435" s="104"/>
      <c r="L1435" s="104"/>
      <c r="M1435" s="104"/>
      <c r="N1435" s="104"/>
      <c r="O1435" s="104"/>
      <c r="P1435" s="104"/>
      <c r="Q1435" s="104"/>
      <c r="R1435" s="104"/>
      <c r="S1435" s="104"/>
    </row>
    <row r="1436" spans="4:19">
      <c r="D1436" s="104"/>
      <c r="E1436" s="104"/>
      <c r="F1436" s="104"/>
      <c r="G1436" s="104"/>
      <c r="H1436" s="104"/>
      <c r="I1436" s="104"/>
      <c r="J1436" s="104"/>
      <c r="K1436" s="104"/>
      <c r="L1436" s="104"/>
      <c r="M1436" s="104"/>
      <c r="N1436" s="104"/>
      <c r="O1436" s="104"/>
      <c r="P1436" s="104"/>
      <c r="Q1436" s="104"/>
      <c r="R1436" s="104"/>
      <c r="S1436" s="104"/>
    </row>
    <row r="1437" spans="4:19">
      <c r="D1437" s="104"/>
      <c r="E1437" s="104"/>
      <c r="F1437" s="104"/>
      <c r="G1437" s="104"/>
      <c r="H1437" s="104"/>
      <c r="I1437" s="104"/>
      <c r="J1437" s="104"/>
      <c r="K1437" s="104"/>
      <c r="L1437" s="104"/>
      <c r="M1437" s="104"/>
      <c r="N1437" s="104"/>
      <c r="O1437" s="104"/>
      <c r="P1437" s="104"/>
      <c r="Q1437" s="104"/>
      <c r="R1437" s="104"/>
      <c r="S1437" s="104"/>
    </row>
    <row r="1438" spans="4:19">
      <c r="D1438" s="104"/>
      <c r="E1438" s="104"/>
      <c r="F1438" s="104"/>
      <c r="G1438" s="104"/>
      <c r="H1438" s="104"/>
      <c r="I1438" s="104"/>
      <c r="J1438" s="104"/>
      <c r="K1438" s="104"/>
      <c r="L1438" s="104"/>
      <c r="M1438" s="104"/>
      <c r="N1438" s="104"/>
      <c r="O1438" s="104"/>
      <c r="P1438" s="104"/>
      <c r="Q1438" s="104"/>
      <c r="R1438" s="104"/>
      <c r="S1438" s="104"/>
    </row>
    <row r="1439" spans="4:19">
      <c r="D1439" s="104"/>
      <c r="E1439" s="104"/>
      <c r="F1439" s="104"/>
      <c r="G1439" s="104"/>
      <c r="H1439" s="104"/>
      <c r="I1439" s="104"/>
      <c r="J1439" s="104"/>
      <c r="K1439" s="104"/>
      <c r="L1439" s="104"/>
      <c r="M1439" s="104"/>
      <c r="N1439" s="104"/>
      <c r="O1439" s="104"/>
      <c r="P1439" s="104"/>
      <c r="Q1439" s="104"/>
      <c r="R1439" s="104"/>
      <c r="S1439" s="104"/>
    </row>
    <row r="1440" spans="4:19">
      <c r="D1440" s="104"/>
      <c r="E1440" s="104"/>
      <c r="F1440" s="104"/>
      <c r="G1440" s="104"/>
      <c r="H1440" s="104"/>
      <c r="I1440" s="104"/>
      <c r="J1440" s="104"/>
      <c r="K1440" s="104"/>
      <c r="L1440" s="104"/>
      <c r="M1440" s="104"/>
      <c r="N1440" s="104"/>
      <c r="O1440" s="104"/>
      <c r="P1440" s="104"/>
      <c r="Q1440" s="104"/>
      <c r="R1440" s="104"/>
      <c r="S1440" s="104"/>
    </row>
    <row r="1441" spans="4:19">
      <c r="D1441" s="104"/>
      <c r="E1441" s="104"/>
      <c r="F1441" s="104"/>
      <c r="G1441" s="104"/>
      <c r="H1441" s="104"/>
      <c r="I1441" s="104"/>
      <c r="J1441" s="104"/>
      <c r="K1441" s="104"/>
      <c r="L1441" s="104"/>
      <c r="M1441" s="104"/>
      <c r="N1441" s="104"/>
      <c r="O1441" s="104"/>
      <c r="P1441" s="104"/>
      <c r="Q1441" s="104"/>
      <c r="R1441" s="104"/>
      <c r="S1441" s="104"/>
    </row>
    <row r="1442" spans="4:19">
      <c r="D1442" s="104"/>
      <c r="E1442" s="104"/>
      <c r="F1442" s="104"/>
      <c r="G1442" s="104"/>
      <c r="H1442" s="104"/>
      <c r="I1442" s="104"/>
      <c r="J1442" s="104"/>
      <c r="K1442" s="104"/>
      <c r="L1442" s="104"/>
      <c r="M1442" s="104"/>
      <c r="N1442" s="104"/>
      <c r="O1442" s="104"/>
      <c r="P1442" s="104"/>
      <c r="Q1442" s="104"/>
      <c r="R1442" s="104"/>
      <c r="S1442" s="104"/>
    </row>
    <row r="1443" spans="4:19">
      <c r="D1443" s="104"/>
      <c r="E1443" s="104"/>
      <c r="F1443" s="104"/>
      <c r="G1443" s="104"/>
      <c r="H1443" s="104"/>
      <c r="I1443" s="104"/>
      <c r="J1443" s="104"/>
      <c r="K1443" s="104"/>
      <c r="L1443" s="104"/>
      <c r="M1443" s="104"/>
      <c r="N1443" s="104"/>
      <c r="O1443" s="104"/>
      <c r="P1443" s="104"/>
      <c r="Q1443" s="104"/>
      <c r="R1443" s="104"/>
      <c r="S1443" s="104"/>
    </row>
    <row r="1444" spans="4:19">
      <c r="D1444" s="104"/>
      <c r="E1444" s="104"/>
      <c r="F1444" s="104"/>
      <c r="G1444" s="104"/>
      <c r="H1444" s="104"/>
      <c r="I1444" s="104"/>
      <c r="J1444" s="104"/>
      <c r="K1444" s="104"/>
      <c r="L1444" s="104"/>
      <c r="M1444" s="104"/>
      <c r="N1444" s="104"/>
      <c r="O1444" s="104"/>
      <c r="P1444" s="104"/>
      <c r="Q1444" s="104"/>
      <c r="R1444" s="104"/>
      <c r="S1444" s="104"/>
    </row>
    <row r="1445" spans="4:19">
      <c r="D1445" s="104"/>
      <c r="E1445" s="104"/>
      <c r="F1445" s="104"/>
      <c r="G1445" s="104"/>
      <c r="H1445" s="104"/>
      <c r="I1445" s="104"/>
      <c r="J1445" s="104"/>
      <c r="K1445" s="104"/>
      <c r="L1445" s="104"/>
      <c r="M1445" s="104"/>
      <c r="N1445" s="104"/>
      <c r="O1445" s="104"/>
      <c r="P1445" s="104"/>
      <c r="Q1445" s="104"/>
      <c r="R1445" s="104"/>
      <c r="S1445" s="104"/>
    </row>
    <row r="1446" spans="4:19">
      <c r="D1446" s="104"/>
      <c r="E1446" s="104"/>
      <c r="F1446" s="104"/>
      <c r="G1446" s="104"/>
      <c r="H1446" s="104"/>
      <c r="I1446" s="104"/>
      <c r="J1446" s="104"/>
      <c r="K1446" s="104"/>
      <c r="L1446" s="104"/>
      <c r="M1446" s="104"/>
      <c r="N1446" s="104"/>
      <c r="O1446" s="104"/>
      <c r="P1446" s="104"/>
      <c r="Q1446" s="104"/>
      <c r="R1446" s="104"/>
      <c r="S1446" s="104"/>
    </row>
    <row r="1447" spans="4:19">
      <c r="D1447" s="104"/>
      <c r="E1447" s="104"/>
      <c r="F1447" s="104"/>
      <c r="G1447" s="104"/>
      <c r="H1447" s="104"/>
      <c r="I1447" s="104"/>
      <c r="J1447" s="104"/>
      <c r="K1447" s="104"/>
      <c r="L1447" s="104"/>
      <c r="M1447" s="104"/>
      <c r="N1447" s="104"/>
      <c r="O1447" s="104"/>
      <c r="P1447" s="104"/>
      <c r="Q1447" s="104"/>
      <c r="R1447" s="104"/>
      <c r="S1447" s="104"/>
    </row>
    <row r="1448" spans="4:19">
      <c r="D1448" s="104"/>
      <c r="E1448" s="104"/>
      <c r="F1448" s="104"/>
      <c r="G1448" s="104"/>
      <c r="H1448" s="104"/>
      <c r="I1448" s="104"/>
      <c r="J1448" s="104"/>
      <c r="K1448" s="104"/>
      <c r="L1448" s="104"/>
      <c r="M1448" s="104"/>
      <c r="N1448" s="104"/>
      <c r="O1448" s="104"/>
      <c r="P1448" s="104"/>
      <c r="Q1448" s="104"/>
      <c r="R1448" s="104"/>
      <c r="S1448" s="104"/>
    </row>
    <row r="1449" spans="4:19">
      <c r="D1449" s="104"/>
      <c r="E1449" s="104"/>
      <c r="F1449" s="104"/>
      <c r="G1449" s="104"/>
      <c r="H1449" s="104"/>
      <c r="I1449" s="104"/>
      <c r="J1449" s="104"/>
      <c r="K1449" s="104"/>
      <c r="L1449" s="104"/>
      <c r="M1449" s="104"/>
      <c r="N1449" s="104"/>
      <c r="O1449" s="104"/>
      <c r="P1449" s="104"/>
      <c r="Q1449" s="104"/>
      <c r="R1449" s="104"/>
      <c r="S1449" s="104"/>
    </row>
    <row r="1450" spans="4:19">
      <c r="D1450" s="104"/>
      <c r="E1450" s="104"/>
      <c r="F1450" s="104"/>
      <c r="G1450" s="104"/>
      <c r="H1450" s="104"/>
      <c r="I1450" s="104"/>
      <c r="J1450" s="104"/>
      <c r="K1450" s="104"/>
      <c r="L1450" s="104"/>
      <c r="M1450" s="104"/>
      <c r="N1450" s="104"/>
      <c r="O1450" s="104"/>
      <c r="P1450" s="104"/>
      <c r="Q1450" s="104"/>
      <c r="R1450" s="104"/>
      <c r="S1450" s="104"/>
    </row>
    <row r="1451" spans="4:19">
      <c r="D1451" s="104"/>
      <c r="E1451" s="104"/>
      <c r="F1451" s="104"/>
      <c r="G1451" s="104"/>
      <c r="H1451" s="104"/>
      <c r="I1451" s="104"/>
      <c r="J1451" s="104"/>
      <c r="K1451" s="104"/>
      <c r="L1451" s="104"/>
      <c r="M1451" s="104"/>
      <c r="N1451" s="104"/>
      <c r="O1451" s="104"/>
      <c r="P1451" s="104"/>
      <c r="Q1451" s="104"/>
      <c r="R1451" s="104"/>
      <c r="S1451" s="104"/>
    </row>
    <row r="1452" spans="4:19">
      <c r="D1452" s="104"/>
      <c r="E1452" s="104"/>
      <c r="F1452" s="104"/>
      <c r="G1452" s="104"/>
      <c r="H1452" s="104"/>
      <c r="I1452" s="104"/>
      <c r="J1452" s="104"/>
      <c r="K1452" s="104"/>
      <c r="L1452" s="104"/>
      <c r="M1452" s="104"/>
      <c r="N1452" s="104"/>
      <c r="O1452" s="104"/>
      <c r="P1452" s="104"/>
      <c r="Q1452" s="104"/>
      <c r="R1452" s="104"/>
      <c r="S1452" s="104"/>
    </row>
    <row r="1453" spans="4:19">
      <c r="D1453" s="104"/>
      <c r="E1453" s="104"/>
      <c r="F1453" s="104"/>
      <c r="G1453" s="104"/>
      <c r="H1453" s="104"/>
      <c r="I1453" s="104"/>
      <c r="J1453" s="104"/>
      <c r="K1453" s="104"/>
      <c r="L1453" s="104"/>
      <c r="M1453" s="104"/>
      <c r="N1453" s="104"/>
      <c r="O1453" s="104"/>
      <c r="P1453" s="104"/>
      <c r="Q1453" s="104"/>
      <c r="R1453" s="104"/>
      <c r="S1453" s="104"/>
    </row>
    <row r="1454" spans="4:19">
      <c r="D1454" s="104"/>
      <c r="E1454" s="104"/>
      <c r="F1454" s="104"/>
      <c r="G1454" s="104"/>
      <c r="H1454" s="104"/>
      <c r="I1454" s="104"/>
      <c r="J1454" s="104"/>
      <c r="K1454" s="104"/>
      <c r="L1454" s="104"/>
      <c r="M1454" s="104"/>
      <c r="N1454" s="104"/>
      <c r="O1454" s="104"/>
      <c r="P1454" s="104"/>
      <c r="Q1454" s="104"/>
      <c r="R1454" s="104"/>
      <c r="S1454" s="104"/>
    </row>
    <row r="1455" spans="4:19">
      <c r="D1455" s="104"/>
      <c r="E1455" s="104"/>
      <c r="F1455" s="104"/>
      <c r="G1455" s="104"/>
      <c r="H1455" s="104"/>
      <c r="I1455" s="104"/>
      <c r="J1455" s="104"/>
      <c r="K1455" s="104"/>
      <c r="L1455" s="104"/>
      <c r="M1455" s="104"/>
      <c r="N1455" s="104"/>
      <c r="O1455" s="104"/>
      <c r="P1455" s="104"/>
      <c r="Q1455" s="104"/>
      <c r="R1455" s="104"/>
      <c r="S1455" s="104"/>
    </row>
    <row r="1456" spans="4:19">
      <c r="D1456" s="104"/>
      <c r="E1456" s="104"/>
      <c r="F1456" s="104"/>
      <c r="G1456" s="104"/>
      <c r="H1456" s="104"/>
      <c r="I1456" s="104"/>
      <c r="J1456" s="104"/>
      <c r="K1456" s="104"/>
      <c r="L1456" s="104"/>
      <c r="M1456" s="104"/>
      <c r="N1456" s="104"/>
      <c r="O1456" s="104"/>
      <c r="P1456" s="104"/>
      <c r="Q1456" s="104"/>
      <c r="R1456" s="104"/>
      <c r="S1456" s="104"/>
    </row>
    <row r="1457" spans="4:19">
      <c r="D1457" s="104"/>
      <c r="E1457" s="104"/>
      <c r="F1457" s="104"/>
      <c r="G1457" s="104"/>
      <c r="H1457" s="104"/>
      <c r="I1457" s="104"/>
      <c r="J1457" s="104"/>
      <c r="K1457" s="104"/>
      <c r="L1457" s="104"/>
      <c r="M1457" s="104"/>
      <c r="N1457" s="104"/>
      <c r="O1457" s="104"/>
      <c r="P1457" s="104"/>
      <c r="Q1457" s="104"/>
      <c r="R1457" s="104"/>
      <c r="S1457" s="104"/>
    </row>
    <row r="1458" spans="4:19">
      <c r="D1458" s="104"/>
      <c r="E1458" s="104"/>
      <c r="F1458" s="104"/>
      <c r="G1458" s="104"/>
      <c r="H1458" s="104"/>
      <c r="I1458" s="104"/>
      <c r="J1458" s="104"/>
      <c r="K1458" s="104"/>
      <c r="L1458" s="104"/>
      <c r="M1458" s="104"/>
      <c r="N1458" s="104"/>
      <c r="O1458" s="104"/>
      <c r="P1458" s="104"/>
      <c r="Q1458" s="104"/>
      <c r="R1458" s="104"/>
      <c r="S1458" s="104"/>
    </row>
    <row r="1459" spans="4:19">
      <c r="D1459" s="104"/>
      <c r="E1459" s="104"/>
      <c r="F1459" s="104"/>
      <c r="G1459" s="104"/>
      <c r="H1459" s="104"/>
      <c r="I1459" s="104"/>
      <c r="J1459" s="104"/>
      <c r="K1459" s="104"/>
      <c r="L1459" s="104"/>
      <c r="M1459" s="104"/>
      <c r="N1459" s="104"/>
      <c r="O1459" s="104"/>
      <c r="P1459" s="104"/>
      <c r="Q1459" s="104"/>
      <c r="R1459" s="104"/>
      <c r="S1459" s="104"/>
    </row>
    <row r="1460" spans="4:19">
      <c r="D1460" s="104"/>
      <c r="E1460" s="104"/>
      <c r="F1460" s="104"/>
      <c r="G1460" s="104"/>
      <c r="H1460" s="104"/>
      <c r="I1460" s="104"/>
      <c r="J1460" s="104"/>
      <c r="K1460" s="104"/>
      <c r="L1460" s="104"/>
      <c r="M1460" s="104"/>
      <c r="N1460" s="104"/>
      <c r="O1460" s="104"/>
      <c r="P1460" s="104"/>
      <c r="Q1460" s="104"/>
      <c r="R1460" s="104"/>
      <c r="S1460" s="104"/>
    </row>
    <row r="1461" spans="4:19">
      <c r="D1461" s="104"/>
      <c r="E1461" s="104"/>
      <c r="F1461" s="104"/>
      <c r="G1461" s="104"/>
      <c r="H1461" s="104"/>
      <c r="I1461" s="104"/>
      <c r="J1461" s="104"/>
      <c r="K1461" s="104"/>
      <c r="L1461" s="104"/>
      <c r="M1461" s="104"/>
      <c r="N1461" s="104"/>
      <c r="O1461" s="104"/>
      <c r="P1461" s="104"/>
      <c r="Q1461" s="104"/>
      <c r="R1461" s="104"/>
      <c r="S1461" s="104"/>
    </row>
    <row r="1462" spans="4:19">
      <c r="D1462" s="104"/>
      <c r="E1462" s="104"/>
      <c r="F1462" s="104"/>
      <c r="G1462" s="104"/>
      <c r="H1462" s="104"/>
      <c r="I1462" s="104"/>
      <c r="J1462" s="104"/>
      <c r="K1462" s="104"/>
      <c r="L1462" s="104"/>
      <c r="M1462" s="104"/>
      <c r="N1462" s="104"/>
      <c r="O1462" s="104"/>
      <c r="P1462" s="104"/>
      <c r="Q1462" s="104"/>
      <c r="R1462" s="104"/>
      <c r="S1462" s="104"/>
    </row>
    <row r="1463" spans="4:19">
      <c r="D1463" s="104"/>
      <c r="E1463" s="104"/>
      <c r="F1463" s="104"/>
      <c r="G1463" s="104"/>
      <c r="H1463" s="104"/>
      <c r="I1463" s="104"/>
      <c r="J1463" s="104"/>
      <c r="K1463" s="104"/>
      <c r="L1463" s="104"/>
      <c r="M1463" s="104"/>
      <c r="N1463" s="104"/>
      <c r="O1463" s="104"/>
      <c r="P1463" s="104"/>
      <c r="Q1463" s="104"/>
      <c r="R1463" s="104"/>
      <c r="S1463" s="104"/>
    </row>
    <row r="1464" spans="4:19">
      <c r="D1464" s="104"/>
      <c r="E1464" s="104"/>
      <c r="F1464" s="104"/>
      <c r="G1464" s="104"/>
      <c r="H1464" s="104"/>
      <c r="I1464" s="104"/>
      <c r="J1464" s="104"/>
      <c r="K1464" s="104"/>
      <c r="L1464" s="104"/>
      <c r="M1464" s="104"/>
      <c r="N1464" s="104"/>
      <c r="O1464" s="104"/>
      <c r="P1464" s="104"/>
      <c r="Q1464" s="104"/>
      <c r="R1464" s="104"/>
      <c r="S1464" s="104"/>
    </row>
    <row r="1465" spans="4:19">
      <c r="D1465" s="104"/>
      <c r="E1465" s="104"/>
      <c r="F1465" s="104"/>
      <c r="G1465" s="104"/>
      <c r="H1465" s="104"/>
      <c r="I1465" s="104"/>
      <c r="J1465" s="104"/>
      <c r="K1465" s="104"/>
      <c r="L1465" s="104"/>
      <c r="M1465" s="104"/>
      <c r="N1465" s="104"/>
      <c r="O1465" s="104"/>
      <c r="P1465" s="104"/>
      <c r="Q1465" s="104"/>
      <c r="R1465" s="104"/>
      <c r="S1465" s="104"/>
    </row>
    <row r="1466" spans="4:19">
      <c r="D1466" s="104"/>
      <c r="E1466" s="104"/>
      <c r="F1466" s="104"/>
      <c r="G1466" s="104"/>
      <c r="H1466" s="104"/>
      <c r="I1466" s="104"/>
      <c r="J1466" s="104"/>
      <c r="K1466" s="104"/>
      <c r="L1466" s="104"/>
      <c r="M1466" s="104"/>
      <c r="N1466" s="104"/>
      <c r="O1466" s="104"/>
      <c r="P1466" s="104"/>
      <c r="Q1466" s="104"/>
      <c r="R1466" s="104"/>
      <c r="S1466" s="104"/>
    </row>
    <row r="1467" spans="4:19">
      <c r="D1467" s="104"/>
      <c r="E1467" s="104"/>
      <c r="F1467" s="104"/>
      <c r="G1467" s="104"/>
      <c r="H1467" s="104"/>
      <c r="I1467" s="104"/>
      <c r="J1467" s="104"/>
      <c r="K1467" s="104"/>
      <c r="L1467" s="104"/>
      <c r="M1467" s="104"/>
      <c r="N1467" s="104"/>
      <c r="O1467" s="104"/>
      <c r="P1467" s="104"/>
      <c r="Q1467" s="104"/>
      <c r="R1467" s="104"/>
      <c r="S1467" s="104"/>
    </row>
    <row r="1468" spans="4:19">
      <c r="D1468" s="104"/>
      <c r="E1468" s="104"/>
      <c r="F1468" s="104"/>
      <c r="G1468" s="104"/>
      <c r="H1468" s="104"/>
      <c r="I1468" s="104"/>
      <c r="J1468" s="104"/>
      <c r="K1468" s="104"/>
      <c r="L1468" s="104"/>
      <c r="M1468" s="104"/>
      <c r="N1468" s="104"/>
      <c r="O1468" s="104"/>
      <c r="P1468" s="104"/>
      <c r="Q1468" s="104"/>
      <c r="R1468" s="104"/>
      <c r="S1468" s="104"/>
    </row>
    <row r="1469" spans="4:19">
      <c r="D1469" s="104"/>
      <c r="E1469" s="104"/>
      <c r="F1469" s="104"/>
      <c r="G1469" s="104"/>
      <c r="H1469" s="104"/>
      <c r="I1469" s="104"/>
      <c r="J1469" s="104"/>
      <c r="K1469" s="104"/>
      <c r="L1469" s="104"/>
      <c r="M1469" s="104"/>
      <c r="N1469" s="104"/>
      <c r="O1469" s="104"/>
      <c r="P1469" s="104"/>
      <c r="Q1469" s="104"/>
      <c r="R1469" s="104"/>
      <c r="S1469" s="104"/>
    </row>
    <row r="1470" spans="4:19">
      <c r="D1470" s="104"/>
      <c r="E1470" s="104"/>
      <c r="F1470" s="104"/>
      <c r="G1470" s="104"/>
      <c r="H1470" s="104"/>
      <c r="I1470" s="104"/>
      <c r="J1470" s="104"/>
      <c r="K1470" s="104"/>
      <c r="L1470" s="104"/>
      <c r="M1470" s="104"/>
      <c r="N1470" s="104"/>
      <c r="O1470" s="104"/>
      <c r="P1470" s="104"/>
      <c r="Q1470" s="104"/>
      <c r="R1470" s="104"/>
      <c r="S1470" s="104"/>
    </row>
    <row r="1471" spans="4:19">
      <c r="D1471" s="104"/>
      <c r="E1471" s="104"/>
      <c r="F1471" s="104"/>
      <c r="G1471" s="104"/>
      <c r="H1471" s="104"/>
      <c r="I1471" s="104"/>
      <c r="J1471" s="104"/>
      <c r="K1471" s="104"/>
      <c r="L1471" s="104"/>
      <c r="M1471" s="104"/>
      <c r="N1471" s="104"/>
      <c r="O1471" s="104"/>
      <c r="P1471" s="104"/>
      <c r="Q1471" s="104"/>
      <c r="R1471" s="104"/>
      <c r="S1471" s="104"/>
    </row>
    <row r="1472" spans="4:19">
      <c r="D1472" s="104"/>
      <c r="E1472" s="104"/>
      <c r="F1472" s="104"/>
      <c r="G1472" s="104"/>
      <c r="H1472" s="104"/>
      <c r="I1472" s="104"/>
      <c r="J1472" s="104"/>
      <c r="K1472" s="104"/>
      <c r="L1472" s="104"/>
      <c r="M1472" s="104"/>
      <c r="N1472" s="104"/>
      <c r="O1472" s="104"/>
      <c r="P1472" s="104"/>
      <c r="Q1472" s="104"/>
      <c r="R1472" s="104"/>
      <c r="S1472" s="104"/>
    </row>
    <row r="1473" spans="4:19">
      <c r="D1473" s="104"/>
      <c r="E1473" s="104"/>
      <c r="F1473" s="104"/>
      <c r="G1473" s="104"/>
      <c r="H1473" s="104"/>
      <c r="I1473" s="104"/>
      <c r="J1473" s="104"/>
      <c r="K1473" s="104"/>
      <c r="L1473" s="104"/>
      <c r="M1473" s="104"/>
      <c r="N1473" s="104"/>
      <c r="O1473" s="104"/>
      <c r="P1473" s="104"/>
      <c r="Q1473" s="104"/>
      <c r="R1473" s="104"/>
      <c r="S1473" s="104"/>
    </row>
    <row r="1474" spans="4:19">
      <c r="D1474" s="104"/>
      <c r="E1474" s="104"/>
      <c r="F1474" s="104"/>
      <c r="G1474" s="104"/>
      <c r="H1474" s="104"/>
      <c r="I1474" s="104"/>
      <c r="J1474" s="104"/>
      <c r="K1474" s="104"/>
      <c r="L1474" s="104"/>
      <c r="M1474" s="104"/>
      <c r="N1474" s="104"/>
      <c r="O1474" s="104"/>
      <c r="P1474" s="104"/>
      <c r="Q1474" s="104"/>
      <c r="R1474" s="104"/>
      <c r="S1474" s="104"/>
    </row>
    <row r="1475" spans="4:19">
      <c r="D1475" s="104"/>
      <c r="E1475" s="104"/>
      <c r="F1475" s="104"/>
      <c r="G1475" s="104"/>
      <c r="H1475" s="104"/>
      <c r="I1475" s="104"/>
      <c r="J1475" s="104"/>
      <c r="K1475" s="104"/>
      <c r="L1475" s="104"/>
      <c r="M1475" s="104"/>
      <c r="N1475" s="104"/>
      <c r="O1475" s="104"/>
      <c r="P1475" s="104"/>
      <c r="Q1475" s="104"/>
      <c r="R1475" s="104"/>
      <c r="S1475" s="104"/>
    </row>
    <row r="1476" spans="4:19">
      <c r="D1476" s="104"/>
      <c r="E1476" s="104"/>
      <c r="F1476" s="104"/>
      <c r="G1476" s="104"/>
      <c r="H1476" s="104"/>
      <c r="I1476" s="104"/>
      <c r="J1476" s="104"/>
      <c r="K1476" s="104"/>
      <c r="L1476" s="104"/>
      <c r="M1476" s="104"/>
      <c r="N1476" s="104"/>
      <c r="O1476" s="104"/>
      <c r="P1476" s="104"/>
      <c r="Q1476" s="104"/>
      <c r="R1476" s="104"/>
      <c r="S1476" s="104"/>
    </row>
    <row r="1477" spans="4:19">
      <c r="D1477" s="104"/>
      <c r="E1477" s="104"/>
      <c r="F1477" s="104"/>
      <c r="G1477" s="104"/>
      <c r="H1477" s="104"/>
      <c r="I1477" s="104"/>
      <c r="J1477" s="104"/>
      <c r="K1477" s="104"/>
      <c r="L1477" s="104"/>
      <c r="M1477" s="104"/>
      <c r="N1477" s="104"/>
      <c r="O1477" s="104"/>
      <c r="P1477" s="104"/>
      <c r="Q1477" s="104"/>
      <c r="R1477" s="104"/>
      <c r="S1477" s="104"/>
    </row>
    <row r="1478" spans="4:19">
      <c r="D1478" s="104"/>
      <c r="E1478" s="104"/>
      <c r="F1478" s="104"/>
      <c r="G1478" s="104"/>
      <c r="H1478" s="104"/>
      <c r="I1478" s="104"/>
      <c r="J1478" s="104"/>
      <c r="K1478" s="104"/>
      <c r="L1478" s="104"/>
      <c r="M1478" s="104"/>
      <c r="N1478" s="104"/>
      <c r="O1478" s="104"/>
      <c r="P1478" s="104"/>
      <c r="Q1478" s="104"/>
      <c r="R1478" s="104"/>
      <c r="S1478" s="104"/>
    </row>
    <row r="1479" spans="4:19">
      <c r="D1479" s="104"/>
      <c r="E1479" s="104"/>
      <c r="F1479" s="104"/>
      <c r="G1479" s="104"/>
      <c r="H1479" s="104"/>
      <c r="I1479" s="104"/>
      <c r="J1479" s="104"/>
      <c r="K1479" s="104"/>
      <c r="L1479" s="104"/>
      <c r="M1479" s="104"/>
      <c r="N1479" s="104"/>
      <c r="O1479" s="104"/>
      <c r="P1479" s="104"/>
      <c r="Q1479" s="104"/>
      <c r="R1479" s="104"/>
      <c r="S1479" s="104"/>
    </row>
    <row r="1480" spans="4:19">
      <c r="D1480" s="104"/>
      <c r="E1480" s="104"/>
      <c r="F1480" s="104"/>
      <c r="G1480" s="104"/>
      <c r="H1480" s="104"/>
      <c r="I1480" s="104"/>
      <c r="J1480" s="104"/>
      <c r="K1480" s="104"/>
      <c r="L1480" s="104"/>
      <c r="M1480" s="104"/>
      <c r="N1480" s="104"/>
      <c r="O1480" s="104"/>
      <c r="P1480" s="104"/>
      <c r="Q1480" s="104"/>
      <c r="R1480" s="104"/>
      <c r="S1480" s="104"/>
    </row>
    <row r="1481" spans="4:19">
      <c r="D1481" s="104"/>
      <c r="E1481" s="104"/>
      <c r="F1481" s="104"/>
      <c r="G1481" s="104"/>
      <c r="H1481" s="104"/>
      <c r="I1481" s="104"/>
      <c r="J1481" s="104"/>
      <c r="K1481" s="104"/>
      <c r="L1481" s="104"/>
      <c r="M1481" s="104"/>
      <c r="N1481" s="104"/>
      <c r="O1481" s="104"/>
      <c r="P1481" s="104"/>
      <c r="Q1481" s="104"/>
      <c r="R1481" s="104"/>
      <c r="S1481" s="104"/>
    </row>
    <row r="1482" spans="4:19">
      <c r="D1482" s="104"/>
      <c r="E1482" s="104"/>
      <c r="F1482" s="104"/>
      <c r="G1482" s="104"/>
      <c r="H1482" s="104"/>
      <c r="I1482" s="104"/>
      <c r="J1482" s="104"/>
      <c r="K1482" s="104"/>
      <c r="L1482" s="104"/>
      <c r="M1482" s="104"/>
      <c r="N1482" s="104"/>
      <c r="O1482" s="104"/>
      <c r="P1482" s="104"/>
      <c r="Q1482" s="104"/>
      <c r="R1482" s="104"/>
      <c r="S1482" s="104"/>
    </row>
    <row r="1483" spans="4:19">
      <c r="D1483" s="104"/>
      <c r="E1483" s="104"/>
      <c r="F1483" s="104"/>
      <c r="G1483" s="104"/>
      <c r="H1483" s="104"/>
      <c r="I1483" s="104"/>
      <c r="J1483" s="104"/>
      <c r="K1483" s="104"/>
      <c r="L1483" s="104"/>
      <c r="M1483" s="104"/>
      <c r="N1483" s="104"/>
      <c r="O1483" s="104"/>
      <c r="P1483" s="104"/>
      <c r="Q1483" s="104"/>
      <c r="R1483" s="104"/>
      <c r="S1483" s="104"/>
    </row>
    <row r="1484" spans="4:19">
      <c r="D1484" s="104"/>
      <c r="E1484" s="104"/>
      <c r="F1484" s="104"/>
      <c r="G1484" s="104"/>
      <c r="H1484" s="104"/>
      <c r="I1484" s="104"/>
      <c r="J1484" s="104"/>
      <c r="K1484" s="104"/>
      <c r="L1484" s="104"/>
      <c r="M1484" s="104"/>
      <c r="N1484" s="104"/>
      <c r="O1484" s="104"/>
      <c r="P1484" s="104"/>
      <c r="Q1484" s="104"/>
      <c r="R1484" s="104"/>
      <c r="S1484" s="104"/>
    </row>
    <row r="1485" spans="4:19">
      <c r="D1485" s="104"/>
      <c r="E1485" s="104"/>
      <c r="F1485" s="104"/>
      <c r="G1485" s="104"/>
      <c r="H1485" s="104"/>
      <c r="I1485" s="104"/>
      <c r="J1485" s="104"/>
      <c r="K1485" s="104"/>
      <c r="L1485" s="104"/>
      <c r="M1485" s="104"/>
      <c r="N1485" s="104"/>
      <c r="O1485" s="104"/>
      <c r="P1485" s="104"/>
      <c r="Q1485" s="104"/>
      <c r="R1485" s="104"/>
      <c r="S1485" s="104"/>
    </row>
    <row r="1486" spans="4:19">
      <c r="D1486" s="104"/>
      <c r="E1486" s="104"/>
      <c r="F1486" s="104"/>
      <c r="G1486" s="104"/>
      <c r="H1486" s="104"/>
      <c r="I1486" s="104"/>
      <c r="J1486" s="104"/>
      <c r="K1486" s="104"/>
      <c r="L1486" s="104"/>
      <c r="M1486" s="104"/>
      <c r="N1486" s="104"/>
      <c r="O1486" s="104"/>
      <c r="P1486" s="104"/>
      <c r="Q1486" s="104"/>
      <c r="R1486" s="104"/>
      <c r="S1486" s="104"/>
    </row>
    <row r="1487" spans="4:19">
      <c r="D1487" s="104"/>
      <c r="E1487" s="104"/>
      <c r="F1487" s="104"/>
      <c r="G1487" s="104"/>
      <c r="H1487" s="104"/>
      <c r="I1487" s="104"/>
      <c r="J1487" s="104"/>
      <c r="K1487" s="104"/>
      <c r="L1487" s="104"/>
      <c r="M1487" s="104"/>
      <c r="N1487" s="104"/>
      <c r="O1487" s="104"/>
      <c r="P1487" s="104"/>
      <c r="Q1487" s="104"/>
      <c r="R1487" s="104"/>
      <c r="S1487" s="104"/>
    </row>
    <row r="1488" spans="4:19">
      <c r="D1488" s="104"/>
      <c r="E1488" s="104"/>
      <c r="F1488" s="104"/>
      <c r="G1488" s="104"/>
      <c r="H1488" s="104"/>
      <c r="I1488" s="104"/>
      <c r="J1488" s="104"/>
      <c r="K1488" s="104"/>
      <c r="L1488" s="104"/>
      <c r="M1488" s="104"/>
      <c r="N1488" s="104"/>
      <c r="O1488" s="104"/>
      <c r="P1488" s="104"/>
      <c r="Q1488" s="104"/>
      <c r="R1488" s="104"/>
      <c r="S1488" s="104"/>
    </row>
    <row r="1489" spans="4:19">
      <c r="D1489" s="104"/>
      <c r="E1489" s="104"/>
      <c r="F1489" s="104"/>
      <c r="G1489" s="104"/>
      <c r="H1489" s="104"/>
      <c r="I1489" s="104"/>
      <c r="J1489" s="104"/>
      <c r="K1489" s="104"/>
      <c r="L1489" s="104"/>
      <c r="M1489" s="104"/>
      <c r="N1489" s="104"/>
      <c r="O1489" s="104"/>
      <c r="P1489" s="104"/>
      <c r="Q1489" s="104"/>
      <c r="R1489" s="104"/>
      <c r="S1489" s="104"/>
    </row>
    <row r="1490" spans="4:19">
      <c r="D1490" s="104"/>
      <c r="E1490" s="104"/>
      <c r="F1490" s="104"/>
      <c r="G1490" s="104"/>
      <c r="H1490" s="104"/>
      <c r="I1490" s="104"/>
      <c r="J1490" s="104"/>
      <c r="K1490" s="104"/>
      <c r="L1490" s="104"/>
      <c r="M1490" s="104"/>
      <c r="N1490" s="104"/>
      <c r="O1490" s="104"/>
      <c r="P1490" s="104"/>
      <c r="Q1490" s="104"/>
      <c r="R1490" s="104"/>
      <c r="S1490" s="104"/>
    </row>
    <row r="1491" spans="4:19">
      <c r="D1491" s="104"/>
      <c r="E1491" s="104"/>
      <c r="F1491" s="104"/>
      <c r="G1491" s="104"/>
      <c r="H1491" s="104"/>
      <c r="I1491" s="104"/>
      <c r="J1491" s="104"/>
      <c r="K1491" s="104"/>
      <c r="L1491" s="104"/>
      <c r="M1491" s="104"/>
      <c r="N1491" s="104"/>
      <c r="O1491" s="104"/>
      <c r="P1491" s="104"/>
      <c r="Q1491" s="104"/>
      <c r="R1491" s="104"/>
      <c r="S1491" s="104"/>
    </row>
    <row r="1492" spans="4:19">
      <c r="D1492" s="104"/>
      <c r="E1492" s="104"/>
      <c r="F1492" s="104"/>
      <c r="G1492" s="104"/>
      <c r="H1492" s="104"/>
      <c r="I1492" s="104"/>
      <c r="J1492" s="104"/>
      <c r="K1492" s="104"/>
      <c r="L1492" s="104"/>
      <c r="M1492" s="104"/>
      <c r="N1492" s="104"/>
      <c r="O1492" s="104"/>
      <c r="P1492" s="104"/>
      <c r="Q1492" s="104"/>
      <c r="R1492" s="104"/>
      <c r="S1492" s="104"/>
    </row>
    <row r="1493" spans="4:19">
      <c r="D1493" s="104"/>
      <c r="E1493" s="104"/>
      <c r="F1493" s="104"/>
      <c r="G1493" s="104"/>
      <c r="H1493" s="104"/>
      <c r="I1493" s="104"/>
      <c r="J1493" s="104"/>
      <c r="K1493" s="104"/>
      <c r="L1493" s="104"/>
      <c r="M1493" s="104"/>
      <c r="N1493" s="104"/>
      <c r="O1493" s="104"/>
      <c r="P1493" s="104"/>
      <c r="Q1493" s="104"/>
      <c r="R1493" s="104"/>
      <c r="S1493" s="104"/>
    </row>
    <row r="1494" spans="4:19">
      <c r="D1494" s="104"/>
      <c r="E1494" s="104"/>
      <c r="F1494" s="104"/>
      <c r="G1494" s="104"/>
      <c r="H1494" s="104"/>
      <c r="I1494" s="104"/>
      <c r="J1494" s="104"/>
      <c r="K1494" s="104"/>
      <c r="L1494" s="104"/>
      <c r="M1494" s="104"/>
      <c r="N1494" s="104"/>
      <c r="O1494" s="104"/>
      <c r="P1494" s="104"/>
      <c r="Q1494" s="104"/>
      <c r="R1494" s="104"/>
      <c r="S1494" s="104"/>
    </row>
    <row r="1495" spans="4:19">
      <c r="D1495" s="104"/>
      <c r="E1495" s="104"/>
      <c r="F1495" s="104"/>
      <c r="G1495" s="104"/>
      <c r="H1495" s="104"/>
      <c r="I1495" s="104"/>
      <c r="J1495" s="104"/>
      <c r="K1495" s="104"/>
      <c r="L1495" s="104"/>
      <c r="M1495" s="104"/>
      <c r="N1495" s="104"/>
      <c r="O1495" s="104"/>
      <c r="P1495" s="104"/>
      <c r="Q1495" s="104"/>
      <c r="R1495" s="104"/>
      <c r="S1495" s="104"/>
    </row>
    <row r="1496" spans="4:19">
      <c r="D1496" s="104"/>
      <c r="E1496" s="104"/>
      <c r="F1496" s="104"/>
      <c r="G1496" s="104"/>
      <c r="H1496" s="104"/>
      <c r="I1496" s="104"/>
      <c r="J1496" s="104"/>
      <c r="K1496" s="104"/>
      <c r="L1496" s="104"/>
      <c r="M1496" s="104"/>
      <c r="N1496" s="104"/>
      <c r="O1496" s="104"/>
      <c r="P1496" s="104"/>
      <c r="Q1496" s="104"/>
      <c r="R1496" s="104"/>
      <c r="S1496" s="104"/>
    </row>
    <row r="1497" spans="4:19">
      <c r="D1497" s="104"/>
      <c r="E1497" s="104"/>
      <c r="F1497" s="104"/>
      <c r="G1497" s="104"/>
      <c r="H1497" s="104"/>
      <c r="I1497" s="104"/>
      <c r="J1497" s="104"/>
      <c r="K1497" s="104"/>
      <c r="L1497" s="104"/>
      <c r="M1497" s="104"/>
      <c r="N1497" s="104"/>
      <c r="O1497" s="104"/>
      <c r="P1497" s="104"/>
      <c r="Q1497" s="104"/>
      <c r="R1497" s="104"/>
      <c r="S1497" s="104"/>
    </row>
    <row r="1498" spans="4:19">
      <c r="D1498" s="104"/>
      <c r="E1498" s="104"/>
      <c r="F1498" s="104"/>
      <c r="G1498" s="104"/>
      <c r="H1498" s="104"/>
      <c r="I1498" s="104"/>
      <c r="J1498" s="104"/>
      <c r="K1498" s="104"/>
      <c r="L1498" s="104"/>
      <c r="M1498" s="104"/>
      <c r="N1498" s="104"/>
      <c r="O1498" s="104"/>
      <c r="P1498" s="104"/>
      <c r="Q1498" s="104"/>
      <c r="R1498" s="104"/>
      <c r="S1498" s="104"/>
    </row>
    <row r="1499" spans="4:19">
      <c r="D1499" s="104"/>
      <c r="E1499" s="104"/>
      <c r="F1499" s="104"/>
      <c r="G1499" s="104"/>
      <c r="H1499" s="104"/>
      <c r="I1499" s="104"/>
      <c r="J1499" s="104"/>
      <c r="K1499" s="104"/>
      <c r="L1499" s="104"/>
      <c r="M1499" s="104"/>
      <c r="N1499" s="104"/>
      <c r="O1499" s="104"/>
      <c r="P1499" s="104"/>
      <c r="Q1499" s="104"/>
      <c r="R1499" s="104"/>
      <c r="S1499" s="104"/>
    </row>
    <row r="1500" spans="4:19">
      <c r="D1500" s="104"/>
      <c r="E1500" s="104"/>
      <c r="F1500" s="104"/>
      <c r="G1500" s="104"/>
      <c r="H1500" s="104"/>
      <c r="I1500" s="104"/>
      <c r="J1500" s="104"/>
      <c r="K1500" s="104"/>
      <c r="L1500" s="104"/>
      <c r="M1500" s="104"/>
      <c r="N1500" s="104"/>
      <c r="O1500" s="104"/>
      <c r="P1500" s="104"/>
      <c r="Q1500" s="104"/>
      <c r="R1500" s="104"/>
      <c r="S1500" s="104"/>
    </row>
    <row r="1501" spans="4:19">
      <c r="D1501" s="104"/>
      <c r="E1501" s="104"/>
      <c r="F1501" s="104"/>
      <c r="G1501" s="104"/>
      <c r="H1501" s="104"/>
      <c r="I1501" s="104"/>
      <c r="J1501" s="104"/>
      <c r="K1501" s="104"/>
      <c r="L1501" s="104"/>
      <c r="M1501" s="104"/>
      <c r="N1501" s="104"/>
      <c r="O1501" s="104"/>
      <c r="P1501" s="104"/>
      <c r="Q1501" s="104"/>
      <c r="R1501" s="104"/>
      <c r="S1501" s="104"/>
    </row>
    <row r="1502" spans="4:19">
      <c r="D1502" s="104"/>
      <c r="E1502" s="104"/>
      <c r="F1502" s="104"/>
      <c r="G1502" s="104"/>
      <c r="H1502" s="104"/>
      <c r="I1502" s="104"/>
      <c r="J1502" s="104"/>
      <c r="K1502" s="104"/>
      <c r="L1502" s="104"/>
      <c r="M1502" s="104"/>
      <c r="N1502" s="104"/>
      <c r="O1502" s="104"/>
      <c r="P1502" s="104"/>
      <c r="Q1502" s="104"/>
      <c r="R1502" s="104"/>
      <c r="S1502" s="104"/>
    </row>
    <row r="1503" spans="4:19">
      <c r="D1503" s="104"/>
      <c r="E1503" s="104"/>
      <c r="F1503" s="104"/>
      <c r="G1503" s="104"/>
      <c r="H1503" s="104"/>
      <c r="I1503" s="104"/>
      <c r="J1503" s="104"/>
      <c r="K1503" s="104"/>
      <c r="L1503" s="104"/>
      <c r="M1503" s="104"/>
      <c r="N1503" s="104"/>
      <c r="O1503" s="104"/>
      <c r="P1503" s="104"/>
      <c r="Q1503" s="104"/>
      <c r="R1503" s="104"/>
      <c r="S1503" s="104"/>
    </row>
    <row r="1504" spans="4:19">
      <c r="D1504" s="104"/>
      <c r="E1504" s="104"/>
      <c r="F1504" s="104"/>
      <c r="G1504" s="104"/>
      <c r="H1504" s="104"/>
      <c r="I1504" s="104"/>
      <c r="J1504" s="104"/>
      <c r="K1504" s="104"/>
      <c r="L1504" s="104"/>
      <c r="M1504" s="104"/>
      <c r="N1504" s="104"/>
      <c r="O1504" s="104"/>
      <c r="P1504" s="104"/>
      <c r="Q1504" s="104"/>
      <c r="R1504" s="104"/>
      <c r="S1504" s="104"/>
    </row>
    <row r="1505" spans="4:19">
      <c r="D1505" s="104"/>
      <c r="E1505" s="104"/>
      <c r="F1505" s="104"/>
      <c r="G1505" s="104"/>
      <c r="H1505" s="104"/>
      <c r="I1505" s="104"/>
      <c r="J1505" s="104"/>
      <c r="K1505" s="104"/>
      <c r="L1505" s="104"/>
      <c r="M1505" s="104"/>
      <c r="N1505" s="104"/>
      <c r="O1505" s="104"/>
      <c r="P1505" s="104"/>
      <c r="Q1505" s="104"/>
      <c r="R1505" s="104"/>
      <c r="S1505" s="104"/>
    </row>
    <row r="1506" spans="4:19">
      <c r="D1506" s="104"/>
      <c r="E1506" s="104"/>
      <c r="F1506" s="104"/>
      <c r="G1506" s="104"/>
      <c r="H1506" s="104"/>
      <c r="I1506" s="104"/>
      <c r="J1506" s="104"/>
      <c r="K1506" s="104"/>
      <c r="L1506" s="104"/>
      <c r="M1506" s="104"/>
      <c r="N1506" s="104"/>
      <c r="O1506" s="104"/>
      <c r="P1506" s="104"/>
      <c r="Q1506" s="104"/>
      <c r="R1506" s="104"/>
      <c r="S1506" s="104"/>
    </row>
    <row r="1507" spans="4:19">
      <c r="D1507" s="104"/>
      <c r="E1507" s="104"/>
      <c r="F1507" s="104"/>
      <c r="G1507" s="104"/>
      <c r="H1507" s="104"/>
      <c r="I1507" s="104"/>
      <c r="J1507" s="104"/>
      <c r="K1507" s="104"/>
      <c r="L1507" s="104"/>
      <c r="M1507" s="104"/>
      <c r="N1507" s="104"/>
      <c r="O1507" s="104"/>
      <c r="P1507" s="104"/>
      <c r="Q1507" s="104"/>
      <c r="R1507" s="104"/>
      <c r="S1507" s="104"/>
    </row>
    <row r="1508" spans="4:19">
      <c r="D1508" s="104"/>
      <c r="E1508" s="104"/>
      <c r="F1508" s="104"/>
      <c r="G1508" s="104"/>
      <c r="H1508" s="104"/>
      <c r="I1508" s="104"/>
      <c r="J1508" s="104"/>
      <c r="K1508" s="104"/>
      <c r="L1508" s="104"/>
      <c r="M1508" s="104"/>
      <c r="N1508" s="104"/>
      <c r="O1508" s="104"/>
      <c r="P1508" s="104"/>
      <c r="Q1508" s="104"/>
      <c r="R1508" s="104"/>
      <c r="S1508" s="104"/>
    </row>
    <row r="1509" spans="4:19">
      <c r="D1509" s="104"/>
      <c r="E1509" s="104"/>
      <c r="F1509" s="104"/>
      <c r="G1509" s="104"/>
      <c r="H1509" s="104"/>
      <c r="I1509" s="104"/>
      <c r="J1509" s="104"/>
      <c r="K1509" s="104"/>
      <c r="L1509" s="104"/>
      <c r="M1509" s="104"/>
      <c r="N1509" s="104"/>
      <c r="O1509" s="104"/>
      <c r="P1509" s="104"/>
      <c r="Q1509" s="104"/>
      <c r="R1509" s="104"/>
      <c r="S1509" s="104"/>
    </row>
    <row r="1510" spans="4:19">
      <c r="D1510" s="104"/>
      <c r="E1510" s="104"/>
      <c r="F1510" s="104"/>
      <c r="G1510" s="104"/>
      <c r="H1510" s="104"/>
      <c r="I1510" s="104"/>
      <c r="J1510" s="104"/>
      <c r="K1510" s="104"/>
      <c r="L1510" s="104"/>
      <c r="M1510" s="104"/>
      <c r="N1510" s="104"/>
      <c r="O1510" s="104"/>
      <c r="P1510" s="104"/>
      <c r="Q1510" s="104"/>
      <c r="R1510" s="104"/>
      <c r="S1510" s="104"/>
    </row>
    <row r="1511" spans="4:19">
      <c r="D1511" s="104"/>
      <c r="E1511" s="104"/>
      <c r="F1511" s="104"/>
      <c r="G1511" s="104"/>
      <c r="H1511" s="104"/>
      <c r="I1511" s="104"/>
      <c r="J1511" s="104"/>
      <c r="K1511" s="104"/>
      <c r="L1511" s="104"/>
      <c r="M1511" s="104"/>
      <c r="N1511" s="104"/>
      <c r="O1511" s="104"/>
      <c r="P1511" s="104"/>
      <c r="Q1511" s="104"/>
      <c r="R1511" s="104"/>
      <c r="S1511" s="104"/>
    </row>
    <row r="1512" spans="4:19">
      <c r="D1512" s="104"/>
      <c r="E1512" s="104"/>
      <c r="F1512" s="104"/>
      <c r="G1512" s="104"/>
      <c r="H1512" s="104"/>
      <c r="I1512" s="104"/>
      <c r="J1512" s="104"/>
      <c r="K1512" s="104"/>
      <c r="L1512" s="104"/>
      <c r="M1512" s="104"/>
      <c r="N1512" s="104"/>
      <c r="O1512" s="104"/>
      <c r="P1512" s="104"/>
      <c r="Q1512" s="104"/>
      <c r="R1512" s="104"/>
      <c r="S1512" s="104"/>
    </row>
    <row r="1513" spans="4:19">
      <c r="D1513" s="104"/>
      <c r="E1513" s="104"/>
      <c r="F1513" s="104"/>
      <c r="G1513" s="104"/>
      <c r="H1513" s="104"/>
      <c r="I1513" s="104"/>
      <c r="J1513" s="104"/>
      <c r="K1513" s="104"/>
      <c r="L1513" s="104"/>
      <c r="M1513" s="104"/>
      <c r="N1513" s="104"/>
      <c r="O1513" s="104"/>
      <c r="P1513" s="104"/>
      <c r="Q1513" s="104"/>
      <c r="R1513" s="104"/>
      <c r="S1513" s="104"/>
    </row>
    <row r="1514" spans="4:19">
      <c r="D1514" s="104"/>
      <c r="E1514" s="104"/>
      <c r="F1514" s="104"/>
      <c r="G1514" s="104"/>
      <c r="H1514" s="104"/>
      <c r="I1514" s="104"/>
      <c r="J1514" s="104"/>
      <c r="K1514" s="104"/>
      <c r="L1514" s="104"/>
      <c r="M1514" s="104"/>
      <c r="N1514" s="104"/>
      <c r="O1514" s="104"/>
      <c r="P1514" s="104"/>
      <c r="Q1514" s="104"/>
      <c r="R1514" s="104"/>
      <c r="S1514" s="104"/>
    </row>
    <row r="1515" spans="4:19">
      <c r="D1515" s="104"/>
      <c r="E1515" s="104"/>
      <c r="F1515" s="104"/>
      <c r="G1515" s="104"/>
      <c r="H1515" s="104"/>
      <c r="I1515" s="104"/>
      <c r="J1515" s="104"/>
      <c r="K1515" s="104"/>
      <c r="L1515" s="104"/>
      <c r="M1515" s="104"/>
      <c r="N1515" s="104"/>
      <c r="O1515" s="104"/>
      <c r="P1515" s="104"/>
      <c r="Q1515" s="104"/>
      <c r="R1515" s="104"/>
      <c r="S1515" s="104"/>
    </row>
    <row r="1516" spans="4:19">
      <c r="D1516" s="104"/>
      <c r="E1516" s="104"/>
      <c r="F1516" s="104"/>
      <c r="G1516" s="104"/>
      <c r="H1516" s="104"/>
      <c r="I1516" s="104"/>
      <c r="J1516" s="104"/>
      <c r="K1516" s="104"/>
      <c r="L1516" s="104"/>
      <c r="M1516" s="104"/>
      <c r="N1516" s="104"/>
      <c r="O1516" s="104"/>
      <c r="P1516" s="104"/>
      <c r="Q1516" s="104"/>
      <c r="R1516" s="104"/>
      <c r="S1516" s="104"/>
    </row>
    <row r="1517" spans="4:19">
      <c r="D1517" s="104"/>
      <c r="E1517" s="104"/>
      <c r="F1517" s="104"/>
      <c r="G1517" s="104"/>
      <c r="H1517" s="104"/>
      <c r="I1517" s="104"/>
      <c r="J1517" s="104"/>
      <c r="K1517" s="104"/>
      <c r="L1517" s="104"/>
      <c r="M1517" s="104"/>
      <c r="N1517" s="104"/>
      <c r="O1517" s="104"/>
      <c r="P1517" s="104"/>
      <c r="Q1517" s="104"/>
      <c r="R1517" s="104"/>
      <c r="S1517" s="104"/>
    </row>
    <row r="1518" spans="4:19">
      <c r="D1518" s="104"/>
      <c r="E1518" s="104"/>
      <c r="F1518" s="104"/>
      <c r="G1518" s="104"/>
      <c r="H1518" s="104"/>
      <c r="I1518" s="104"/>
      <c r="J1518" s="104"/>
      <c r="K1518" s="104"/>
      <c r="L1518" s="104"/>
      <c r="M1518" s="104"/>
      <c r="N1518" s="104"/>
      <c r="O1518" s="104"/>
      <c r="P1518" s="104"/>
      <c r="Q1518" s="104"/>
      <c r="R1518" s="104"/>
      <c r="S1518" s="104"/>
    </row>
    <row r="1519" spans="4:19">
      <c r="D1519" s="104"/>
      <c r="E1519" s="104"/>
      <c r="F1519" s="104"/>
      <c r="G1519" s="104"/>
      <c r="H1519" s="104"/>
      <c r="I1519" s="104"/>
      <c r="J1519" s="104"/>
      <c r="K1519" s="104"/>
      <c r="L1519" s="104"/>
      <c r="M1519" s="104"/>
      <c r="N1519" s="104"/>
      <c r="O1519" s="104"/>
      <c r="P1519" s="104"/>
      <c r="Q1519" s="104"/>
      <c r="R1519" s="104"/>
      <c r="S1519" s="104"/>
    </row>
    <row r="1520" spans="4:19">
      <c r="D1520" s="104"/>
      <c r="E1520" s="104"/>
      <c r="F1520" s="104"/>
      <c r="G1520" s="104"/>
      <c r="H1520" s="104"/>
      <c r="I1520" s="104"/>
      <c r="J1520" s="104"/>
      <c r="K1520" s="104"/>
      <c r="L1520" s="104"/>
      <c r="M1520" s="104"/>
      <c r="N1520" s="104"/>
      <c r="O1520" s="104"/>
      <c r="P1520" s="104"/>
      <c r="Q1520" s="104"/>
      <c r="R1520" s="104"/>
      <c r="S1520" s="104"/>
    </row>
    <row r="1521" spans="4:19">
      <c r="D1521" s="104"/>
      <c r="E1521" s="104"/>
      <c r="F1521" s="104"/>
      <c r="G1521" s="104"/>
      <c r="H1521" s="104"/>
      <c r="I1521" s="104"/>
      <c r="J1521" s="104"/>
      <c r="K1521" s="104"/>
      <c r="L1521" s="104"/>
      <c r="M1521" s="104"/>
      <c r="N1521" s="104"/>
      <c r="O1521" s="104"/>
      <c r="P1521" s="104"/>
      <c r="Q1521" s="104"/>
      <c r="R1521" s="104"/>
      <c r="S1521" s="104"/>
    </row>
    <row r="1522" spans="4:19">
      <c r="D1522" s="104"/>
      <c r="E1522" s="104"/>
      <c r="F1522" s="104"/>
      <c r="G1522" s="104"/>
      <c r="H1522" s="104"/>
      <c r="I1522" s="104"/>
      <c r="J1522" s="104"/>
      <c r="K1522" s="104"/>
      <c r="L1522" s="104"/>
      <c r="M1522" s="104"/>
      <c r="N1522" s="104"/>
      <c r="O1522" s="104"/>
      <c r="P1522" s="104"/>
      <c r="Q1522" s="104"/>
      <c r="R1522" s="104"/>
      <c r="S1522" s="104"/>
    </row>
    <row r="1523" spans="4:19">
      <c r="D1523" s="104"/>
      <c r="E1523" s="104"/>
      <c r="F1523" s="104"/>
      <c r="G1523" s="104"/>
      <c r="H1523" s="104"/>
      <c r="I1523" s="104"/>
      <c r="J1523" s="104"/>
      <c r="K1523" s="104"/>
      <c r="L1523" s="104"/>
      <c r="M1523" s="104"/>
      <c r="N1523" s="104"/>
      <c r="O1523" s="104"/>
      <c r="P1523" s="104"/>
      <c r="Q1523" s="104"/>
      <c r="R1523" s="104"/>
      <c r="S1523" s="104"/>
    </row>
    <row r="1524" spans="4:19">
      <c r="D1524" s="104"/>
      <c r="E1524" s="104"/>
      <c r="F1524" s="104"/>
      <c r="G1524" s="104"/>
      <c r="H1524" s="104"/>
      <c r="I1524" s="104"/>
      <c r="J1524" s="104"/>
      <c r="K1524" s="104"/>
      <c r="L1524" s="104"/>
      <c r="M1524" s="104"/>
      <c r="N1524" s="104"/>
      <c r="O1524" s="104"/>
      <c r="P1524" s="104"/>
      <c r="Q1524" s="104"/>
      <c r="R1524" s="104"/>
      <c r="S1524" s="104"/>
    </row>
    <row r="1525" spans="4:19">
      <c r="D1525" s="104"/>
      <c r="E1525" s="104"/>
      <c r="F1525" s="104"/>
      <c r="G1525" s="104"/>
      <c r="H1525" s="104"/>
      <c r="I1525" s="104"/>
      <c r="J1525" s="104"/>
      <c r="K1525" s="104"/>
      <c r="L1525" s="104"/>
      <c r="M1525" s="104"/>
      <c r="N1525" s="104"/>
      <c r="O1525" s="104"/>
      <c r="P1525" s="104"/>
      <c r="Q1525" s="104"/>
      <c r="R1525" s="104"/>
      <c r="S1525" s="104"/>
    </row>
    <row r="1526" spans="4:19">
      <c r="D1526" s="104"/>
      <c r="E1526" s="104"/>
      <c r="F1526" s="104"/>
      <c r="G1526" s="104"/>
      <c r="H1526" s="104"/>
      <c r="I1526" s="104"/>
      <c r="J1526" s="104"/>
      <c r="K1526" s="104"/>
      <c r="L1526" s="104"/>
      <c r="M1526" s="104"/>
      <c r="N1526" s="104"/>
      <c r="O1526" s="104"/>
      <c r="P1526" s="104"/>
      <c r="Q1526" s="104"/>
      <c r="R1526" s="104"/>
      <c r="S1526" s="104"/>
    </row>
    <row r="1527" spans="4:19">
      <c r="D1527" s="104"/>
      <c r="E1527" s="104"/>
      <c r="F1527" s="104"/>
      <c r="G1527" s="104"/>
      <c r="H1527" s="104"/>
      <c r="I1527" s="104"/>
      <c r="J1527" s="104"/>
      <c r="K1527" s="104"/>
      <c r="L1527" s="104"/>
      <c r="M1527" s="104"/>
      <c r="N1527" s="104"/>
      <c r="O1527" s="104"/>
      <c r="P1527" s="104"/>
      <c r="Q1527" s="104"/>
      <c r="R1527" s="104"/>
      <c r="S1527" s="104"/>
    </row>
    <row r="1528" spans="4:19">
      <c r="D1528" s="104"/>
      <c r="E1528" s="104"/>
      <c r="F1528" s="104"/>
      <c r="G1528" s="104"/>
      <c r="H1528" s="104"/>
      <c r="I1528" s="104"/>
      <c r="J1528" s="104"/>
      <c r="K1528" s="104"/>
      <c r="L1528" s="104"/>
      <c r="M1528" s="104"/>
      <c r="N1528" s="104"/>
      <c r="O1528" s="104"/>
      <c r="P1528" s="104"/>
      <c r="Q1528" s="104"/>
      <c r="R1528" s="104"/>
      <c r="S1528" s="104"/>
    </row>
    <row r="1529" spans="4:19">
      <c r="D1529" s="104"/>
      <c r="E1529" s="104"/>
      <c r="F1529" s="104"/>
      <c r="G1529" s="104"/>
      <c r="H1529" s="104"/>
      <c r="I1529" s="104"/>
      <c r="J1529" s="104"/>
      <c r="K1529" s="104"/>
      <c r="L1529" s="104"/>
      <c r="M1529" s="104"/>
      <c r="N1529" s="104"/>
      <c r="O1529" s="104"/>
      <c r="P1529" s="104"/>
      <c r="Q1529" s="104"/>
      <c r="R1529" s="104"/>
      <c r="S1529" s="104"/>
    </row>
    <row r="1530" spans="4:19">
      <c r="D1530" s="104"/>
      <c r="E1530" s="104"/>
      <c r="F1530" s="104"/>
      <c r="G1530" s="104"/>
      <c r="H1530" s="104"/>
      <c r="I1530" s="104"/>
      <c r="J1530" s="104"/>
      <c r="K1530" s="104"/>
      <c r="L1530" s="104"/>
      <c r="M1530" s="104"/>
      <c r="N1530" s="104"/>
      <c r="O1530" s="104"/>
      <c r="P1530" s="104"/>
      <c r="Q1530" s="104"/>
      <c r="R1530" s="104"/>
      <c r="S1530" s="104"/>
    </row>
    <row r="1531" spans="4:19">
      <c r="D1531" s="104"/>
      <c r="E1531" s="104"/>
      <c r="F1531" s="104"/>
      <c r="G1531" s="104"/>
      <c r="H1531" s="104"/>
      <c r="I1531" s="104"/>
      <c r="J1531" s="104"/>
      <c r="K1531" s="104"/>
      <c r="L1531" s="104"/>
      <c r="M1531" s="104"/>
      <c r="N1531" s="104"/>
      <c r="O1531" s="104"/>
      <c r="P1531" s="104"/>
      <c r="Q1531" s="104"/>
      <c r="R1531" s="104"/>
      <c r="S1531" s="104"/>
    </row>
    <row r="1532" spans="4:19">
      <c r="D1532" s="104"/>
      <c r="E1532" s="104"/>
      <c r="F1532" s="104"/>
      <c r="G1532" s="104"/>
      <c r="H1532" s="104"/>
      <c r="I1532" s="104"/>
      <c r="J1532" s="104"/>
      <c r="K1532" s="104"/>
      <c r="L1532" s="104"/>
      <c r="M1532" s="104"/>
      <c r="N1532" s="104"/>
      <c r="O1532" s="104"/>
      <c r="P1532" s="104"/>
      <c r="Q1532" s="104"/>
      <c r="R1532" s="104"/>
      <c r="S1532" s="104"/>
    </row>
    <row r="1533" spans="4:19">
      <c r="D1533" s="104"/>
      <c r="E1533" s="104"/>
      <c r="F1533" s="104"/>
      <c r="G1533" s="104"/>
      <c r="H1533" s="104"/>
      <c r="I1533" s="104"/>
      <c r="J1533" s="104"/>
      <c r="K1533" s="104"/>
      <c r="L1533" s="104"/>
      <c r="M1533" s="104"/>
      <c r="N1533" s="104"/>
      <c r="O1533" s="104"/>
      <c r="P1533" s="104"/>
      <c r="Q1533" s="104"/>
      <c r="R1533" s="104"/>
      <c r="S1533" s="104"/>
    </row>
    <row r="1534" spans="4:19">
      <c r="D1534" s="104"/>
      <c r="E1534" s="104"/>
      <c r="F1534" s="104"/>
      <c r="G1534" s="104"/>
      <c r="H1534" s="104"/>
      <c r="I1534" s="104"/>
      <c r="J1534" s="104"/>
      <c r="K1534" s="104"/>
      <c r="L1534" s="104"/>
      <c r="M1534" s="104"/>
      <c r="N1534" s="104"/>
      <c r="O1534" s="104"/>
      <c r="P1534" s="104"/>
      <c r="Q1534" s="104"/>
      <c r="R1534" s="104"/>
      <c r="S1534" s="104"/>
    </row>
    <row r="1535" spans="4:19">
      <c r="D1535" s="104"/>
      <c r="E1535" s="104"/>
      <c r="F1535" s="104"/>
      <c r="G1535" s="104"/>
      <c r="H1535" s="104"/>
      <c r="I1535" s="104"/>
      <c r="J1535" s="104"/>
      <c r="K1535" s="104"/>
      <c r="L1535" s="104"/>
      <c r="M1535" s="104"/>
      <c r="N1535" s="104"/>
      <c r="O1535" s="104"/>
      <c r="P1535" s="104"/>
      <c r="Q1535" s="104"/>
      <c r="R1535" s="104"/>
      <c r="S1535" s="104"/>
    </row>
    <row r="1536" spans="4:19">
      <c r="D1536" s="104"/>
      <c r="E1536" s="104"/>
      <c r="F1536" s="104"/>
      <c r="G1536" s="104"/>
      <c r="H1536" s="104"/>
      <c r="I1536" s="104"/>
      <c r="J1536" s="104"/>
      <c r="K1536" s="104"/>
      <c r="L1536" s="104"/>
      <c r="M1536" s="104"/>
      <c r="N1536" s="104"/>
      <c r="O1536" s="104"/>
      <c r="P1536" s="104"/>
      <c r="Q1536" s="104"/>
      <c r="R1536" s="104"/>
      <c r="S1536" s="104"/>
    </row>
    <row r="1537" spans="4:19">
      <c r="D1537" s="104"/>
      <c r="E1537" s="104"/>
      <c r="F1537" s="104"/>
      <c r="G1537" s="104"/>
      <c r="H1537" s="104"/>
      <c r="I1537" s="104"/>
      <c r="J1537" s="104"/>
      <c r="K1537" s="104"/>
      <c r="L1537" s="104"/>
      <c r="M1537" s="104"/>
      <c r="N1537" s="104"/>
      <c r="O1537" s="104"/>
      <c r="P1537" s="104"/>
      <c r="Q1537" s="104"/>
      <c r="R1537" s="104"/>
      <c r="S1537" s="104"/>
    </row>
    <row r="1538" spans="4:19">
      <c r="D1538" s="104"/>
      <c r="E1538" s="104"/>
      <c r="F1538" s="104"/>
      <c r="G1538" s="104"/>
      <c r="H1538" s="104"/>
      <c r="I1538" s="104"/>
      <c r="J1538" s="104"/>
      <c r="K1538" s="104"/>
      <c r="L1538" s="104"/>
      <c r="M1538" s="104"/>
      <c r="N1538" s="104"/>
      <c r="O1538" s="104"/>
      <c r="P1538" s="104"/>
      <c r="Q1538" s="104"/>
      <c r="R1538" s="104"/>
      <c r="S1538" s="104"/>
    </row>
    <row r="1539" spans="4:19">
      <c r="D1539" s="104"/>
      <c r="E1539" s="104"/>
      <c r="F1539" s="104"/>
      <c r="G1539" s="104"/>
      <c r="H1539" s="104"/>
      <c r="I1539" s="104"/>
      <c r="J1539" s="104"/>
      <c r="K1539" s="104"/>
      <c r="L1539" s="104"/>
      <c r="M1539" s="104"/>
      <c r="N1539" s="104"/>
      <c r="O1539" s="104"/>
      <c r="P1539" s="104"/>
      <c r="Q1539" s="104"/>
      <c r="R1539" s="104"/>
      <c r="S1539" s="104"/>
    </row>
    <row r="1540" spans="4:19">
      <c r="D1540" s="104"/>
      <c r="E1540" s="104"/>
      <c r="F1540" s="104"/>
      <c r="G1540" s="104"/>
      <c r="H1540" s="104"/>
      <c r="I1540" s="104"/>
      <c r="J1540" s="104"/>
      <c r="K1540" s="104"/>
      <c r="L1540" s="104"/>
      <c r="M1540" s="104"/>
      <c r="N1540" s="104"/>
      <c r="O1540" s="104"/>
      <c r="P1540" s="104"/>
      <c r="Q1540" s="104"/>
      <c r="R1540" s="104"/>
      <c r="S1540" s="104"/>
    </row>
    <row r="1541" spans="4:19">
      <c r="D1541" s="104"/>
      <c r="E1541" s="104"/>
      <c r="F1541" s="104"/>
      <c r="G1541" s="104"/>
      <c r="H1541" s="104"/>
      <c r="I1541" s="104"/>
      <c r="J1541" s="104"/>
      <c r="K1541" s="104"/>
      <c r="L1541" s="104"/>
      <c r="M1541" s="104"/>
      <c r="N1541" s="104"/>
      <c r="O1541" s="104"/>
      <c r="P1541" s="104"/>
      <c r="Q1541" s="104"/>
      <c r="R1541" s="104"/>
      <c r="S1541" s="104"/>
    </row>
    <row r="1542" spans="4:19">
      <c r="D1542" s="104"/>
      <c r="E1542" s="104"/>
      <c r="F1542" s="104"/>
      <c r="G1542" s="104"/>
      <c r="H1542" s="104"/>
      <c r="I1542" s="104"/>
      <c r="J1542" s="104"/>
      <c r="K1542" s="104"/>
      <c r="L1542" s="104"/>
      <c r="M1542" s="104"/>
      <c r="N1542" s="104"/>
      <c r="O1542" s="104"/>
      <c r="P1542" s="104"/>
      <c r="Q1542" s="104"/>
      <c r="R1542" s="104"/>
      <c r="S1542" s="104"/>
    </row>
    <row r="1543" spans="4:19">
      <c r="D1543" s="104"/>
      <c r="E1543" s="104"/>
      <c r="F1543" s="104"/>
      <c r="G1543" s="104"/>
      <c r="H1543" s="104"/>
      <c r="I1543" s="104"/>
      <c r="J1543" s="104"/>
      <c r="K1543" s="104"/>
      <c r="L1543" s="104"/>
      <c r="M1543" s="104"/>
      <c r="N1543" s="104"/>
      <c r="O1543" s="104"/>
      <c r="P1543" s="104"/>
      <c r="Q1543" s="104"/>
      <c r="R1543" s="104"/>
      <c r="S1543" s="104"/>
    </row>
    <row r="1544" spans="4:19">
      <c r="D1544" s="104"/>
      <c r="E1544" s="104"/>
      <c r="F1544" s="104"/>
      <c r="G1544" s="104"/>
      <c r="H1544" s="104"/>
      <c r="I1544" s="104"/>
      <c r="J1544" s="104"/>
      <c r="K1544" s="104"/>
      <c r="L1544" s="104"/>
      <c r="M1544" s="104"/>
      <c r="N1544" s="104"/>
      <c r="O1544" s="104"/>
      <c r="P1544" s="104"/>
      <c r="Q1544" s="104"/>
      <c r="R1544" s="104"/>
      <c r="S1544" s="104"/>
    </row>
    <row r="1545" spans="4:19">
      <c r="D1545" s="104"/>
      <c r="E1545" s="104"/>
      <c r="F1545" s="104"/>
      <c r="G1545" s="104"/>
      <c r="H1545" s="104"/>
      <c r="I1545" s="104"/>
      <c r="J1545" s="104"/>
      <c r="K1545" s="104"/>
      <c r="L1545" s="104"/>
      <c r="M1545" s="104"/>
      <c r="N1545" s="104"/>
      <c r="O1545" s="104"/>
      <c r="P1545" s="104"/>
      <c r="Q1545" s="104"/>
      <c r="R1545" s="104"/>
      <c r="S1545" s="104"/>
    </row>
    <row r="1546" spans="4:19">
      <c r="D1546" s="104"/>
      <c r="E1546" s="104"/>
      <c r="F1546" s="104"/>
      <c r="G1546" s="104"/>
      <c r="H1546" s="104"/>
      <c r="I1546" s="104"/>
      <c r="J1546" s="104"/>
      <c r="K1546" s="104"/>
      <c r="L1546" s="104"/>
      <c r="M1546" s="104"/>
      <c r="N1546" s="104"/>
      <c r="O1546" s="104"/>
      <c r="P1546" s="104"/>
      <c r="Q1546" s="104"/>
      <c r="R1546" s="104"/>
      <c r="S1546" s="104"/>
    </row>
    <row r="1547" spans="4:19">
      <c r="D1547" s="104"/>
      <c r="E1547" s="104"/>
      <c r="F1547" s="104"/>
      <c r="G1547" s="104"/>
      <c r="H1547" s="104"/>
      <c r="I1547" s="104"/>
      <c r="J1547" s="104"/>
      <c r="K1547" s="104"/>
      <c r="L1547" s="104"/>
      <c r="M1547" s="104"/>
      <c r="N1547" s="104"/>
      <c r="O1547" s="104"/>
      <c r="P1547" s="104"/>
      <c r="Q1547" s="104"/>
      <c r="R1547" s="104"/>
      <c r="S1547" s="104"/>
    </row>
    <row r="1548" spans="4:19">
      <c r="D1548" s="104"/>
      <c r="E1548" s="104"/>
      <c r="F1548" s="104"/>
      <c r="G1548" s="104"/>
      <c r="H1548" s="104"/>
      <c r="I1548" s="104"/>
      <c r="J1548" s="104"/>
      <c r="K1548" s="104"/>
      <c r="L1548" s="104"/>
      <c r="M1548" s="104"/>
      <c r="N1548" s="104"/>
      <c r="O1548" s="104"/>
      <c r="P1548" s="104"/>
      <c r="Q1548" s="104"/>
      <c r="R1548" s="104"/>
      <c r="S1548" s="104"/>
    </row>
    <row r="1549" spans="4:19">
      <c r="D1549" s="104"/>
      <c r="E1549" s="104"/>
      <c r="F1549" s="104"/>
      <c r="G1549" s="104"/>
      <c r="H1549" s="104"/>
      <c r="I1549" s="104"/>
      <c r="J1549" s="104"/>
      <c r="K1549" s="104"/>
      <c r="L1549" s="104"/>
      <c r="M1549" s="104"/>
      <c r="N1549" s="104"/>
      <c r="O1549" s="104"/>
      <c r="P1549" s="104"/>
      <c r="Q1549" s="104"/>
      <c r="R1549" s="104"/>
      <c r="S1549" s="104"/>
    </row>
    <row r="1550" spans="4:19">
      <c r="D1550" s="104"/>
      <c r="E1550" s="104"/>
      <c r="F1550" s="104"/>
      <c r="G1550" s="104"/>
      <c r="H1550" s="104"/>
      <c r="I1550" s="104"/>
      <c r="J1550" s="104"/>
      <c r="K1550" s="104"/>
      <c r="L1550" s="104"/>
      <c r="M1550" s="104"/>
      <c r="N1550" s="104"/>
      <c r="O1550" s="104"/>
      <c r="P1550" s="104"/>
      <c r="Q1550" s="104"/>
      <c r="R1550" s="104"/>
      <c r="S1550" s="104"/>
    </row>
    <row r="1551" spans="4:19">
      <c r="D1551" s="104"/>
      <c r="E1551" s="104"/>
      <c r="F1551" s="104"/>
      <c r="G1551" s="104"/>
      <c r="H1551" s="104"/>
      <c r="I1551" s="104"/>
      <c r="J1551" s="104"/>
      <c r="K1551" s="104"/>
      <c r="L1551" s="104"/>
      <c r="M1551" s="104"/>
      <c r="N1551" s="104"/>
      <c r="O1551" s="104"/>
      <c r="P1551" s="104"/>
      <c r="Q1551" s="104"/>
      <c r="R1551" s="104"/>
      <c r="S1551" s="104"/>
    </row>
    <row r="1552" spans="4:19">
      <c r="D1552" s="104"/>
      <c r="E1552" s="104"/>
      <c r="F1552" s="104"/>
      <c r="G1552" s="104"/>
      <c r="H1552" s="104"/>
      <c r="I1552" s="104"/>
      <c r="J1552" s="104"/>
      <c r="K1552" s="104"/>
      <c r="L1552" s="104"/>
      <c r="M1552" s="104"/>
      <c r="N1552" s="104"/>
      <c r="O1552" s="104"/>
      <c r="P1552" s="104"/>
      <c r="Q1552" s="104"/>
      <c r="R1552" s="104"/>
      <c r="S1552" s="104"/>
    </row>
    <row r="1553" spans="4:19">
      <c r="D1553" s="104"/>
      <c r="E1553" s="104"/>
      <c r="F1553" s="104"/>
      <c r="G1553" s="104"/>
      <c r="H1553" s="104"/>
      <c r="I1553" s="104"/>
      <c r="J1553" s="104"/>
      <c r="K1553" s="104"/>
      <c r="L1553" s="104"/>
      <c r="M1553" s="104"/>
      <c r="N1553" s="104"/>
      <c r="O1553" s="104"/>
      <c r="P1553" s="104"/>
      <c r="Q1553" s="104"/>
      <c r="R1553" s="104"/>
      <c r="S1553" s="104"/>
    </row>
    <row r="1554" spans="4:19">
      <c r="D1554" s="104"/>
      <c r="E1554" s="104"/>
      <c r="F1554" s="104"/>
      <c r="G1554" s="104"/>
      <c r="H1554" s="104"/>
      <c r="I1554" s="104"/>
      <c r="J1554" s="104"/>
      <c r="K1554" s="104"/>
      <c r="L1554" s="104"/>
      <c r="M1554" s="104"/>
      <c r="N1554" s="104"/>
      <c r="O1554" s="104"/>
      <c r="P1554" s="104"/>
      <c r="Q1554" s="104"/>
      <c r="R1554" s="104"/>
      <c r="S1554" s="104"/>
    </row>
    <row r="1555" spans="4:19">
      <c r="D1555" s="104"/>
      <c r="E1555" s="104"/>
      <c r="F1555" s="104"/>
      <c r="G1555" s="104"/>
      <c r="H1555" s="104"/>
      <c r="I1555" s="104"/>
      <c r="J1555" s="104"/>
      <c r="K1555" s="104"/>
      <c r="L1555" s="104"/>
      <c r="M1555" s="104"/>
      <c r="N1555" s="104"/>
      <c r="O1555" s="104"/>
      <c r="P1555" s="104"/>
      <c r="Q1555" s="104"/>
      <c r="R1555" s="104"/>
      <c r="S1555" s="104"/>
    </row>
    <row r="1556" spans="4:19">
      <c r="D1556" s="104"/>
      <c r="E1556" s="104"/>
      <c r="F1556" s="104"/>
      <c r="G1556" s="104"/>
      <c r="H1556" s="104"/>
      <c r="I1556" s="104"/>
      <c r="J1556" s="104"/>
      <c r="K1556" s="104"/>
      <c r="L1556" s="104"/>
      <c r="M1556" s="104"/>
      <c r="N1556" s="104"/>
      <c r="O1556" s="104"/>
      <c r="P1556" s="104"/>
      <c r="Q1556" s="104"/>
      <c r="R1556" s="104"/>
      <c r="S1556" s="104"/>
    </row>
    <row r="1557" spans="4:19">
      <c r="D1557" s="104"/>
      <c r="E1557" s="104"/>
      <c r="F1557" s="104"/>
      <c r="G1557" s="104"/>
      <c r="H1557" s="104"/>
      <c r="I1557" s="104"/>
      <c r="J1557" s="104"/>
      <c r="K1557" s="104"/>
      <c r="L1557" s="104"/>
      <c r="M1557" s="104"/>
      <c r="N1557" s="104"/>
      <c r="O1557" s="104"/>
      <c r="P1557" s="104"/>
      <c r="Q1557" s="104"/>
      <c r="R1557" s="104"/>
      <c r="S1557" s="104"/>
    </row>
    <row r="1558" spans="4:19">
      <c r="D1558" s="104"/>
      <c r="E1558" s="104"/>
      <c r="F1558" s="104"/>
      <c r="G1558" s="104"/>
      <c r="H1558" s="104"/>
      <c r="I1558" s="104"/>
      <c r="J1558" s="104"/>
      <c r="K1558" s="104"/>
      <c r="L1558" s="104"/>
      <c r="M1558" s="104"/>
      <c r="N1558" s="104"/>
      <c r="O1558" s="104"/>
      <c r="P1558" s="104"/>
      <c r="Q1558" s="104"/>
      <c r="R1558" s="104"/>
      <c r="S1558" s="104"/>
    </row>
    <row r="1559" spans="4:19">
      <c r="D1559" s="104"/>
      <c r="E1559" s="104"/>
      <c r="F1559" s="104"/>
      <c r="G1559" s="104"/>
      <c r="H1559" s="104"/>
      <c r="I1559" s="104"/>
      <c r="J1559" s="104"/>
      <c r="K1559" s="104"/>
      <c r="L1559" s="104"/>
      <c r="M1559" s="104"/>
      <c r="N1559" s="104"/>
      <c r="O1559" s="104"/>
      <c r="P1559" s="104"/>
      <c r="Q1559" s="104"/>
      <c r="R1559" s="104"/>
      <c r="S1559" s="104"/>
    </row>
    <row r="1560" spans="4:19">
      <c r="D1560" s="104"/>
      <c r="E1560" s="104"/>
      <c r="F1560" s="104"/>
      <c r="G1560" s="104"/>
      <c r="H1560" s="104"/>
      <c r="I1560" s="104"/>
      <c r="J1560" s="104"/>
      <c r="K1560" s="104"/>
      <c r="L1560" s="104"/>
      <c r="M1560" s="104"/>
      <c r="N1560" s="104"/>
      <c r="O1560" s="104"/>
      <c r="P1560" s="104"/>
      <c r="Q1560" s="104"/>
      <c r="R1560" s="104"/>
      <c r="S1560" s="104"/>
    </row>
    <row r="1561" spans="4:19">
      <c r="D1561" s="104"/>
      <c r="E1561" s="104"/>
      <c r="F1561" s="104"/>
      <c r="G1561" s="104"/>
      <c r="H1561" s="104"/>
      <c r="I1561" s="104"/>
      <c r="J1561" s="104"/>
      <c r="K1561" s="104"/>
      <c r="L1561" s="104"/>
      <c r="M1561" s="104"/>
      <c r="N1561" s="104"/>
      <c r="O1561" s="104"/>
      <c r="P1561" s="104"/>
      <c r="Q1561" s="104"/>
      <c r="R1561" s="104"/>
      <c r="S1561" s="104"/>
    </row>
    <row r="1562" spans="4:19">
      <c r="D1562" s="104"/>
      <c r="E1562" s="104"/>
      <c r="F1562" s="104"/>
      <c r="G1562" s="104"/>
      <c r="H1562" s="104"/>
      <c r="I1562" s="104"/>
      <c r="J1562" s="104"/>
      <c r="K1562" s="104"/>
      <c r="L1562" s="104"/>
      <c r="M1562" s="104"/>
      <c r="N1562" s="104"/>
      <c r="O1562" s="104"/>
      <c r="P1562" s="104"/>
      <c r="Q1562" s="104"/>
      <c r="R1562" s="104"/>
      <c r="S1562" s="104"/>
    </row>
    <row r="1563" spans="4:19">
      <c r="D1563" s="104"/>
      <c r="E1563" s="104"/>
      <c r="F1563" s="104"/>
      <c r="G1563" s="104"/>
      <c r="H1563" s="104"/>
      <c r="I1563" s="104"/>
      <c r="J1563" s="104"/>
      <c r="K1563" s="104"/>
      <c r="L1563" s="104"/>
      <c r="M1563" s="104"/>
      <c r="N1563" s="104"/>
      <c r="O1563" s="104"/>
      <c r="P1563" s="104"/>
      <c r="Q1563" s="104"/>
      <c r="R1563" s="104"/>
      <c r="S1563" s="104"/>
    </row>
    <row r="1564" spans="4:19">
      <c r="D1564" s="104"/>
      <c r="E1564" s="104"/>
      <c r="F1564" s="104"/>
      <c r="G1564" s="104"/>
      <c r="H1564" s="104"/>
      <c r="I1564" s="104"/>
      <c r="J1564" s="104"/>
      <c r="K1564" s="104"/>
      <c r="L1564" s="104"/>
      <c r="M1564" s="104"/>
      <c r="N1564" s="104"/>
      <c r="O1564" s="104"/>
      <c r="P1564" s="104"/>
      <c r="Q1564" s="104"/>
      <c r="R1564" s="104"/>
      <c r="S1564" s="104"/>
    </row>
    <row r="1565" spans="4:19">
      <c r="D1565" s="104"/>
      <c r="E1565" s="104"/>
      <c r="F1565" s="104"/>
      <c r="G1565" s="104"/>
      <c r="H1565" s="104"/>
      <c r="I1565" s="104"/>
      <c r="J1565" s="104"/>
      <c r="K1565" s="104"/>
      <c r="L1565" s="104"/>
      <c r="M1565" s="104"/>
      <c r="N1565" s="104"/>
      <c r="O1565" s="104"/>
      <c r="P1565" s="104"/>
      <c r="Q1565" s="104"/>
      <c r="R1565" s="104"/>
      <c r="S1565" s="104"/>
    </row>
    <row r="1566" spans="4:19">
      <c r="D1566" s="104"/>
      <c r="E1566" s="104"/>
      <c r="F1566" s="104"/>
      <c r="G1566" s="104"/>
      <c r="H1566" s="104"/>
      <c r="I1566" s="104"/>
      <c r="J1566" s="104"/>
      <c r="K1566" s="104"/>
      <c r="L1566" s="104"/>
      <c r="M1566" s="104"/>
      <c r="N1566" s="104"/>
      <c r="O1566" s="104"/>
      <c r="P1566" s="104"/>
      <c r="Q1566" s="104"/>
      <c r="R1566" s="104"/>
      <c r="S1566" s="104"/>
    </row>
    <row r="1567" spans="4:19">
      <c r="D1567" s="104"/>
      <c r="E1567" s="104"/>
      <c r="F1567" s="104"/>
      <c r="G1567" s="104"/>
      <c r="H1567" s="104"/>
      <c r="I1567" s="104"/>
      <c r="J1567" s="104"/>
      <c r="K1567" s="104"/>
      <c r="L1567" s="104"/>
      <c r="M1567" s="104"/>
      <c r="N1567" s="104"/>
      <c r="O1567" s="104"/>
      <c r="P1567" s="104"/>
      <c r="Q1567" s="104"/>
      <c r="R1567" s="104"/>
      <c r="S1567" s="104"/>
    </row>
    <row r="1568" spans="4:19">
      <c r="D1568" s="104"/>
      <c r="E1568" s="104"/>
      <c r="F1568" s="104"/>
      <c r="G1568" s="104"/>
      <c r="H1568" s="104"/>
      <c r="I1568" s="104"/>
      <c r="J1568" s="104"/>
      <c r="K1568" s="104"/>
      <c r="L1568" s="104"/>
      <c r="M1568" s="104"/>
      <c r="N1568" s="104"/>
      <c r="O1568" s="104"/>
      <c r="P1568" s="104"/>
      <c r="Q1568" s="104"/>
      <c r="R1568" s="104"/>
      <c r="S1568" s="104"/>
    </row>
    <row r="1569" spans="4:19">
      <c r="D1569" s="104"/>
      <c r="E1569" s="104"/>
      <c r="F1569" s="104"/>
      <c r="G1569" s="104"/>
      <c r="H1569" s="104"/>
      <c r="I1569" s="104"/>
      <c r="J1569" s="104"/>
      <c r="K1569" s="104"/>
      <c r="L1569" s="104"/>
      <c r="M1569" s="104"/>
      <c r="N1569" s="104"/>
      <c r="O1569" s="104"/>
      <c r="P1569" s="104"/>
      <c r="Q1569" s="104"/>
      <c r="R1569" s="104"/>
      <c r="S1569" s="104"/>
    </row>
    <row r="1570" spans="4:19">
      <c r="D1570" s="104"/>
      <c r="E1570" s="104"/>
      <c r="F1570" s="104"/>
      <c r="G1570" s="104"/>
      <c r="H1570" s="104"/>
      <c r="I1570" s="104"/>
      <c r="J1570" s="104"/>
      <c r="K1570" s="104"/>
      <c r="L1570" s="104"/>
      <c r="M1570" s="104"/>
      <c r="N1570" s="104"/>
      <c r="O1570" s="104"/>
      <c r="P1570" s="104"/>
      <c r="Q1570" s="104"/>
      <c r="R1570" s="104"/>
      <c r="S1570" s="104"/>
    </row>
    <row r="1571" spans="4:19">
      <c r="D1571" s="104"/>
      <c r="E1571" s="104"/>
      <c r="F1571" s="104"/>
      <c r="G1571" s="104"/>
      <c r="H1571" s="104"/>
      <c r="I1571" s="104"/>
      <c r="J1571" s="104"/>
      <c r="K1571" s="104"/>
      <c r="L1571" s="104"/>
      <c r="M1571" s="104"/>
      <c r="N1571" s="104"/>
      <c r="O1571" s="104"/>
      <c r="P1571" s="104"/>
      <c r="Q1571" s="104"/>
      <c r="R1571" s="104"/>
      <c r="S1571" s="104"/>
    </row>
    <row r="1572" spans="4:19">
      <c r="D1572" s="104"/>
      <c r="E1572" s="104"/>
      <c r="F1572" s="104"/>
      <c r="G1572" s="104"/>
      <c r="H1572" s="104"/>
      <c r="I1572" s="104"/>
      <c r="J1572" s="104"/>
      <c r="K1572" s="104"/>
      <c r="L1572" s="104"/>
      <c r="M1572" s="104"/>
      <c r="N1572" s="104"/>
      <c r="O1572" s="104"/>
      <c r="P1572" s="104"/>
      <c r="Q1572" s="104"/>
      <c r="R1572" s="104"/>
      <c r="S1572" s="104"/>
    </row>
    <row r="1573" spans="4:19">
      <c r="D1573" s="104"/>
      <c r="E1573" s="104"/>
      <c r="F1573" s="104"/>
      <c r="G1573" s="104"/>
      <c r="H1573" s="104"/>
      <c r="I1573" s="104"/>
      <c r="J1573" s="104"/>
      <c r="K1573" s="104"/>
      <c r="L1573" s="104"/>
      <c r="M1573" s="104"/>
      <c r="N1573" s="104"/>
      <c r="O1573" s="104"/>
      <c r="P1573" s="104"/>
      <c r="Q1573" s="104"/>
      <c r="R1573" s="104"/>
      <c r="S1573" s="104"/>
    </row>
    <row r="1574" spans="4:19">
      <c r="D1574" s="104"/>
      <c r="E1574" s="104"/>
      <c r="F1574" s="104"/>
      <c r="G1574" s="104"/>
      <c r="H1574" s="104"/>
      <c r="I1574" s="104"/>
      <c r="J1574" s="104"/>
      <c r="K1574" s="104"/>
      <c r="L1574" s="104"/>
      <c r="M1574" s="104"/>
      <c r="N1574" s="104"/>
      <c r="O1574" s="104"/>
      <c r="P1574" s="104"/>
      <c r="Q1574" s="104"/>
      <c r="R1574" s="104"/>
      <c r="S1574" s="104"/>
    </row>
    <row r="1575" spans="4:19">
      <c r="D1575" s="104"/>
      <c r="E1575" s="104"/>
      <c r="F1575" s="104"/>
      <c r="G1575" s="104"/>
      <c r="H1575" s="104"/>
      <c r="I1575" s="104"/>
      <c r="J1575" s="104"/>
      <c r="K1575" s="104"/>
      <c r="L1575" s="104"/>
      <c r="M1575" s="104"/>
      <c r="N1575" s="104"/>
      <c r="O1575" s="104"/>
      <c r="P1575" s="104"/>
      <c r="Q1575" s="104"/>
      <c r="R1575" s="104"/>
      <c r="S1575" s="104"/>
    </row>
    <row r="1576" spans="4:19">
      <c r="D1576" s="104"/>
      <c r="E1576" s="104"/>
      <c r="F1576" s="104"/>
      <c r="G1576" s="104"/>
      <c r="H1576" s="104"/>
      <c r="I1576" s="104"/>
      <c r="J1576" s="104"/>
      <c r="K1576" s="104"/>
      <c r="L1576" s="104"/>
      <c r="M1576" s="104"/>
      <c r="N1576" s="104"/>
      <c r="O1576" s="104"/>
      <c r="P1576" s="104"/>
      <c r="Q1576" s="104"/>
      <c r="R1576" s="104"/>
      <c r="S1576" s="104"/>
    </row>
    <row r="1577" spans="4:19">
      <c r="D1577" s="104"/>
      <c r="E1577" s="104"/>
      <c r="F1577" s="104"/>
      <c r="G1577" s="104"/>
      <c r="H1577" s="104"/>
      <c r="I1577" s="104"/>
      <c r="J1577" s="104"/>
      <c r="K1577" s="104"/>
      <c r="L1577" s="104"/>
      <c r="M1577" s="104"/>
      <c r="N1577" s="104"/>
      <c r="O1577" s="104"/>
      <c r="P1577" s="104"/>
      <c r="Q1577" s="104"/>
      <c r="R1577" s="104"/>
      <c r="S1577" s="104"/>
    </row>
    <row r="1578" spans="4:19">
      <c r="D1578" s="104"/>
      <c r="E1578" s="104"/>
      <c r="F1578" s="104"/>
      <c r="G1578" s="104"/>
      <c r="H1578" s="104"/>
      <c r="I1578" s="104"/>
      <c r="J1578" s="104"/>
      <c r="K1578" s="104"/>
      <c r="L1578" s="104"/>
      <c r="M1578" s="104"/>
      <c r="N1578" s="104"/>
      <c r="O1578" s="104"/>
      <c r="P1578" s="104"/>
      <c r="Q1578" s="104"/>
      <c r="R1578" s="104"/>
      <c r="S1578" s="104"/>
    </row>
    <row r="1579" spans="4:19">
      <c r="D1579" s="104"/>
      <c r="E1579" s="104"/>
      <c r="F1579" s="104"/>
      <c r="G1579" s="104"/>
      <c r="H1579" s="104"/>
      <c r="I1579" s="104"/>
      <c r="J1579" s="104"/>
      <c r="K1579" s="104"/>
      <c r="L1579" s="104"/>
      <c r="M1579" s="104"/>
      <c r="N1579" s="104"/>
      <c r="O1579" s="104"/>
      <c r="P1579" s="104"/>
      <c r="Q1579" s="104"/>
      <c r="R1579" s="104"/>
      <c r="S1579" s="104"/>
    </row>
    <row r="1580" spans="4:19">
      <c r="D1580" s="104"/>
      <c r="E1580" s="104"/>
      <c r="F1580" s="104"/>
      <c r="G1580" s="104"/>
      <c r="H1580" s="104"/>
      <c r="I1580" s="104"/>
      <c r="J1580" s="104"/>
      <c r="K1580" s="104"/>
      <c r="L1580" s="104"/>
      <c r="M1580" s="104"/>
      <c r="N1580" s="104"/>
      <c r="O1580" s="104"/>
      <c r="P1580" s="104"/>
      <c r="Q1580" s="104"/>
      <c r="R1580" s="104"/>
      <c r="S1580" s="104"/>
    </row>
    <row r="1581" spans="4:19">
      <c r="D1581" s="104"/>
      <c r="E1581" s="104"/>
      <c r="F1581" s="104"/>
      <c r="G1581" s="104"/>
      <c r="H1581" s="104"/>
      <c r="I1581" s="104"/>
      <c r="J1581" s="104"/>
      <c r="K1581" s="104"/>
      <c r="L1581" s="104"/>
      <c r="M1581" s="104"/>
      <c r="N1581" s="104"/>
      <c r="O1581" s="104"/>
      <c r="P1581" s="104"/>
      <c r="Q1581" s="104"/>
      <c r="R1581" s="104"/>
      <c r="S1581" s="104"/>
    </row>
    <row r="1582" spans="4:19">
      <c r="D1582" s="104"/>
      <c r="E1582" s="104"/>
      <c r="F1582" s="104"/>
      <c r="G1582" s="104"/>
      <c r="H1582" s="104"/>
      <c r="I1582" s="104"/>
      <c r="J1582" s="104"/>
      <c r="K1582" s="104"/>
      <c r="L1582" s="104"/>
      <c r="M1582" s="104"/>
      <c r="N1582" s="104"/>
      <c r="O1582" s="104"/>
      <c r="P1582" s="104"/>
      <c r="Q1582" s="104"/>
      <c r="R1582" s="104"/>
      <c r="S1582" s="104"/>
    </row>
    <row r="1583" spans="4:19">
      <c r="D1583" s="104"/>
      <c r="E1583" s="104"/>
      <c r="F1583" s="104"/>
      <c r="G1583" s="104"/>
      <c r="H1583" s="104"/>
      <c r="I1583" s="104"/>
      <c r="J1583" s="104"/>
      <c r="K1583" s="104"/>
      <c r="L1583" s="104"/>
      <c r="M1583" s="104"/>
      <c r="N1583" s="104"/>
      <c r="O1583" s="104"/>
      <c r="P1583" s="104"/>
      <c r="Q1583" s="104"/>
      <c r="R1583" s="104"/>
      <c r="S1583" s="104"/>
    </row>
    <row r="1584" spans="4:19">
      <c r="D1584" s="104"/>
      <c r="E1584" s="104"/>
      <c r="F1584" s="104"/>
      <c r="G1584" s="104"/>
      <c r="H1584" s="104"/>
      <c r="I1584" s="104"/>
      <c r="J1584" s="104"/>
      <c r="K1584" s="104"/>
      <c r="L1584" s="104"/>
      <c r="M1584" s="104"/>
      <c r="N1584" s="104"/>
      <c r="O1584" s="104"/>
      <c r="P1584" s="104"/>
      <c r="Q1584" s="104"/>
      <c r="R1584" s="104"/>
      <c r="S1584" s="104"/>
    </row>
    <row r="1585" spans="4:19">
      <c r="D1585" s="104"/>
      <c r="E1585" s="104"/>
      <c r="F1585" s="104"/>
      <c r="G1585" s="104"/>
      <c r="H1585" s="104"/>
      <c r="I1585" s="104"/>
      <c r="J1585" s="104"/>
      <c r="K1585" s="104"/>
      <c r="L1585" s="104"/>
      <c r="M1585" s="104"/>
      <c r="N1585" s="104"/>
      <c r="O1585" s="104"/>
      <c r="P1585" s="104"/>
      <c r="Q1585" s="104"/>
      <c r="R1585" s="104"/>
      <c r="S1585" s="104"/>
    </row>
    <row r="1586" spans="4:19">
      <c r="D1586" s="104"/>
      <c r="E1586" s="104"/>
      <c r="F1586" s="104"/>
      <c r="G1586" s="104"/>
      <c r="H1586" s="104"/>
      <c r="I1586" s="104"/>
      <c r="J1586" s="104"/>
      <c r="K1586" s="104"/>
      <c r="L1586" s="104"/>
      <c r="M1586" s="104"/>
      <c r="N1586" s="104"/>
      <c r="O1586" s="104"/>
      <c r="P1586" s="104"/>
      <c r="Q1586" s="104"/>
      <c r="R1586" s="104"/>
      <c r="S1586" s="104"/>
    </row>
    <row r="1587" spans="4:19">
      <c r="D1587" s="104"/>
      <c r="E1587" s="104"/>
      <c r="F1587" s="104"/>
      <c r="G1587" s="104"/>
      <c r="H1587" s="104"/>
      <c r="I1587" s="104"/>
      <c r="J1587" s="104"/>
      <c r="K1587" s="104"/>
      <c r="L1587" s="104"/>
      <c r="M1587" s="104"/>
      <c r="N1587" s="104"/>
      <c r="O1587" s="104"/>
      <c r="P1587" s="104"/>
      <c r="Q1587" s="104"/>
      <c r="R1587" s="104"/>
      <c r="S1587" s="104"/>
    </row>
    <row r="1588" spans="4:19">
      <c r="D1588" s="104"/>
      <c r="E1588" s="104"/>
      <c r="F1588" s="104"/>
      <c r="G1588" s="104"/>
      <c r="H1588" s="104"/>
      <c r="I1588" s="104"/>
      <c r="J1588" s="104"/>
      <c r="K1588" s="104"/>
      <c r="L1588" s="104"/>
      <c r="M1588" s="104"/>
      <c r="N1588" s="104"/>
      <c r="O1588" s="104"/>
      <c r="P1588" s="104"/>
      <c r="Q1588" s="104"/>
      <c r="R1588" s="104"/>
      <c r="S1588" s="104"/>
    </row>
    <row r="1589" spans="4:19">
      <c r="D1589" s="104"/>
      <c r="E1589" s="104"/>
      <c r="F1589" s="104"/>
      <c r="G1589" s="104"/>
      <c r="H1589" s="104"/>
      <c r="I1589" s="104"/>
      <c r="J1589" s="104"/>
      <c r="K1589" s="104"/>
      <c r="L1589" s="104"/>
      <c r="M1589" s="104"/>
      <c r="N1589" s="104"/>
      <c r="O1589" s="104"/>
      <c r="P1589" s="104"/>
      <c r="Q1589" s="104"/>
      <c r="R1589" s="104"/>
      <c r="S1589" s="104"/>
    </row>
    <row r="1590" spans="4:19">
      <c r="D1590" s="104"/>
      <c r="E1590" s="104"/>
      <c r="F1590" s="104"/>
      <c r="G1590" s="104"/>
      <c r="H1590" s="104"/>
      <c r="I1590" s="104"/>
      <c r="J1590" s="104"/>
      <c r="K1590" s="104"/>
      <c r="L1590" s="104"/>
      <c r="M1590" s="104"/>
      <c r="N1590" s="104"/>
      <c r="O1590" s="104"/>
      <c r="P1590" s="104"/>
      <c r="Q1590" s="104"/>
      <c r="R1590" s="104"/>
      <c r="S1590" s="104"/>
    </row>
    <row r="1591" spans="4:19">
      <c r="D1591" s="104"/>
      <c r="E1591" s="104"/>
      <c r="F1591" s="104"/>
      <c r="G1591" s="104"/>
      <c r="H1591" s="104"/>
      <c r="I1591" s="104"/>
      <c r="J1591" s="104"/>
      <c r="K1591" s="104"/>
      <c r="L1591" s="104"/>
      <c r="M1591" s="104"/>
      <c r="N1591" s="104"/>
      <c r="O1591" s="104"/>
      <c r="P1591" s="104"/>
      <c r="Q1591" s="104"/>
      <c r="R1591" s="104"/>
      <c r="S1591" s="104"/>
    </row>
    <row r="1592" spans="4:19">
      <c r="D1592" s="104"/>
      <c r="E1592" s="104"/>
      <c r="F1592" s="104"/>
      <c r="G1592" s="104"/>
      <c r="H1592" s="104"/>
      <c r="I1592" s="104"/>
      <c r="J1592" s="104"/>
      <c r="K1592" s="104"/>
      <c r="L1592" s="104"/>
      <c r="M1592" s="104"/>
      <c r="N1592" s="104"/>
      <c r="O1592" s="104"/>
      <c r="P1592" s="104"/>
      <c r="Q1592" s="104"/>
      <c r="R1592" s="104"/>
      <c r="S1592" s="104"/>
    </row>
    <row r="1593" spans="4:19">
      <c r="D1593" s="104"/>
      <c r="E1593" s="104"/>
      <c r="F1593" s="104"/>
      <c r="G1593" s="104"/>
      <c r="H1593" s="104"/>
      <c r="I1593" s="104"/>
      <c r="J1593" s="104"/>
      <c r="K1593" s="104"/>
      <c r="L1593" s="104"/>
      <c r="M1593" s="104"/>
      <c r="N1593" s="104"/>
      <c r="O1593" s="104"/>
      <c r="P1593" s="104"/>
      <c r="Q1593" s="104"/>
      <c r="R1593" s="104"/>
      <c r="S1593" s="104"/>
    </row>
    <row r="1594" spans="4:19">
      <c r="D1594" s="104"/>
      <c r="E1594" s="104"/>
      <c r="F1594" s="104"/>
      <c r="G1594" s="104"/>
      <c r="H1594" s="104"/>
      <c r="I1594" s="104"/>
      <c r="J1594" s="104"/>
      <c r="K1594" s="104"/>
      <c r="L1594" s="104"/>
      <c r="M1594" s="104"/>
      <c r="N1594" s="104"/>
      <c r="O1594" s="104"/>
      <c r="P1594" s="104"/>
      <c r="Q1594" s="104"/>
      <c r="R1594" s="104"/>
      <c r="S1594" s="104"/>
    </row>
    <row r="1595" spans="4:19">
      <c r="D1595" s="104"/>
      <c r="E1595" s="104"/>
      <c r="F1595" s="104"/>
      <c r="G1595" s="104"/>
      <c r="H1595" s="104"/>
      <c r="I1595" s="104"/>
      <c r="J1595" s="104"/>
      <c r="K1595" s="104"/>
      <c r="L1595" s="104"/>
      <c r="M1595" s="104"/>
      <c r="N1595" s="104"/>
      <c r="O1595" s="104"/>
      <c r="P1595" s="104"/>
      <c r="Q1595" s="104"/>
      <c r="R1595" s="104"/>
      <c r="S1595" s="104"/>
    </row>
    <row r="1596" spans="4:19">
      <c r="D1596" s="104"/>
      <c r="E1596" s="104"/>
      <c r="F1596" s="104"/>
      <c r="G1596" s="104"/>
      <c r="H1596" s="104"/>
      <c r="I1596" s="104"/>
      <c r="J1596" s="104"/>
      <c r="K1596" s="104"/>
      <c r="L1596" s="104"/>
      <c r="M1596" s="104"/>
      <c r="N1596" s="104"/>
      <c r="O1596" s="104"/>
      <c r="P1596" s="104"/>
      <c r="Q1596" s="104"/>
      <c r="R1596" s="104"/>
      <c r="S1596" s="104"/>
    </row>
    <row r="1597" spans="4:19">
      <c r="D1597" s="104"/>
      <c r="E1597" s="104"/>
      <c r="F1597" s="104"/>
      <c r="G1597" s="104"/>
      <c r="H1597" s="104"/>
      <c r="I1597" s="104"/>
      <c r="J1597" s="104"/>
      <c r="K1597" s="104"/>
      <c r="L1597" s="104"/>
      <c r="M1597" s="104"/>
      <c r="N1597" s="104"/>
      <c r="O1597" s="104"/>
      <c r="P1597" s="104"/>
      <c r="Q1597" s="104"/>
      <c r="R1597" s="104"/>
      <c r="S1597" s="104"/>
    </row>
    <row r="1598" spans="4:19">
      <c r="D1598" s="104"/>
      <c r="E1598" s="104"/>
      <c r="F1598" s="104"/>
      <c r="G1598" s="104"/>
      <c r="H1598" s="104"/>
      <c r="I1598" s="104"/>
      <c r="J1598" s="104"/>
      <c r="K1598" s="104"/>
      <c r="L1598" s="104"/>
      <c r="M1598" s="104"/>
      <c r="N1598" s="104"/>
      <c r="O1598" s="104"/>
      <c r="P1598" s="104"/>
      <c r="Q1598" s="104"/>
      <c r="R1598" s="104"/>
      <c r="S1598" s="104"/>
    </row>
    <row r="1599" spans="4:19">
      <c r="D1599" s="104"/>
      <c r="E1599" s="104"/>
      <c r="F1599" s="104"/>
      <c r="G1599" s="104"/>
      <c r="H1599" s="104"/>
      <c r="I1599" s="104"/>
      <c r="J1599" s="104"/>
      <c r="K1599" s="104"/>
      <c r="L1599" s="104"/>
      <c r="M1599" s="104"/>
      <c r="N1599" s="104"/>
      <c r="O1599" s="104"/>
      <c r="P1599" s="104"/>
      <c r="Q1599" s="104"/>
      <c r="R1599" s="104"/>
      <c r="S1599" s="104"/>
    </row>
    <row r="1600" spans="4:19">
      <c r="D1600" s="104"/>
      <c r="E1600" s="104"/>
      <c r="F1600" s="104"/>
      <c r="G1600" s="104"/>
      <c r="H1600" s="104"/>
      <c r="I1600" s="104"/>
      <c r="J1600" s="104"/>
      <c r="K1600" s="104"/>
      <c r="L1600" s="104"/>
      <c r="M1600" s="104"/>
      <c r="N1600" s="104"/>
      <c r="O1600" s="104"/>
      <c r="P1600" s="104"/>
      <c r="Q1600" s="104"/>
      <c r="R1600" s="104"/>
      <c r="S1600" s="104"/>
    </row>
    <row r="1601" spans="4:19">
      <c r="D1601" s="104"/>
      <c r="E1601" s="104"/>
      <c r="F1601" s="104"/>
      <c r="G1601" s="104"/>
      <c r="H1601" s="104"/>
      <c r="I1601" s="104"/>
      <c r="J1601" s="104"/>
      <c r="K1601" s="104"/>
      <c r="L1601" s="104"/>
      <c r="M1601" s="104"/>
      <c r="N1601" s="104"/>
      <c r="O1601" s="104"/>
      <c r="P1601" s="104"/>
      <c r="Q1601" s="104"/>
      <c r="R1601" s="104"/>
      <c r="S1601" s="104"/>
    </row>
    <row r="1602" spans="4:19">
      <c r="D1602" s="104"/>
      <c r="E1602" s="104"/>
      <c r="F1602" s="104"/>
      <c r="G1602" s="104"/>
      <c r="H1602" s="104"/>
      <c r="I1602" s="104"/>
      <c r="J1602" s="104"/>
      <c r="K1602" s="104"/>
      <c r="L1602" s="104"/>
      <c r="M1602" s="104"/>
      <c r="N1602" s="104"/>
      <c r="O1602" s="104"/>
      <c r="P1602" s="104"/>
      <c r="Q1602" s="104"/>
      <c r="R1602" s="104"/>
      <c r="S1602" s="104"/>
    </row>
    <row r="1603" spans="4:19">
      <c r="D1603" s="104"/>
      <c r="E1603" s="104"/>
      <c r="F1603" s="104"/>
      <c r="G1603" s="104"/>
      <c r="H1603" s="104"/>
      <c r="I1603" s="104"/>
      <c r="J1603" s="104"/>
      <c r="K1603" s="104"/>
      <c r="L1603" s="104"/>
      <c r="M1603" s="104"/>
      <c r="N1603" s="104"/>
      <c r="O1603" s="104"/>
      <c r="P1603" s="104"/>
      <c r="Q1603" s="104"/>
      <c r="R1603" s="104"/>
      <c r="S1603" s="104"/>
    </row>
    <row r="1604" spans="4:19">
      <c r="D1604" s="104"/>
      <c r="E1604" s="104"/>
      <c r="F1604" s="104"/>
      <c r="G1604" s="104"/>
      <c r="H1604" s="104"/>
      <c r="I1604" s="104"/>
      <c r="J1604" s="104"/>
      <c r="K1604" s="104"/>
      <c r="L1604" s="104"/>
      <c r="M1604" s="104"/>
      <c r="N1604" s="104"/>
      <c r="O1604" s="104"/>
      <c r="P1604" s="104"/>
      <c r="Q1604" s="104"/>
      <c r="R1604" s="104"/>
      <c r="S1604" s="104"/>
    </row>
    <row r="1605" spans="4:19">
      <c r="D1605" s="104"/>
      <c r="E1605" s="104"/>
      <c r="F1605" s="104"/>
      <c r="G1605" s="104"/>
      <c r="H1605" s="104"/>
      <c r="I1605" s="104"/>
      <c r="J1605" s="104"/>
      <c r="K1605" s="104"/>
      <c r="L1605" s="104"/>
      <c r="M1605" s="104"/>
      <c r="N1605" s="104"/>
      <c r="O1605" s="104"/>
      <c r="P1605" s="104"/>
      <c r="Q1605" s="104"/>
      <c r="R1605" s="104"/>
      <c r="S1605" s="104"/>
    </row>
    <row r="1606" spans="4:19">
      <c r="D1606" s="104"/>
      <c r="E1606" s="104"/>
      <c r="F1606" s="104"/>
      <c r="G1606" s="104"/>
      <c r="H1606" s="104"/>
      <c r="I1606" s="104"/>
      <c r="J1606" s="104"/>
      <c r="K1606" s="104"/>
      <c r="L1606" s="104"/>
      <c r="M1606" s="104"/>
      <c r="N1606" s="104"/>
      <c r="O1606" s="104"/>
      <c r="P1606" s="104"/>
      <c r="Q1606" s="104"/>
      <c r="R1606" s="104"/>
      <c r="S1606" s="104"/>
    </row>
    <row r="1607" spans="4:19">
      <c r="D1607" s="104"/>
      <c r="E1607" s="104"/>
      <c r="F1607" s="104"/>
      <c r="G1607" s="104"/>
      <c r="H1607" s="104"/>
      <c r="I1607" s="104"/>
      <c r="J1607" s="104"/>
      <c r="K1607" s="104"/>
      <c r="L1607" s="104"/>
      <c r="M1607" s="104"/>
      <c r="N1607" s="104"/>
      <c r="O1607" s="104"/>
      <c r="P1607" s="104"/>
      <c r="Q1607" s="104"/>
      <c r="R1607" s="104"/>
      <c r="S1607" s="104"/>
    </row>
    <row r="1608" spans="4:19">
      <c r="D1608" s="104"/>
      <c r="E1608" s="104"/>
      <c r="F1608" s="104"/>
      <c r="G1608" s="104"/>
      <c r="H1608" s="104"/>
      <c r="I1608" s="104"/>
      <c r="J1608" s="104"/>
      <c r="K1608" s="104"/>
      <c r="L1608" s="104"/>
      <c r="M1608" s="104"/>
      <c r="N1608" s="104"/>
      <c r="O1608" s="104"/>
      <c r="P1608" s="104"/>
      <c r="Q1608" s="104"/>
      <c r="R1608" s="104"/>
      <c r="S1608" s="104"/>
    </row>
    <row r="1609" spans="4:19">
      <c r="D1609" s="104"/>
      <c r="E1609" s="104"/>
      <c r="F1609" s="104"/>
      <c r="G1609" s="104"/>
      <c r="H1609" s="104"/>
      <c r="I1609" s="104"/>
      <c r="J1609" s="104"/>
      <c r="K1609" s="104"/>
      <c r="L1609" s="104"/>
      <c r="M1609" s="104"/>
      <c r="N1609" s="104"/>
      <c r="O1609" s="104"/>
      <c r="P1609" s="104"/>
      <c r="Q1609" s="104"/>
      <c r="R1609" s="104"/>
      <c r="S1609" s="104"/>
    </row>
    <row r="1610" spans="4:19">
      <c r="D1610" s="104"/>
      <c r="E1610" s="104"/>
      <c r="F1610" s="104"/>
      <c r="G1610" s="104"/>
      <c r="H1610" s="104"/>
      <c r="I1610" s="104"/>
      <c r="J1610" s="104"/>
      <c r="K1610" s="104"/>
      <c r="L1610" s="104"/>
      <c r="M1610" s="104"/>
      <c r="N1610" s="104"/>
      <c r="O1610" s="104"/>
      <c r="P1610" s="104"/>
      <c r="Q1610" s="104"/>
      <c r="R1610" s="104"/>
      <c r="S1610" s="104"/>
    </row>
    <row r="1611" spans="4:19">
      <c r="D1611" s="104"/>
      <c r="E1611" s="104"/>
      <c r="F1611" s="104"/>
      <c r="G1611" s="104"/>
      <c r="H1611" s="104"/>
      <c r="I1611" s="104"/>
      <c r="J1611" s="104"/>
      <c r="K1611" s="104"/>
      <c r="L1611" s="104"/>
      <c r="M1611" s="104"/>
      <c r="N1611" s="104"/>
      <c r="O1611" s="104"/>
      <c r="P1611" s="104"/>
      <c r="Q1611" s="104"/>
      <c r="R1611" s="104"/>
      <c r="S1611" s="104"/>
    </row>
    <row r="1612" spans="4:19">
      <c r="D1612" s="104"/>
      <c r="E1612" s="104"/>
      <c r="F1612" s="104"/>
      <c r="G1612" s="104"/>
      <c r="H1612" s="104"/>
      <c r="I1612" s="104"/>
      <c r="J1612" s="104"/>
      <c r="K1612" s="104"/>
      <c r="L1612" s="104"/>
      <c r="M1612" s="104"/>
      <c r="N1612" s="104"/>
      <c r="O1612" s="104"/>
      <c r="P1612" s="104"/>
      <c r="Q1612" s="104"/>
      <c r="R1612" s="104"/>
      <c r="S1612" s="104"/>
    </row>
    <row r="1613" spans="4:19">
      <c r="D1613" s="104"/>
      <c r="E1613" s="104"/>
      <c r="F1613" s="104"/>
      <c r="G1613" s="104"/>
      <c r="H1613" s="104"/>
      <c r="I1613" s="104"/>
      <c r="J1613" s="104"/>
      <c r="K1613" s="104"/>
      <c r="L1613" s="104"/>
      <c r="M1613" s="104"/>
      <c r="N1613" s="104"/>
      <c r="O1613" s="104"/>
      <c r="P1613" s="104"/>
      <c r="Q1613" s="104"/>
      <c r="R1613" s="104"/>
      <c r="S1613" s="104"/>
    </row>
    <row r="1614" spans="4:19">
      <c r="D1614" s="104"/>
      <c r="E1614" s="104"/>
      <c r="F1614" s="104"/>
      <c r="G1614" s="104"/>
      <c r="H1614" s="104"/>
      <c r="I1614" s="104"/>
      <c r="J1614" s="104"/>
      <c r="K1614" s="104"/>
      <c r="L1614" s="104"/>
      <c r="M1614" s="104"/>
      <c r="N1614" s="104"/>
      <c r="O1614" s="104"/>
      <c r="P1614" s="104"/>
      <c r="Q1614" s="104"/>
      <c r="R1614" s="104"/>
      <c r="S1614" s="104"/>
    </row>
    <row r="1615" spans="4:19">
      <c r="D1615" s="104"/>
      <c r="E1615" s="104"/>
      <c r="F1615" s="104"/>
      <c r="G1615" s="104"/>
      <c r="H1615" s="104"/>
      <c r="I1615" s="104"/>
      <c r="J1615" s="104"/>
      <c r="K1615" s="104"/>
      <c r="L1615" s="104"/>
      <c r="M1615" s="104"/>
      <c r="N1615" s="104"/>
      <c r="O1615" s="104"/>
      <c r="P1615" s="104"/>
      <c r="Q1615" s="104"/>
      <c r="R1615" s="104"/>
      <c r="S1615" s="104"/>
    </row>
    <row r="1616" spans="4:19">
      <c r="D1616" s="104"/>
      <c r="E1616" s="104"/>
      <c r="F1616" s="104"/>
      <c r="G1616" s="104"/>
      <c r="H1616" s="104"/>
      <c r="I1616" s="104"/>
      <c r="J1616" s="104"/>
      <c r="K1616" s="104"/>
      <c r="L1616" s="104"/>
      <c r="M1616" s="104"/>
      <c r="N1616" s="104"/>
      <c r="O1616" s="104"/>
      <c r="P1616" s="104"/>
      <c r="Q1616" s="104"/>
      <c r="R1616" s="104"/>
      <c r="S1616" s="104"/>
    </row>
    <row r="1617" spans="4:19">
      <c r="D1617" s="104"/>
      <c r="E1617" s="104"/>
      <c r="F1617" s="104"/>
      <c r="G1617" s="104"/>
      <c r="H1617" s="104"/>
      <c r="I1617" s="104"/>
      <c r="J1617" s="104"/>
      <c r="K1617" s="104"/>
      <c r="L1617" s="104"/>
      <c r="M1617" s="104"/>
      <c r="N1617" s="104"/>
      <c r="O1617" s="104"/>
      <c r="P1617" s="104"/>
      <c r="Q1617" s="104"/>
      <c r="R1617" s="104"/>
      <c r="S1617" s="104"/>
    </row>
    <row r="1618" spans="4:19">
      <c r="D1618" s="104"/>
      <c r="E1618" s="104"/>
      <c r="F1618" s="104"/>
      <c r="G1618" s="104"/>
      <c r="H1618" s="104"/>
      <c r="I1618" s="104"/>
      <c r="J1618" s="104"/>
      <c r="K1618" s="104"/>
      <c r="L1618" s="104"/>
      <c r="M1618" s="104"/>
      <c r="N1618" s="104"/>
      <c r="O1618" s="104"/>
      <c r="P1618" s="104"/>
      <c r="Q1618" s="104"/>
      <c r="R1618" s="104"/>
      <c r="S1618" s="104"/>
    </row>
    <row r="1619" spans="4:19">
      <c r="D1619" s="104"/>
      <c r="E1619" s="104"/>
      <c r="F1619" s="104"/>
      <c r="G1619" s="104"/>
      <c r="H1619" s="104"/>
      <c r="I1619" s="104"/>
      <c r="J1619" s="104"/>
      <c r="K1619" s="104"/>
      <c r="L1619" s="104"/>
      <c r="M1619" s="104"/>
      <c r="N1619" s="104"/>
      <c r="O1619" s="104"/>
      <c r="P1619" s="104"/>
      <c r="Q1619" s="104"/>
      <c r="R1619" s="104"/>
      <c r="S1619" s="104"/>
    </row>
    <row r="1620" spans="4:19">
      <c r="D1620" s="104"/>
      <c r="E1620" s="104"/>
      <c r="F1620" s="104"/>
      <c r="G1620" s="104"/>
      <c r="H1620" s="104"/>
      <c r="I1620" s="104"/>
      <c r="J1620" s="104"/>
      <c r="K1620" s="104"/>
      <c r="L1620" s="104"/>
      <c r="M1620" s="104"/>
      <c r="N1620" s="104"/>
      <c r="O1620" s="104"/>
      <c r="P1620" s="104"/>
      <c r="Q1620" s="104"/>
      <c r="R1620" s="104"/>
      <c r="S1620" s="104"/>
    </row>
    <row r="1621" spans="4:19">
      <c r="D1621" s="104"/>
      <c r="E1621" s="104"/>
      <c r="F1621" s="104"/>
      <c r="G1621" s="104"/>
      <c r="H1621" s="104"/>
      <c r="I1621" s="104"/>
      <c r="J1621" s="104"/>
      <c r="K1621" s="104"/>
      <c r="L1621" s="104"/>
      <c r="M1621" s="104"/>
      <c r="N1621" s="104"/>
      <c r="O1621" s="104"/>
      <c r="P1621" s="104"/>
      <c r="Q1621" s="104"/>
      <c r="R1621" s="104"/>
      <c r="S1621" s="104"/>
    </row>
    <row r="1622" spans="4:19">
      <c r="D1622" s="104"/>
      <c r="E1622" s="104"/>
      <c r="F1622" s="104"/>
      <c r="G1622" s="104"/>
      <c r="H1622" s="104"/>
      <c r="I1622" s="104"/>
      <c r="J1622" s="104"/>
      <c r="K1622" s="104"/>
      <c r="L1622" s="104"/>
      <c r="M1622" s="104"/>
      <c r="N1622" s="104"/>
      <c r="O1622" s="104"/>
      <c r="P1622" s="104"/>
      <c r="Q1622" s="104"/>
      <c r="R1622" s="104"/>
      <c r="S1622" s="104"/>
    </row>
    <row r="1623" spans="4:19">
      <c r="D1623" s="104"/>
      <c r="E1623" s="104"/>
      <c r="F1623" s="104"/>
      <c r="G1623" s="104"/>
      <c r="H1623" s="104"/>
      <c r="I1623" s="104"/>
      <c r="J1623" s="104"/>
      <c r="K1623" s="104"/>
      <c r="L1623" s="104"/>
      <c r="M1623" s="104"/>
      <c r="N1623" s="104"/>
      <c r="O1623" s="104"/>
      <c r="P1623" s="104"/>
      <c r="Q1623" s="104"/>
      <c r="R1623" s="104"/>
      <c r="S1623" s="104"/>
    </row>
    <row r="1624" spans="4:19">
      <c r="D1624" s="104"/>
      <c r="E1624" s="104"/>
      <c r="F1624" s="104"/>
      <c r="G1624" s="104"/>
      <c r="H1624" s="104"/>
      <c r="I1624" s="104"/>
      <c r="J1624" s="104"/>
      <c r="K1624" s="104"/>
      <c r="L1624" s="104"/>
      <c r="M1624" s="104"/>
      <c r="N1624" s="104"/>
      <c r="O1624" s="104"/>
      <c r="P1624" s="104"/>
      <c r="Q1624" s="104"/>
      <c r="R1624" s="104"/>
      <c r="S1624" s="104"/>
    </row>
    <row r="1625" spans="4:19">
      <c r="D1625" s="104"/>
      <c r="E1625" s="104"/>
      <c r="F1625" s="104"/>
      <c r="G1625" s="104"/>
      <c r="H1625" s="104"/>
      <c r="I1625" s="104"/>
      <c r="J1625" s="104"/>
      <c r="K1625" s="104"/>
      <c r="L1625" s="104"/>
      <c r="M1625" s="104"/>
      <c r="N1625" s="104"/>
      <c r="O1625" s="104"/>
      <c r="P1625" s="104"/>
      <c r="Q1625" s="104"/>
      <c r="R1625" s="104"/>
      <c r="S1625" s="104"/>
    </row>
    <row r="1626" spans="4:19">
      <c r="D1626" s="104"/>
      <c r="E1626" s="104"/>
      <c r="F1626" s="104"/>
      <c r="G1626" s="104"/>
      <c r="H1626" s="104"/>
      <c r="I1626" s="104"/>
      <c r="J1626" s="104"/>
      <c r="K1626" s="104"/>
      <c r="L1626" s="104"/>
      <c r="M1626" s="104"/>
      <c r="N1626" s="104"/>
      <c r="O1626" s="104"/>
      <c r="P1626" s="104"/>
      <c r="Q1626" s="104"/>
      <c r="R1626" s="104"/>
      <c r="S1626" s="104"/>
    </row>
    <row r="1627" spans="4:19">
      <c r="D1627" s="104"/>
      <c r="E1627" s="104"/>
      <c r="F1627" s="104"/>
      <c r="G1627" s="104"/>
      <c r="H1627" s="104"/>
      <c r="I1627" s="104"/>
      <c r="J1627" s="104"/>
      <c r="K1627" s="104"/>
      <c r="L1627" s="104"/>
      <c r="M1627" s="104"/>
      <c r="N1627" s="104"/>
      <c r="O1627" s="104"/>
      <c r="P1627" s="104"/>
      <c r="Q1627" s="104"/>
      <c r="R1627" s="104"/>
      <c r="S1627" s="104"/>
    </row>
    <row r="1628" spans="4:19">
      <c r="D1628" s="104"/>
      <c r="E1628" s="104"/>
      <c r="F1628" s="104"/>
      <c r="G1628" s="104"/>
      <c r="H1628" s="104"/>
      <c r="I1628" s="104"/>
      <c r="J1628" s="104"/>
      <c r="K1628" s="104"/>
      <c r="L1628" s="104"/>
      <c r="M1628" s="104"/>
      <c r="N1628" s="104"/>
      <c r="O1628" s="104"/>
      <c r="P1628" s="104"/>
      <c r="Q1628" s="104"/>
      <c r="R1628" s="104"/>
      <c r="S1628" s="104"/>
    </row>
    <row r="1629" spans="4:19">
      <c r="D1629" s="104"/>
      <c r="E1629" s="104"/>
      <c r="F1629" s="104"/>
      <c r="G1629" s="104"/>
      <c r="H1629" s="104"/>
      <c r="I1629" s="104"/>
      <c r="J1629" s="104"/>
      <c r="K1629" s="104"/>
      <c r="L1629" s="104"/>
      <c r="M1629" s="104"/>
      <c r="N1629" s="104"/>
      <c r="O1629" s="104"/>
      <c r="P1629" s="104"/>
      <c r="Q1629" s="104"/>
      <c r="R1629" s="104"/>
      <c r="S1629" s="104"/>
    </row>
    <row r="1630" spans="4:19">
      <c r="D1630" s="104"/>
      <c r="E1630" s="104"/>
      <c r="F1630" s="104"/>
      <c r="G1630" s="104"/>
      <c r="H1630" s="104"/>
      <c r="I1630" s="104"/>
      <c r="J1630" s="104"/>
      <c r="K1630" s="104"/>
      <c r="L1630" s="104"/>
      <c r="M1630" s="104"/>
      <c r="N1630" s="104"/>
      <c r="O1630" s="104"/>
      <c r="P1630" s="104"/>
      <c r="Q1630" s="104"/>
      <c r="R1630" s="104"/>
      <c r="S1630" s="104"/>
    </row>
    <row r="1631" spans="4:19">
      <c r="D1631" s="104"/>
      <c r="E1631" s="104"/>
      <c r="F1631" s="104"/>
      <c r="G1631" s="104"/>
      <c r="H1631" s="104"/>
      <c r="I1631" s="104"/>
      <c r="J1631" s="104"/>
      <c r="K1631" s="104"/>
      <c r="L1631" s="104"/>
      <c r="M1631" s="104"/>
      <c r="N1631" s="104"/>
      <c r="O1631" s="104"/>
      <c r="P1631" s="104"/>
      <c r="Q1631" s="104"/>
      <c r="R1631" s="104"/>
      <c r="S1631" s="104"/>
    </row>
    <row r="1632" spans="4:19">
      <c r="D1632" s="104"/>
      <c r="E1632" s="104"/>
      <c r="F1632" s="104"/>
      <c r="G1632" s="104"/>
      <c r="H1632" s="104"/>
      <c r="I1632" s="104"/>
      <c r="J1632" s="104"/>
      <c r="K1632" s="104"/>
      <c r="L1632" s="104"/>
      <c r="M1632" s="104"/>
      <c r="N1632" s="104"/>
      <c r="O1632" s="104"/>
      <c r="P1632" s="104"/>
      <c r="Q1632" s="104"/>
      <c r="R1632" s="104"/>
      <c r="S1632" s="104"/>
    </row>
    <row r="1633" spans="4:19">
      <c r="D1633" s="104"/>
      <c r="E1633" s="104"/>
      <c r="F1633" s="104"/>
      <c r="G1633" s="104"/>
      <c r="H1633" s="104"/>
      <c r="I1633" s="104"/>
      <c r="J1633" s="104"/>
      <c r="K1633" s="104"/>
      <c r="L1633" s="104"/>
      <c r="M1633" s="104"/>
      <c r="N1633" s="104"/>
      <c r="O1633" s="104"/>
      <c r="P1633" s="104"/>
      <c r="Q1633" s="104"/>
      <c r="R1633" s="104"/>
      <c r="S1633" s="104"/>
    </row>
    <row r="1634" spans="4:19">
      <c r="D1634" s="104"/>
      <c r="E1634" s="104"/>
      <c r="F1634" s="104"/>
      <c r="G1634" s="104"/>
      <c r="H1634" s="104"/>
      <c r="I1634" s="104"/>
      <c r="J1634" s="104"/>
      <c r="K1634" s="104"/>
      <c r="L1634" s="104"/>
      <c r="M1634" s="104"/>
      <c r="N1634" s="104"/>
      <c r="O1634" s="104"/>
      <c r="P1634" s="104"/>
      <c r="Q1634" s="104"/>
      <c r="R1634" s="104"/>
      <c r="S1634" s="104"/>
    </row>
    <row r="1635" spans="4:19">
      <c r="D1635" s="104"/>
      <c r="E1635" s="104"/>
      <c r="F1635" s="104"/>
      <c r="G1635" s="104"/>
      <c r="H1635" s="104"/>
      <c r="I1635" s="104"/>
      <c r="J1635" s="104"/>
      <c r="K1635" s="104"/>
      <c r="L1635" s="104"/>
      <c r="M1635" s="104"/>
      <c r="N1635" s="104"/>
      <c r="O1635" s="104"/>
      <c r="P1635" s="104"/>
      <c r="Q1635" s="104"/>
      <c r="R1635" s="104"/>
      <c r="S1635" s="104"/>
    </row>
    <row r="1636" spans="4:19">
      <c r="D1636" s="104"/>
      <c r="E1636" s="104"/>
      <c r="F1636" s="104"/>
      <c r="G1636" s="104"/>
      <c r="H1636" s="104"/>
      <c r="I1636" s="104"/>
      <c r="J1636" s="104"/>
      <c r="K1636" s="104"/>
      <c r="L1636" s="104"/>
      <c r="M1636" s="104"/>
      <c r="N1636" s="104"/>
      <c r="O1636" s="104"/>
      <c r="P1636" s="104"/>
      <c r="Q1636" s="104"/>
      <c r="R1636" s="104"/>
      <c r="S1636" s="104"/>
    </row>
    <row r="1637" spans="4:19">
      <c r="D1637" s="104"/>
      <c r="E1637" s="104"/>
      <c r="F1637" s="104"/>
      <c r="G1637" s="104"/>
      <c r="H1637" s="104"/>
      <c r="I1637" s="104"/>
      <c r="J1637" s="104"/>
      <c r="K1637" s="104"/>
      <c r="L1637" s="104"/>
      <c r="M1637" s="104"/>
      <c r="N1637" s="104"/>
      <c r="O1637" s="104"/>
      <c r="P1637" s="104"/>
      <c r="Q1637" s="104"/>
      <c r="R1637" s="104"/>
      <c r="S1637" s="104"/>
    </row>
    <row r="1638" spans="4:19">
      <c r="D1638" s="104"/>
      <c r="E1638" s="104"/>
      <c r="F1638" s="104"/>
      <c r="G1638" s="104"/>
      <c r="H1638" s="104"/>
      <c r="I1638" s="104"/>
      <c r="J1638" s="104"/>
      <c r="K1638" s="104"/>
      <c r="L1638" s="104"/>
      <c r="M1638" s="104"/>
      <c r="N1638" s="104"/>
      <c r="O1638" s="104"/>
      <c r="P1638" s="104"/>
      <c r="Q1638" s="104"/>
      <c r="R1638" s="104"/>
      <c r="S1638" s="104"/>
    </row>
    <row r="1639" spans="4:19">
      <c r="D1639" s="104"/>
      <c r="E1639" s="104"/>
      <c r="F1639" s="104"/>
      <c r="G1639" s="104"/>
      <c r="H1639" s="104"/>
      <c r="I1639" s="104"/>
      <c r="J1639" s="104"/>
      <c r="K1639" s="104"/>
      <c r="L1639" s="104"/>
      <c r="M1639" s="104"/>
      <c r="N1639" s="104"/>
      <c r="O1639" s="104"/>
      <c r="P1639" s="104"/>
      <c r="Q1639" s="104"/>
      <c r="R1639" s="104"/>
      <c r="S1639" s="104"/>
    </row>
    <row r="1640" spans="4:19">
      <c r="D1640" s="104"/>
      <c r="E1640" s="104"/>
      <c r="F1640" s="104"/>
      <c r="G1640" s="104"/>
      <c r="H1640" s="104"/>
      <c r="I1640" s="104"/>
      <c r="J1640" s="104"/>
      <c r="K1640" s="104"/>
      <c r="L1640" s="104"/>
      <c r="M1640" s="104"/>
      <c r="N1640" s="104"/>
      <c r="O1640" s="104"/>
      <c r="P1640" s="104"/>
      <c r="Q1640" s="104"/>
      <c r="R1640" s="104"/>
      <c r="S1640" s="104"/>
    </row>
    <row r="1641" spans="4:19">
      <c r="D1641" s="104"/>
      <c r="E1641" s="104"/>
      <c r="F1641" s="104"/>
      <c r="G1641" s="104"/>
      <c r="H1641" s="104"/>
      <c r="I1641" s="104"/>
      <c r="J1641" s="104"/>
      <c r="K1641" s="104"/>
      <c r="L1641" s="104"/>
      <c r="M1641" s="104"/>
      <c r="N1641" s="104"/>
      <c r="O1641" s="104"/>
      <c r="P1641" s="104"/>
      <c r="Q1641" s="104"/>
      <c r="R1641" s="104"/>
      <c r="S1641" s="104"/>
    </row>
    <row r="1642" spans="4:19">
      <c r="D1642" s="104"/>
      <c r="E1642" s="104"/>
      <c r="F1642" s="104"/>
      <c r="G1642" s="104"/>
      <c r="H1642" s="104"/>
      <c r="I1642" s="104"/>
      <c r="J1642" s="104"/>
      <c r="K1642" s="104"/>
      <c r="L1642" s="104"/>
      <c r="M1642" s="104"/>
      <c r="N1642" s="104"/>
      <c r="O1642" s="104"/>
      <c r="P1642" s="104"/>
      <c r="Q1642" s="104"/>
      <c r="R1642" s="104"/>
      <c r="S1642" s="104"/>
    </row>
    <row r="1643" spans="4:19">
      <c r="D1643" s="104"/>
      <c r="E1643" s="104"/>
      <c r="F1643" s="104"/>
      <c r="G1643" s="104"/>
      <c r="H1643" s="104"/>
      <c r="I1643" s="104"/>
      <c r="J1643" s="104"/>
      <c r="K1643" s="104"/>
      <c r="L1643" s="104"/>
      <c r="M1643" s="104"/>
      <c r="N1643" s="104"/>
      <c r="O1643" s="104"/>
      <c r="P1643" s="104"/>
      <c r="Q1643" s="104"/>
      <c r="R1643" s="104"/>
      <c r="S1643" s="104"/>
    </row>
    <row r="1644" spans="4:19">
      <c r="D1644" s="104"/>
      <c r="E1644" s="104"/>
      <c r="F1644" s="104"/>
      <c r="G1644" s="104"/>
      <c r="H1644" s="104"/>
      <c r="I1644" s="104"/>
      <c r="J1644" s="104"/>
      <c r="K1644" s="104"/>
      <c r="L1644" s="104"/>
      <c r="M1644" s="104"/>
      <c r="N1644" s="104"/>
      <c r="O1644" s="104"/>
      <c r="P1644" s="104"/>
      <c r="Q1644" s="104"/>
      <c r="R1644" s="104"/>
      <c r="S1644" s="104"/>
    </row>
    <row r="1645" spans="4:19">
      <c r="D1645" s="104"/>
      <c r="E1645" s="104"/>
      <c r="F1645" s="104"/>
      <c r="G1645" s="104"/>
      <c r="H1645" s="104"/>
      <c r="I1645" s="104"/>
      <c r="J1645" s="104"/>
      <c r="K1645" s="104"/>
      <c r="L1645" s="104"/>
      <c r="M1645" s="104"/>
      <c r="N1645" s="104"/>
      <c r="O1645" s="104"/>
      <c r="P1645" s="104"/>
      <c r="Q1645" s="104"/>
      <c r="R1645" s="104"/>
      <c r="S1645" s="104"/>
    </row>
    <row r="1646" spans="4:19">
      <c r="D1646" s="104"/>
      <c r="E1646" s="104"/>
      <c r="F1646" s="104"/>
      <c r="G1646" s="104"/>
      <c r="H1646" s="104"/>
      <c r="I1646" s="104"/>
      <c r="J1646" s="104"/>
      <c r="K1646" s="104"/>
      <c r="L1646" s="104"/>
      <c r="M1646" s="104"/>
      <c r="N1646" s="104"/>
      <c r="O1646" s="104"/>
      <c r="P1646" s="104"/>
      <c r="Q1646" s="104"/>
      <c r="R1646" s="104"/>
      <c r="S1646" s="104"/>
    </row>
    <row r="1647" spans="4:19">
      <c r="D1647" s="104"/>
      <c r="E1647" s="104"/>
      <c r="F1647" s="104"/>
      <c r="G1647" s="104"/>
      <c r="H1647" s="104"/>
      <c r="I1647" s="104"/>
      <c r="J1647" s="104"/>
      <c r="K1647" s="104"/>
      <c r="L1647" s="104"/>
      <c r="M1647" s="104"/>
      <c r="N1647" s="104"/>
      <c r="O1647" s="104"/>
      <c r="P1647" s="104"/>
      <c r="Q1647" s="104"/>
      <c r="R1647" s="104"/>
      <c r="S1647" s="104"/>
    </row>
    <row r="1648" spans="4:19">
      <c r="D1648" s="104"/>
      <c r="E1648" s="104"/>
      <c r="F1648" s="104"/>
      <c r="G1648" s="104"/>
      <c r="H1648" s="104"/>
      <c r="I1648" s="104"/>
      <c r="J1648" s="104"/>
      <c r="K1648" s="104"/>
      <c r="L1648" s="104"/>
      <c r="M1648" s="104"/>
      <c r="N1648" s="104"/>
      <c r="O1648" s="104"/>
      <c r="P1648" s="104"/>
      <c r="Q1648" s="104"/>
      <c r="R1648" s="104"/>
      <c r="S1648" s="104"/>
    </row>
    <row r="1649" spans="4:19">
      <c r="D1649" s="104"/>
      <c r="E1649" s="104"/>
      <c r="F1649" s="104"/>
      <c r="G1649" s="104"/>
      <c r="H1649" s="104"/>
      <c r="I1649" s="104"/>
      <c r="J1649" s="104"/>
      <c r="K1649" s="104"/>
      <c r="L1649" s="104"/>
      <c r="M1649" s="104"/>
      <c r="N1649" s="104"/>
      <c r="O1649" s="104"/>
      <c r="P1649" s="104"/>
      <c r="Q1649" s="104"/>
      <c r="R1649" s="104"/>
      <c r="S1649" s="104"/>
    </row>
    <row r="1650" spans="4:19">
      <c r="D1650" s="104"/>
      <c r="E1650" s="104"/>
      <c r="F1650" s="104"/>
      <c r="G1650" s="104"/>
      <c r="H1650" s="104"/>
      <c r="I1650" s="104"/>
      <c r="J1650" s="104"/>
      <c r="K1650" s="104"/>
      <c r="L1650" s="104"/>
      <c r="M1650" s="104"/>
      <c r="N1650" s="104"/>
      <c r="O1650" s="104"/>
      <c r="P1650" s="104"/>
      <c r="Q1650" s="104"/>
      <c r="R1650" s="104"/>
      <c r="S1650" s="104"/>
    </row>
    <row r="1651" spans="4:19">
      <c r="D1651" s="104"/>
      <c r="E1651" s="104"/>
      <c r="F1651" s="104"/>
      <c r="G1651" s="104"/>
      <c r="H1651" s="104"/>
      <c r="I1651" s="104"/>
      <c r="J1651" s="104"/>
      <c r="K1651" s="104"/>
      <c r="L1651" s="104"/>
      <c r="M1651" s="104"/>
      <c r="N1651" s="104"/>
      <c r="O1651" s="104"/>
      <c r="P1651" s="104"/>
      <c r="Q1651" s="104"/>
      <c r="R1651" s="104"/>
      <c r="S1651" s="104"/>
    </row>
    <row r="1652" spans="4:19">
      <c r="D1652" s="104"/>
      <c r="E1652" s="104"/>
      <c r="F1652" s="104"/>
      <c r="G1652" s="104"/>
      <c r="H1652" s="104"/>
      <c r="I1652" s="104"/>
      <c r="J1652" s="104"/>
      <c r="K1652" s="104"/>
      <c r="L1652" s="104"/>
      <c r="M1652" s="104"/>
      <c r="N1652" s="104"/>
      <c r="O1652" s="104"/>
      <c r="P1652" s="104"/>
      <c r="Q1652" s="104"/>
      <c r="R1652" s="104"/>
      <c r="S1652" s="104"/>
    </row>
    <row r="1653" spans="4:19">
      <c r="D1653" s="104"/>
      <c r="E1653" s="104"/>
      <c r="F1653" s="104"/>
      <c r="G1653" s="104"/>
      <c r="H1653" s="104"/>
      <c r="I1653" s="104"/>
      <c r="J1653" s="104"/>
      <c r="K1653" s="104"/>
      <c r="L1653" s="104"/>
      <c r="M1653" s="104"/>
      <c r="N1653" s="104"/>
      <c r="O1653" s="104"/>
      <c r="P1653" s="104"/>
      <c r="Q1653" s="104"/>
      <c r="R1653" s="104"/>
      <c r="S1653" s="104"/>
    </row>
    <row r="1654" spans="4:19">
      <c r="D1654" s="104"/>
      <c r="E1654" s="104"/>
      <c r="F1654" s="104"/>
      <c r="G1654" s="104"/>
      <c r="H1654" s="104"/>
      <c r="I1654" s="104"/>
      <c r="J1654" s="104"/>
      <c r="K1654" s="104"/>
      <c r="L1654" s="104"/>
      <c r="M1654" s="104"/>
      <c r="N1654" s="104"/>
      <c r="O1654" s="104"/>
      <c r="P1654" s="104"/>
      <c r="Q1654" s="104"/>
      <c r="R1654" s="104"/>
      <c r="S1654" s="104"/>
    </row>
    <row r="1655" spans="4:19">
      <c r="D1655" s="104"/>
      <c r="E1655" s="104"/>
      <c r="F1655" s="104"/>
      <c r="G1655" s="104"/>
      <c r="H1655" s="104"/>
      <c r="I1655" s="104"/>
      <c r="J1655" s="104"/>
      <c r="K1655" s="104"/>
      <c r="L1655" s="104"/>
      <c r="M1655" s="104"/>
      <c r="N1655" s="104"/>
      <c r="O1655" s="104"/>
      <c r="P1655" s="104"/>
      <c r="Q1655" s="104"/>
      <c r="R1655" s="104"/>
      <c r="S1655" s="104"/>
    </row>
    <row r="1656" spans="4:19">
      <c r="D1656" s="104"/>
      <c r="E1656" s="104"/>
      <c r="F1656" s="104"/>
      <c r="G1656" s="104"/>
      <c r="H1656" s="104"/>
      <c r="I1656" s="104"/>
      <c r="J1656" s="104"/>
      <c r="K1656" s="104"/>
      <c r="L1656" s="104"/>
      <c r="M1656" s="104"/>
      <c r="N1656" s="104"/>
      <c r="O1656" s="104"/>
      <c r="P1656" s="104"/>
      <c r="Q1656" s="104"/>
      <c r="R1656" s="104"/>
      <c r="S1656" s="104"/>
    </row>
    <row r="1657" spans="4:19">
      <c r="D1657" s="104"/>
      <c r="E1657" s="104"/>
      <c r="F1657" s="104"/>
      <c r="G1657" s="104"/>
      <c r="H1657" s="104"/>
      <c r="I1657" s="104"/>
      <c r="J1657" s="104"/>
      <c r="K1657" s="104"/>
      <c r="L1657" s="104"/>
      <c r="M1657" s="104"/>
      <c r="N1657" s="104"/>
      <c r="O1657" s="104"/>
      <c r="P1657" s="104"/>
      <c r="Q1657" s="104"/>
      <c r="R1657" s="104"/>
      <c r="S1657" s="104"/>
    </row>
    <row r="1658" spans="4:19">
      <c r="D1658" s="104"/>
      <c r="E1658" s="104"/>
      <c r="F1658" s="104"/>
      <c r="G1658" s="104"/>
      <c r="H1658" s="104"/>
      <c r="I1658" s="104"/>
      <c r="J1658" s="104"/>
      <c r="K1658" s="104"/>
      <c r="L1658" s="104"/>
      <c r="M1658" s="104"/>
      <c r="N1658" s="104"/>
      <c r="O1658" s="104"/>
      <c r="P1658" s="104"/>
      <c r="Q1658" s="104"/>
      <c r="R1658" s="104"/>
      <c r="S1658" s="104"/>
    </row>
    <row r="1659" spans="4:19">
      <c r="D1659" s="104"/>
      <c r="E1659" s="104"/>
      <c r="F1659" s="104"/>
      <c r="G1659" s="104"/>
      <c r="H1659" s="104"/>
      <c r="I1659" s="104"/>
      <c r="J1659" s="104"/>
      <c r="K1659" s="104"/>
      <c r="L1659" s="104"/>
      <c r="M1659" s="104"/>
      <c r="N1659" s="104"/>
      <c r="O1659" s="104"/>
      <c r="P1659" s="104"/>
      <c r="Q1659" s="104"/>
      <c r="R1659" s="104"/>
      <c r="S1659" s="104"/>
    </row>
    <row r="1660" spans="4:19">
      <c r="D1660" s="104"/>
      <c r="E1660" s="104"/>
      <c r="F1660" s="104"/>
      <c r="G1660" s="104"/>
      <c r="H1660" s="104"/>
      <c r="I1660" s="104"/>
      <c r="J1660" s="104"/>
      <c r="K1660" s="104"/>
      <c r="L1660" s="104"/>
      <c r="M1660" s="104"/>
      <c r="N1660" s="104"/>
      <c r="O1660" s="104"/>
      <c r="P1660" s="104"/>
      <c r="Q1660" s="104"/>
      <c r="R1660" s="104"/>
      <c r="S1660" s="104"/>
    </row>
    <row r="1661" spans="4:19">
      <c r="D1661" s="104"/>
      <c r="E1661" s="104"/>
      <c r="F1661" s="104"/>
      <c r="G1661" s="104"/>
      <c r="H1661" s="104"/>
      <c r="I1661" s="104"/>
      <c r="J1661" s="104"/>
      <c r="K1661" s="104"/>
      <c r="L1661" s="104"/>
      <c r="M1661" s="104"/>
      <c r="N1661" s="104"/>
      <c r="O1661" s="104"/>
      <c r="P1661" s="104"/>
      <c r="Q1661" s="104"/>
      <c r="R1661" s="104"/>
      <c r="S1661" s="104"/>
    </row>
    <row r="1662" spans="4:19">
      <c r="D1662" s="104"/>
      <c r="E1662" s="104"/>
      <c r="F1662" s="104"/>
      <c r="G1662" s="104"/>
      <c r="H1662" s="104"/>
      <c r="I1662" s="104"/>
      <c r="J1662" s="104"/>
      <c r="K1662" s="104"/>
      <c r="L1662" s="104"/>
      <c r="M1662" s="104"/>
      <c r="N1662" s="104"/>
      <c r="O1662" s="104"/>
      <c r="P1662" s="104"/>
      <c r="Q1662" s="104"/>
      <c r="R1662" s="104"/>
      <c r="S1662" s="104"/>
    </row>
    <row r="1663" spans="4:19">
      <c r="D1663" s="104"/>
      <c r="E1663" s="104"/>
      <c r="F1663" s="104"/>
      <c r="G1663" s="104"/>
      <c r="H1663" s="104"/>
      <c r="I1663" s="104"/>
      <c r="J1663" s="104"/>
      <c r="K1663" s="104"/>
      <c r="L1663" s="104"/>
      <c r="M1663" s="104"/>
      <c r="N1663" s="104"/>
      <c r="O1663" s="104"/>
      <c r="P1663" s="104"/>
      <c r="Q1663" s="104"/>
      <c r="R1663" s="104"/>
      <c r="S1663" s="104"/>
    </row>
    <row r="1664" spans="4:19">
      <c r="D1664" s="104"/>
      <c r="E1664" s="104"/>
      <c r="F1664" s="104"/>
      <c r="G1664" s="104"/>
      <c r="H1664" s="104"/>
      <c r="I1664" s="104"/>
      <c r="J1664" s="104"/>
      <c r="K1664" s="104"/>
      <c r="L1664" s="104"/>
      <c r="M1664" s="104"/>
      <c r="N1664" s="104"/>
      <c r="O1664" s="104"/>
      <c r="P1664" s="104"/>
      <c r="Q1664" s="104"/>
      <c r="R1664" s="104"/>
      <c r="S1664" s="104"/>
    </row>
    <row r="1665" spans="4:19">
      <c r="D1665" s="104"/>
      <c r="E1665" s="104"/>
      <c r="F1665" s="104"/>
      <c r="G1665" s="104"/>
      <c r="H1665" s="104"/>
      <c r="I1665" s="104"/>
      <c r="J1665" s="104"/>
      <c r="K1665" s="104"/>
      <c r="L1665" s="104"/>
      <c r="M1665" s="104"/>
      <c r="N1665" s="104"/>
      <c r="O1665" s="104"/>
      <c r="P1665" s="104"/>
      <c r="Q1665" s="104"/>
      <c r="R1665" s="104"/>
      <c r="S1665" s="104"/>
    </row>
    <row r="1666" spans="4:19">
      <c r="D1666" s="104"/>
      <c r="E1666" s="104"/>
      <c r="F1666" s="104"/>
      <c r="G1666" s="104"/>
      <c r="H1666" s="104"/>
      <c r="I1666" s="104"/>
      <c r="J1666" s="104"/>
      <c r="K1666" s="104"/>
      <c r="L1666" s="104"/>
      <c r="M1666" s="104"/>
      <c r="N1666" s="104"/>
      <c r="O1666" s="104"/>
      <c r="P1666" s="104"/>
      <c r="Q1666" s="104"/>
      <c r="R1666" s="104"/>
      <c r="S1666" s="104"/>
    </row>
    <row r="1667" spans="4:19">
      <c r="D1667" s="104"/>
      <c r="E1667" s="104"/>
      <c r="F1667" s="104"/>
      <c r="G1667" s="104"/>
      <c r="H1667" s="104"/>
      <c r="I1667" s="104"/>
      <c r="J1667" s="104"/>
      <c r="K1667" s="104"/>
      <c r="L1667" s="104"/>
      <c r="M1667" s="104"/>
      <c r="N1667" s="104"/>
      <c r="O1667" s="104"/>
      <c r="P1667" s="104"/>
      <c r="Q1667" s="104"/>
      <c r="R1667" s="104"/>
      <c r="S1667" s="104"/>
    </row>
    <row r="1668" spans="4:19">
      <c r="D1668" s="104"/>
      <c r="E1668" s="104"/>
      <c r="F1668" s="104"/>
      <c r="G1668" s="104"/>
      <c r="H1668" s="104"/>
      <c r="I1668" s="104"/>
      <c r="J1668" s="104"/>
      <c r="K1668" s="104"/>
      <c r="L1668" s="104"/>
      <c r="M1668" s="104"/>
      <c r="N1668" s="104"/>
      <c r="O1668" s="104"/>
      <c r="P1668" s="104"/>
      <c r="Q1668" s="104"/>
      <c r="R1668" s="104"/>
      <c r="S1668" s="104"/>
    </row>
    <row r="1669" spans="4:19">
      <c r="D1669" s="104"/>
      <c r="E1669" s="104"/>
      <c r="F1669" s="104"/>
      <c r="G1669" s="104"/>
      <c r="H1669" s="104"/>
      <c r="I1669" s="104"/>
      <c r="J1669" s="104"/>
      <c r="K1669" s="104"/>
      <c r="L1669" s="104"/>
      <c r="M1669" s="104"/>
      <c r="N1669" s="104"/>
      <c r="O1669" s="104"/>
      <c r="P1669" s="104"/>
      <c r="Q1669" s="104"/>
      <c r="R1669" s="104"/>
      <c r="S1669" s="104"/>
    </row>
    <row r="1670" spans="4:19">
      <c r="D1670" s="104"/>
      <c r="E1670" s="104"/>
      <c r="F1670" s="104"/>
      <c r="G1670" s="104"/>
      <c r="H1670" s="104"/>
      <c r="I1670" s="104"/>
      <c r="J1670" s="104"/>
      <c r="K1670" s="104"/>
      <c r="L1670" s="104"/>
      <c r="M1670" s="104"/>
      <c r="N1670" s="104"/>
      <c r="O1670" s="104"/>
      <c r="P1670" s="104"/>
      <c r="Q1670" s="104"/>
      <c r="R1670" s="104"/>
      <c r="S1670" s="104"/>
    </row>
    <row r="1671" spans="4:19">
      <c r="D1671" s="104"/>
      <c r="E1671" s="104"/>
      <c r="F1671" s="104"/>
      <c r="G1671" s="104"/>
      <c r="H1671" s="104"/>
      <c r="I1671" s="104"/>
      <c r="J1671" s="104"/>
      <c r="K1671" s="104"/>
      <c r="L1671" s="104"/>
      <c r="M1671" s="104"/>
      <c r="N1671" s="104"/>
      <c r="O1671" s="104"/>
      <c r="P1671" s="104"/>
      <c r="Q1671" s="104"/>
      <c r="R1671" s="104"/>
      <c r="S1671" s="104"/>
    </row>
    <row r="1672" spans="4:19">
      <c r="D1672" s="104"/>
      <c r="E1672" s="104"/>
      <c r="F1672" s="104"/>
      <c r="G1672" s="104"/>
      <c r="H1672" s="104"/>
      <c r="I1672" s="104"/>
      <c r="J1672" s="104"/>
      <c r="K1672" s="104"/>
      <c r="L1672" s="104"/>
      <c r="M1672" s="104"/>
      <c r="N1672" s="104"/>
      <c r="O1672" s="104"/>
      <c r="P1672" s="104"/>
      <c r="Q1672" s="104"/>
      <c r="R1672" s="104"/>
      <c r="S1672" s="104"/>
    </row>
    <row r="1673" spans="4:19">
      <c r="D1673" s="104"/>
      <c r="E1673" s="104"/>
      <c r="F1673" s="104"/>
      <c r="G1673" s="104"/>
      <c r="H1673" s="104"/>
      <c r="I1673" s="104"/>
      <c r="J1673" s="104"/>
      <c r="K1673" s="104"/>
      <c r="L1673" s="104"/>
      <c r="M1673" s="104"/>
      <c r="N1673" s="104"/>
      <c r="O1673" s="104"/>
      <c r="P1673" s="104"/>
      <c r="Q1673" s="104"/>
      <c r="R1673" s="104"/>
      <c r="S1673" s="104"/>
    </row>
    <row r="1674" spans="4:19">
      <c r="D1674" s="104"/>
      <c r="E1674" s="104"/>
      <c r="F1674" s="104"/>
      <c r="G1674" s="104"/>
      <c r="H1674" s="104"/>
      <c r="I1674" s="104"/>
      <c r="J1674" s="104"/>
      <c r="K1674" s="104"/>
      <c r="L1674" s="104"/>
      <c r="M1674" s="104"/>
      <c r="N1674" s="104"/>
      <c r="O1674" s="104"/>
      <c r="P1674" s="104"/>
      <c r="Q1674" s="104"/>
      <c r="R1674" s="104"/>
      <c r="S1674" s="104"/>
    </row>
    <row r="1675" spans="4:19">
      <c r="D1675" s="104"/>
      <c r="E1675" s="104"/>
      <c r="F1675" s="104"/>
      <c r="G1675" s="104"/>
      <c r="H1675" s="104"/>
      <c r="I1675" s="104"/>
      <c r="J1675" s="104"/>
      <c r="K1675" s="104"/>
      <c r="L1675" s="104"/>
      <c r="M1675" s="104"/>
      <c r="N1675" s="104"/>
      <c r="O1675" s="104"/>
      <c r="P1675" s="104"/>
      <c r="Q1675" s="104"/>
      <c r="R1675" s="104"/>
      <c r="S1675" s="104"/>
    </row>
    <row r="1676" spans="4:19">
      <c r="D1676" s="104"/>
      <c r="E1676" s="104"/>
      <c r="F1676" s="104"/>
      <c r="G1676" s="104"/>
      <c r="H1676" s="104"/>
      <c r="I1676" s="104"/>
      <c r="J1676" s="104"/>
      <c r="K1676" s="104"/>
      <c r="L1676" s="104"/>
      <c r="M1676" s="104"/>
      <c r="N1676" s="104"/>
      <c r="O1676" s="104"/>
      <c r="P1676" s="104"/>
      <c r="Q1676" s="104"/>
      <c r="R1676" s="104"/>
      <c r="S1676" s="104"/>
    </row>
    <row r="1677" spans="4:19">
      <c r="D1677" s="104"/>
      <c r="E1677" s="104"/>
      <c r="F1677" s="104"/>
      <c r="G1677" s="104"/>
      <c r="H1677" s="104"/>
      <c r="I1677" s="104"/>
      <c r="J1677" s="104"/>
      <c r="K1677" s="104"/>
      <c r="L1677" s="104"/>
      <c r="M1677" s="104"/>
      <c r="N1677" s="104"/>
      <c r="O1677" s="104"/>
      <c r="P1677" s="104"/>
      <c r="Q1677" s="104"/>
      <c r="R1677" s="104"/>
      <c r="S1677" s="104"/>
    </row>
    <row r="1678" spans="4:19">
      <c r="D1678" s="104"/>
      <c r="E1678" s="104"/>
      <c r="F1678" s="104"/>
      <c r="G1678" s="104"/>
      <c r="H1678" s="104"/>
      <c r="I1678" s="104"/>
      <c r="J1678" s="104"/>
      <c r="K1678" s="104"/>
      <c r="L1678" s="104"/>
      <c r="M1678" s="104"/>
      <c r="N1678" s="104"/>
      <c r="O1678" s="104"/>
      <c r="P1678" s="104"/>
      <c r="Q1678" s="104"/>
      <c r="R1678" s="104"/>
      <c r="S1678" s="104"/>
    </row>
    <row r="1679" spans="4:19">
      <c r="D1679" s="104"/>
      <c r="E1679" s="104"/>
      <c r="F1679" s="104"/>
      <c r="G1679" s="104"/>
      <c r="H1679" s="104"/>
      <c r="I1679" s="104"/>
      <c r="J1679" s="104"/>
      <c r="K1679" s="104"/>
      <c r="L1679" s="104"/>
      <c r="M1679" s="104"/>
      <c r="N1679" s="104"/>
      <c r="O1679" s="104"/>
      <c r="P1679" s="104"/>
      <c r="Q1679" s="104"/>
      <c r="R1679" s="104"/>
      <c r="S1679" s="104"/>
    </row>
    <row r="1680" spans="4:19">
      <c r="D1680" s="104"/>
      <c r="E1680" s="104"/>
      <c r="F1680" s="104"/>
      <c r="G1680" s="104"/>
      <c r="H1680" s="104"/>
      <c r="I1680" s="104"/>
      <c r="J1680" s="104"/>
      <c r="K1680" s="104"/>
      <c r="L1680" s="104"/>
      <c r="M1680" s="104"/>
      <c r="N1680" s="104"/>
      <c r="O1680" s="104"/>
      <c r="P1680" s="104"/>
      <c r="Q1680" s="104"/>
      <c r="R1680" s="104"/>
      <c r="S1680" s="104"/>
    </row>
    <row r="1681" spans="4:19">
      <c r="D1681" s="104"/>
      <c r="E1681" s="104"/>
      <c r="F1681" s="104"/>
      <c r="G1681" s="104"/>
      <c r="H1681" s="104"/>
      <c r="I1681" s="104"/>
      <c r="J1681" s="104"/>
      <c r="K1681" s="104"/>
      <c r="L1681" s="104"/>
      <c r="M1681" s="104"/>
      <c r="N1681" s="104"/>
      <c r="O1681" s="104"/>
      <c r="P1681" s="104"/>
      <c r="Q1681" s="104"/>
      <c r="R1681" s="104"/>
      <c r="S1681" s="104"/>
    </row>
    <row r="1682" spans="4:19">
      <c r="D1682" s="104"/>
      <c r="E1682" s="104"/>
      <c r="F1682" s="104"/>
      <c r="G1682" s="104"/>
      <c r="H1682" s="104"/>
      <c r="I1682" s="104"/>
      <c r="J1682" s="104"/>
      <c r="K1682" s="104"/>
      <c r="L1682" s="104"/>
      <c r="M1682" s="104"/>
      <c r="N1682" s="104"/>
      <c r="O1682" s="104"/>
      <c r="P1682" s="104"/>
      <c r="Q1682" s="104"/>
      <c r="R1682" s="104"/>
      <c r="S1682" s="104"/>
    </row>
    <row r="1683" spans="4:19">
      <c r="D1683" s="104"/>
      <c r="E1683" s="104"/>
      <c r="F1683" s="104"/>
      <c r="G1683" s="104"/>
      <c r="H1683" s="104"/>
      <c r="I1683" s="104"/>
      <c r="J1683" s="104"/>
      <c r="K1683" s="104"/>
      <c r="L1683" s="104"/>
      <c r="M1683" s="104"/>
      <c r="N1683" s="104"/>
      <c r="O1683" s="104"/>
      <c r="P1683" s="104"/>
      <c r="Q1683" s="104"/>
      <c r="R1683" s="104"/>
      <c r="S1683" s="104"/>
    </row>
    <row r="1684" spans="4:19">
      <c r="D1684" s="104"/>
      <c r="E1684" s="104"/>
      <c r="F1684" s="104"/>
      <c r="G1684" s="104"/>
      <c r="H1684" s="104"/>
      <c r="I1684" s="104"/>
      <c r="J1684" s="104"/>
      <c r="K1684" s="104"/>
      <c r="L1684" s="104"/>
      <c r="M1684" s="104"/>
      <c r="N1684" s="104"/>
      <c r="O1684" s="104"/>
      <c r="P1684" s="104"/>
      <c r="Q1684" s="104"/>
      <c r="R1684" s="104"/>
      <c r="S1684" s="104"/>
    </row>
    <row r="1685" spans="4:19">
      <c r="D1685" s="104"/>
      <c r="E1685" s="104"/>
      <c r="F1685" s="104"/>
      <c r="G1685" s="104"/>
      <c r="H1685" s="104"/>
      <c r="I1685" s="104"/>
      <c r="J1685" s="104"/>
      <c r="K1685" s="104"/>
      <c r="L1685" s="104"/>
      <c r="M1685" s="104"/>
      <c r="N1685" s="104"/>
      <c r="O1685" s="104"/>
      <c r="P1685" s="104"/>
      <c r="Q1685" s="104"/>
      <c r="R1685" s="104"/>
      <c r="S1685" s="104"/>
    </row>
    <row r="1686" spans="4:19">
      <c r="D1686" s="104"/>
      <c r="E1686" s="104"/>
      <c r="F1686" s="104"/>
      <c r="G1686" s="104"/>
      <c r="H1686" s="104"/>
      <c r="I1686" s="104"/>
      <c r="J1686" s="104"/>
      <c r="K1686" s="104"/>
      <c r="L1686" s="104"/>
      <c r="M1686" s="104"/>
      <c r="N1686" s="104"/>
      <c r="O1686" s="104"/>
      <c r="P1686" s="104"/>
      <c r="Q1686" s="104"/>
      <c r="R1686" s="104"/>
      <c r="S1686" s="104"/>
    </row>
    <row r="1687" spans="4:19">
      <c r="D1687" s="104"/>
      <c r="E1687" s="104"/>
      <c r="F1687" s="104"/>
      <c r="G1687" s="104"/>
      <c r="H1687" s="104"/>
      <c r="I1687" s="104"/>
      <c r="J1687" s="104"/>
      <c r="K1687" s="104"/>
      <c r="L1687" s="104"/>
      <c r="M1687" s="104"/>
      <c r="N1687" s="104"/>
      <c r="O1687" s="104"/>
      <c r="P1687" s="104"/>
      <c r="Q1687" s="104"/>
      <c r="R1687" s="104"/>
      <c r="S1687" s="104"/>
    </row>
    <row r="1688" spans="4:19">
      <c r="D1688" s="104"/>
      <c r="E1688" s="104"/>
      <c r="F1688" s="104"/>
      <c r="G1688" s="104"/>
      <c r="H1688" s="104"/>
      <c r="I1688" s="104"/>
      <c r="J1688" s="104"/>
      <c r="K1688" s="104"/>
      <c r="L1688" s="104"/>
      <c r="M1688" s="104"/>
      <c r="N1688" s="104"/>
      <c r="O1688" s="104"/>
      <c r="P1688" s="104"/>
      <c r="Q1688" s="104"/>
      <c r="R1688" s="104"/>
      <c r="S1688" s="104"/>
    </row>
    <row r="1689" spans="4:19">
      <c r="D1689" s="104"/>
      <c r="E1689" s="104"/>
      <c r="F1689" s="104"/>
      <c r="G1689" s="104"/>
      <c r="H1689" s="104"/>
      <c r="I1689" s="104"/>
      <c r="J1689" s="104"/>
      <c r="K1689" s="104"/>
      <c r="L1689" s="104"/>
      <c r="M1689" s="104"/>
      <c r="N1689" s="104"/>
      <c r="O1689" s="104"/>
      <c r="P1689" s="104"/>
      <c r="Q1689" s="104"/>
      <c r="R1689" s="104"/>
      <c r="S1689" s="104"/>
    </row>
    <row r="1690" spans="4:19">
      <c r="D1690" s="104"/>
      <c r="E1690" s="104"/>
      <c r="F1690" s="104"/>
      <c r="G1690" s="104"/>
      <c r="H1690" s="104"/>
      <c r="I1690" s="104"/>
      <c r="J1690" s="104"/>
      <c r="K1690" s="104"/>
      <c r="L1690" s="104"/>
      <c r="M1690" s="104"/>
      <c r="N1690" s="104"/>
      <c r="O1690" s="104"/>
      <c r="P1690" s="104"/>
      <c r="Q1690" s="104"/>
      <c r="R1690" s="104"/>
      <c r="S1690" s="104"/>
    </row>
    <row r="1691" spans="4:19">
      <c r="D1691" s="104"/>
      <c r="E1691" s="104"/>
      <c r="F1691" s="104"/>
      <c r="G1691" s="104"/>
      <c r="H1691" s="104"/>
      <c r="I1691" s="104"/>
      <c r="J1691" s="104"/>
      <c r="K1691" s="104"/>
      <c r="L1691" s="104"/>
      <c r="M1691" s="104"/>
      <c r="N1691" s="104"/>
      <c r="O1691" s="104"/>
      <c r="P1691" s="104"/>
      <c r="Q1691" s="104"/>
      <c r="R1691" s="104"/>
      <c r="S1691" s="104"/>
    </row>
    <row r="1692" spans="4:19">
      <c r="D1692" s="104"/>
      <c r="E1692" s="104"/>
      <c r="F1692" s="104"/>
      <c r="G1692" s="104"/>
      <c r="H1692" s="104"/>
      <c r="I1692" s="104"/>
      <c r="J1692" s="104"/>
      <c r="K1692" s="104"/>
      <c r="L1692" s="104"/>
      <c r="M1692" s="104"/>
      <c r="N1692" s="104"/>
      <c r="O1692" s="104"/>
      <c r="P1692" s="104"/>
      <c r="Q1692" s="104"/>
      <c r="R1692" s="104"/>
      <c r="S1692" s="104"/>
    </row>
    <row r="1693" spans="4:19">
      <c r="D1693" s="104"/>
      <c r="E1693" s="104"/>
      <c r="F1693" s="104"/>
      <c r="G1693" s="104"/>
      <c r="H1693" s="104"/>
      <c r="I1693" s="104"/>
      <c r="J1693" s="104"/>
      <c r="K1693" s="104"/>
      <c r="L1693" s="104"/>
      <c r="M1693" s="104"/>
      <c r="N1693" s="104"/>
      <c r="O1693" s="104"/>
      <c r="P1693" s="104"/>
      <c r="Q1693" s="104"/>
      <c r="R1693" s="104"/>
      <c r="S1693" s="104"/>
    </row>
    <row r="1694" spans="4:19">
      <c r="D1694" s="104"/>
      <c r="E1694" s="104"/>
      <c r="F1694" s="104"/>
      <c r="G1694" s="104"/>
      <c r="H1694" s="104"/>
      <c r="I1694" s="104"/>
      <c r="J1694" s="104"/>
      <c r="K1694" s="104"/>
      <c r="L1694" s="104"/>
      <c r="M1694" s="104"/>
      <c r="N1694" s="104"/>
      <c r="O1694" s="104"/>
      <c r="P1694" s="104"/>
      <c r="Q1694" s="104"/>
      <c r="R1694" s="104"/>
      <c r="S1694" s="104"/>
    </row>
    <row r="1695" spans="4:19">
      <c r="D1695" s="104"/>
      <c r="E1695" s="104"/>
      <c r="F1695" s="104"/>
      <c r="G1695" s="104"/>
      <c r="H1695" s="104"/>
      <c r="I1695" s="104"/>
      <c r="J1695" s="104"/>
      <c r="K1695" s="104"/>
      <c r="L1695" s="104"/>
      <c r="M1695" s="104"/>
      <c r="N1695" s="104"/>
      <c r="O1695" s="104"/>
      <c r="P1695" s="104"/>
      <c r="Q1695" s="104"/>
      <c r="R1695" s="104"/>
      <c r="S1695" s="104"/>
    </row>
    <row r="1696" spans="4:19">
      <c r="D1696" s="104"/>
      <c r="E1696" s="104"/>
      <c r="F1696" s="104"/>
      <c r="G1696" s="104"/>
      <c r="H1696" s="104"/>
      <c r="I1696" s="104"/>
      <c r="J1696" s="104"/>
      <c r="K1696" s="104"/>
      <c r="L1696" s="104"/>
      <c r="M1696" s="104"/>
      <c r="N1696" s="104"/>
      <c r="O1696" s="104"/>
      <c r="P1696" s="104"/>
      <c r="Q1696" s="104"/>
      <c r="R1696" s="104"/>
      <c r="S1696" s="104"/>
    </row>
    <row r="1697" spans="4:19">
      <c r="D1697" s="104"/>
      <c r="E1697" s="104"/>
      <c r="F1697" s="104"/>
      <c r="G1697" s="104"/>
      <c r="H1697" s="104"/>
      <c r="I1697" s="104"/>
      <c r="J1697" s="104"/>
      <c r="K1697" s="104"/>
      <c r="L1697" s="104"/>
      <c r="M1697" s="104"/>
      <c r="N1697" s="104"/>
      <c r="O1697" s="104"/>
      <c r="P1697" s="104"/>
      <c r="Q1697" s="104"/>
      <c r="R1697" s="104"/>
      <c r="S1697" s="104"/>
    </row>
    <row r="1698" spans="4:19">
      <c r="D1698" s="104"/>
      <c r="E1698" s="104"/>
      <c r="F1698" s="104"/>
      <c r="G1698" s="104"/>
      <c r="H1698" s="104"/>
      <c r="I1698" s="104"/>
      <c r="J1698" s="104"/>
      <c r="K1698" s="104"/>
      <c r="L1698" s="104"/>
      <c r="M1698" s="104"/>
      <c r="N1698" s="104"/>
      <c r="O1698" s="104"/>
      <c r="P1698" s="104"/>
      <c r="Q1698" s="104"/>
      <c r="R1698" s="104"/>
      <c r="S1698" s="104"/>
    </row>
    <row r="1699" spans="4:19">
      <c r="D1699" s="104"/>
      <c r="E1699" s="104"/>
      <c r="F1699" s="104"/>
      <c r="G1699" s="104"/>
      <c r="H1699" s="104"/>
      <c r="I1699" s="104"/>
      <c r="J1699" s="104"/>
      <c r="K1699" s="104"/>
      <c r="L1699" s="104"/>
      <c r="M1699" s="104"/>
      <c r="N1699" s="104"/>
      <c r="O1699" s="104"/>
      <c r="P1699" s="104"/>
      <c r="Q1699" s="104"/>
      <c r="R1699" s="104"/>
      <c r="S1699" s="104"/>
    </row>
    <row r="1700" spans="4:19">
      <c r="D1700" s="104"/>
      <c r="E1700" s="104"/>
      <c r="F1700" s="104"/>
      <c r="G1700" s="104"/>
      <c r="H1700" s="104"/>
      <c r="I1700" s="104"/>
      <c r="J1700" s="104"/>
      <c r="K1700" s="104"/>
      <c r="L1700" s="104"/>
      <c r="M1700" s="104"/>
      <c r="N1700" s="104"/>
      <c r="O1700" s="104"/>
      <c r="P1700" s="104"/>
      <c r="Q1700" s="104"/>
      <c r="R1700" s="104"/>
      <c r="S1700" s="104"/>
    </row>
    <row r="1701" spans="4:19">
      <c r="D1701" s="104"/>
      <c r="E1701" s="104"/>
      <c r="F1701" s="104"/>
      <c r="G1701" s="104"/>
      <c r="H1701" s="104"/>
      <c r="I1701" s="104"/>
      <c r="J1701" s="104"/>
      <c r="K1701" s="104"/>
      <c r="L1701" s="104"/>
      <c r="M1701" s="104"/>
      <c r="N1701" s="104"/>
      <c r="O1701" s="104"/>
      <c r="P1701" s="104"/>
      <c r="Q1701" s="104"/>
      <c r="R1701" s="104"/>
      <c r="S1701" s="104"/>
    </row>
    <row r="1702" spans="4:19">
      <c r="D1702" s="104"/>
      <c r="E1702" s="104"/>
      <c r="F1702" s="104"/>
      <c r="G1702" s="104"/>
      <c r="H1702" s="104"/>
      <c r="I1702" s="104"/>
      <c r="J1702" s="104"/>
      <c r="K1702" s="104"/>
      <c r="L1702" s="104"/>
      <c r="M1702" s="104"/>
      <c r="N1702" s="104"/>
      <c r="O1702" s="104"/>
      <c r="P1702" s="104"/>
      <c r="Q1702" s="104"/>
      <c r="R1702" s="104"/>
      <c r="S1702" s="104"/>
    </row>
    <row r="1703" spans="4:19">
      <c r="D1703" s="104"/>
      <c r="E1703" s="104"/>
      <c r="F1703" s="104"/>
      <c r="G1703" s="104"/>
      <c r="H1703" s="104"/>
      <c r="I1703" s="104"/>
      <c r="J1703" s="104"/>
      <c r="K1703" s="104"/>
      <c r="L1703" s="104"/>
      <c r="M1703" s="104"/>
      <c r="N1703" s="104"/>
      <c r="O1703" s="104"/>
      <c r="P1703" s="104"/>
      <c r="Q1703" s="104"/>
      <c r="R1703" s="104"/>
      <c r="S1703" s="104"/>
    </row>
    <row r="1704" spans="4:19">
      <c r="D1704" s="104"/>
      <c r="E1704" s="104"/>
      <c r="F1704" s="104"/>
      <c r="G1704" s="104"/>
      <c r="H1704" s="104"/>
      <c r="I1704" s="104"/>
      <c r="J1704" s="104"/>
      <c r="K1704" s="104"/>
      <c r="L1704" s="104"/>
      <c r="M1704" s="104"/>
      <c r="N1704" s="104"/>
      <c r="O1704" s="104"/>
      <c r="P1704" s="104"/>
      <c r="Q1704" s="104"/>
      <c r="R1704" s="104"/>
      <c r="S1704" s="104"/>
    </row>
    <row r="1705" spans="4:19">
      <c r="D1705" s="104"/>
      <c r="E1705" s="104"/>
      <c r="F1705" s="104"/>
      <c r="G1705" s="104"/>
      <c r="H1705" s="104"/>
      <c r="I1705" s="104"/>
      <c r="J1705" s="104"/>
      <c r="K1705" s="104"/>
      <c r="L1705" s="104"/>
      <c r="M1705" s="104"/>
      <c r="N1705" s="104"/>
      <c r="O1705" s="104"/>
      <c r="P1705" s="104"/>
      <c r="Q1705" s="104"/>
      <c r="R1705" s="104"/>
      <c r="S1705" s="104"/>
    </row>
    <row r="1706" spans="4:19">
      <c r="D1706" s="104"/>
      <c r="E1706" s="104"/>
      <c r="F1706" s="104"/>
      <c r="G1706" s="104"/>
      <c r="H1706" s="104"/>
      <c r="I1706" s="104"/>
      <c r="J1706" s="104"/>
      <c r="K1706" s="104"/>
      <c r="L1706" s="104"/>
      <c r="M1706" s="104"/>
      <c r="N1706" s="104"/>
      <c r="O1706" s="104"/>
      <c r="P1706" s="104"/>
      <c r="Q1706" s="104"/>
      <c r="R1706" s="104"/>
      <c r="S1706" s="104"/>
    </row>
    <row r="1707" spans="4:19">
      <c r="D1707" s="104"/>
      <c r="E1707" s="104"/>
      <c r="F1707" s="104"/>
      <c r="G1707" s="104"/>
      <c r="H1707" s="104"/>
      <c r="I1707" s="104"/>
      <c r="J1707" s="104"/>
      <c r="K1707" s="104"/>
      <c r="L1707" s="104"/>
      <c r="M1707" s="104"/>
      <c r="N1707" s="104"/>
      <c r="O1707" s="104"/>
      <c r="P1707" s="104"/>
      <c r="Q1707" s="104"/>
      <c r="R1707" s="104"/>
      <c r="S1707" s="104"/>
    </row>
    <row r="1708" spans="4:19">
      <c r="D1708" s="104"/>
      <c r="E1708" s="104"/>
      <c r="F1708" s="104"/>
      <c r="G1708" s="104"/>
      <c r="H1708" s="104"/>
      <c r="I1708" s="104"/>
      <c r="J1708" s="104"/>
      <c r="K1708" s="104"/>
      <c r="L1708" s="104"/>
      <c r="M1708" s="104"/>
      <c r="N1708" s="104"/>
      <c r="O1708" s="104"/>
      <c r="P1708" s="104"/>
      <c r="Q1708" s="104"/>
      <c r="R1708" s="104"/>
      <c r="S1708" s="104"/>
    </row>
    <row r="1709" spans="4:19">
      <c r="D1709" s="104"/>
      <c r="E1709" s="104"/>
      <c r="F1709" s="104"/>
      <c r="G1709" s="104"/>
      <c r="H1709" s="104"/>
      <c r="I1709" s="104"/>
      <c r="J1709" s="104"/>
      <c r="K1709" s="104"/>
      <c r="L1709" s="104"/>
      <c r="M1709" s="104"/>
      <c r="N1709" s="104"/>
      <c r="O1709" s="104"/>
      <c r="P1709" s="104"/>
      <c r="Q1709" s="104"/>
      <c r="R1709" s="104"/>
      <c r="S1709" s="104"/>
    </row>
    <row r="1710" spans="4:19">
      <c r="D1710" s="104"/>
      <c r="E1710" s="104"/>
      <c r="F1710" s="104"/>
      <c r="G1710" s="104"/>
      <c r="H1710" s="104"/>
      <c r="I1710" s="104"/>
      <c r="J1710" s="104"/>
      <c r="K1710" s="104"/>
      <c r="L1710" s="104"/>
      <c r="M1710" s="104"/>
      <c r="N1710" s="104"/>
      <c r="O1710" s="104"/>
      <c r="P1710" s="104"/>
      <c r="Q1710" s="104"/>
      <c r="R1710" s="104"/>
      <c r="S1710" s="104"/>
    </row>
    <row r="1711" spans="4:19">
      <c r="D1711" s="104"/>
      <c r="E1711" s="104"/>
      <c r="F1711" s="104"/>
      <c r="G1711" s="104"/>
      <c r="H1711" s="104"/>
      <c r="I1711" s="104"/>
      <c r="J1711" s="104"/>
      <c r="K1711" s="104"/>
      <c r="L1711" s="104"/>
      <c r="M1711" s="104"/>
      <c r="N1711" s="104"/>
      <c r="O1711" s="104"/>
      <c r="P1711" s="104"/>
      <c r="Q1711" s="104"/>
      <c r="R1711" s="104"/>
      <c r="S1711" s="104"/>
    </row>
    <row r="1712" spans="4:19">
      <c r="D1712" s="104"/>
      <c r="E1712" s="104"/>
      <c r="F1712" s="104"/>
      <c r="G1712" s="104"/>
      <c r="H1712" s="104"/>
      <c r="I1712" s="104"/>
      <c r="J1712" s="104"/>
      <c r="K1712" s="104"/>
      <c r="L1712" s="104"/>
      <c r="M1712" s="104"/>
      <c r="N1712" s="104"/>
      <c r="O1712" s="104"/>
      <c r="P1712" s="104"/>
      <c r="Q1712" s="104"/>
      <c r="R1712" s="104"/>
      <c r="S1712" s="104"/>
    </row>
    <row r="1713" spans="4:19">
      <c r="D1713" s="104"/>
      <c r="E1713" s="104"/>
      <c r="F1713" s="104"/>
      <c r="G1713" s="104"/>
      <c r="H1713" s="104"/>
      <c r="I1713" s="104"/>
      <c r="J1713" s="104"/>
      <c r="K1713" s="104"/>
      <c r="L1713" s="104"/>
      <c r="M1713" s="104"/>
      <c r="N1713" s="104"/>
      <c r="O1713" s="104"/>
      <c r="P1713" s="104"/>
      <c r="Q1713" s="104"/>
      <c r="R1713" s="104"/>
      <c r="S1713" s="104"/>
    </row>
    <row r="1714" spans="4:19">
      <c r="D1714" s="104"/>
      <c r="E1714" s="104"/>
      <c r="F1714" s="104"/>
      <c r="G1714" s="104"/>
      <c r="H1714" s="104"/>
      <c r="I1714" s="104"/>
      <c r="J1714" s="104"/>
      <c r="K1714" s="104"/>
      <c r="L1714" s="104"/>
      <c r="M1714" s="104"/>
      <c r="N1714" s="104"/>
      <c r="O1714" s="104"/>
      <c r="P1714" s="104"/>
      <c r="Q1714" s="104"/>
      <c r="R1714" s="104"/>
      <c r="S1714" s="104"/>
    </row>
    <row r="1715" spans="4:19">
      <c r="D1715" s="104"/>
      <c r="E1715" s="104"/>
      <c r="F1715" s="104"/>
      <c r="G1715" s="104"/>
      <c r="H1715" s="104"/>
      <c r="I1715" s="104"/>
      <c r="J1715" s="104"/>
      <c r="K1715" s="104"/>
      <c r="L1715" s="104"/>
      <c r="M1715" s="104"/>
      <c r="N1715" s="104"/>
      <c r="O1715" s="104"/>
      <c r="P1715" s="104"/>
      <c r="Q1715" s="104"/>
      <c r="R1715" s="104"/>
      <c r="S1715" s="104"/>
    </row>
    <row r="1716" spans="4:19">
      <c r="D1716" s="104"/>
      <c r="E1716" s="104"/>
      <c r="F1716" s="104"/>
      <c r="G1716" s="104"/>
      <c r="H1716" s="104"/>
      <c r="I1716" s="104"/>
      <c r="J1716" s="104"/>
      <c r="K1716" s="104"/>
      <c r="L1716" s="104"/>
      <c r="M1716" s="104"/>
      <c r="N1716" s="104"/>
      <c r="O1716" s="104"/>
      <c r="P1716" s="104"/>
      <c r="Q1716" s="104"/>
      <c r="R1716" s="104"/>
      <c r="S1716" s="104"/>
    </row>
    <row r="1717" spans="4:19">
      <c r="D1717" s="104"/>
      <c r="E1717" s="104"/>
      <c r="F1717" s="104"/>
      <c r="G1717" s="104"/>
      <c r="H1717" s="104"/>
      <c r="I1717" s="104"/>
      <c r="J1717" s="104"/>
      <c r="K1717" s="104"/>
      <c r="L1717" s="104"/>
      <c r="M1717" s="104"/>
      <c r="N1717" s="104"/>
      <c r="O1717" s="104"/>
      <c r="P1717" s="104"/>
      <c r="Q1717" s="104"/>
      <c r="R1717" s="104"/>
      <c r="S1717" s="104"/>
    </row>
    <row r="1718" spans="4:19">
      <c r="D1718" s="104"/>
      <c r="E1718" s="104"/>
      <c r="F1718" s="104"/>
      <c r="G1718" s="104"/>
      <c r="H1718" s="104"/>
      <c r="I1718" s="104"/>
      <c r="J1718" s="104"/>
      <c r="K1718" s="104"/>
      <c r="L1718" s="104"/>
      <c r="M1718" s="104"/>
      <c r="N1718" s="104"/>
      <c r="O1718" s="104"/>
      <c r="P1718" s="104"/>
      <c r="Q1718" s="104"/>
      <c r="R1718" s="104"/>
      <c r="S1718" s="104"/>
    </row>
    <row r="1719" spans="4:19">
      <c r="D1719" s="104"/>
      <c r="E1719" s="104"/>
      <c r="F1719" s="104"/>
      <c r="G1719" s="104"/>
      <c r="H1719" s="104"/>
      <c r="I1719" s="104"/>
      <c r="J1719" s="104"/>
      <c r="K1719" s="104"/>
      <c r="L1719" s="104"/>
      <c r="M1719" s="104"/>
      <c r="N1719" s="104"/>
      <c r="O1719" s="104"/>
      <c r="P1719" s="104"/>
      <c r="Q1719" s="104"/>
      <c r="R1719" s="104"/>
      <c r="S1719" s="104"/>
    </row>
    <row r="1720" spans="4:19">
      <c r="D1720" s="104"/>
      <c r="E1720" s="104"/>
      <c r="F1720" s="104"/>
      <c r="G1720" s="104"/>
      <c r="H1720" s="104"/>
      <c r="I1720" s="104"/>
      <c r="J1720" s="104"/>
      <c r="K1720" s="104"/>
      <c r="L1720" s="104"/>
      <c r="M1720" s="104"/>
      <c r="N1720" s="104"/>
      <c r="O1720" s="104"/>
      <c r="P1720" s="104"/>
      <c r="Q1720" s="104"/>
      <c r="R1720" s="104"/>
      <c r="S1720" s="104"/>
    </row>
    <row r="1721" spans="4:19">
      <c r="D1721" s="104"/>
      <c r="E1721" s="104"/>
      <c r="F1721" s="104"/>
      <c r="G1721" s="104"/>
      <c r="H1721" s="104"/>
      <c r="I1721" s="104"/>
      <c r="J1721" s="104"/>
      <c r="K1721" s="104"/>
      <c r="L1721" s="104"/>
      <c r="M1721" s="104"/>
      <c r="N1721" s="104"/>
      <c r="O1721" s="104"/>
      <c r="P1721" s="104"/>
      <c r="Q1721" s="104"/>
      <c r="R1721" s="104"/>
      <c r="S1721" s="104"/>
    </row>
    <row r="1722" spans="4:19">
      <c r="D1722" s="104"/>
      <c r="E1722" s="104"/>
      <c r="F1722" s="104"/>
      <c r="G1722" s="104"/>
      <c r="H1722" s="104"/>
      <c r="I1722" s="104"/>
      <c r="J1722" s="104"/>
      <c r="K1722" s="104"/>
      <c r="L1722" s="104"/>
      <c r="M1722" s="104"/>
      <c r="N1722" s="104"/>
      <c r="O1722" s="104"/>
      <c r="P1722" s="104"/>
      <c r="Q1722" s="104"/>
      <c r="R1722" s="104"/>
      <c r="S1722" s="104"/>
    </row>
    <row r="1723" spans="4:19">
      <c r="D1723" s="104"/>
      <c r="E1723" s="104"/>
      <c r="F1723" s="104"/>
      <c r="G1723" s="104"/>
      <c r="H1723" s="104"/>
      <c r="I1723" s="104"/>
      <c r="J1723" s="104"/>
      <c r="K1723" s="104"/>
      <c r="L1723" s="104"/>
      <c r="M1723" s="104"/>
      <c r="N1723" s="104"/>
      <c r="O1723" s="104"/>
      <c r="P1723" s="104"/>
      <c r="Q1723" s="104"/>
      <c r="R1723" s="104"/>
      <c r="S1723" s="104"/>
    </row>
    <row r="1724" spans="4:19">
      <c r="D1724" s="104"/>
      <c r="E1724" s="104"/>
      <c r="F1724" s="104"/>
      <c r="G1724" s="104"/>
      <c r="H1724" s="104"/>
      <c r="I1724" s="104"/>
      <c r="J1724" s="104"/>
      <c r="K1724" s="104"/>
      <c r="L1724" s="104"/>
      <c r="M1724" s="104"/>
      <c r="N1724" s="104"/>
      <c r="O1724" s="104"/>
      <c r="P1724" s="104"/>
      <c r="Q1724" s="104"/>
      <c r="R1724" s="104"/>
      <c r="S1724" s="104"/>
    </row>
    <row r="1725" spans="4:19">
      <c r="D1725" s="104"/>
      <c r="E1725" s="104"/>
      <c r="F1725" s="104"/>
      <c r="G1725" s="104"/>
      <c r="H1725" s="104"/>
      <c r="I1725" s="104"/>
      <c r="J1725" s="104"/>
      <c r="K1725" s="104"/>
      <c r="L1725" s="104"/>
      <c r="M1725" s="104"/>
      <c r="N1725" s="104"/>
      <c r="O1725" s="104"/>
      <c r="P1725" s="104"/>
      <c r="Q1725" s="104"/>
      <c r="R1725" s="104"/>
      <c r="S1725" s="104"/>
    </row>
    <row r="1726" spans="4:19">
      <c r="D1726" s="104"/>
      <c r="E1726" s="104"/>
      <c r="F1726" s="104"/>
      <c r="G1726" s="104"/>
      <c r="H1726" s="104"/>
      <c r="I1726" s="104"/>
      <c r="J1726" s="104"/>
      <c r="K1726" s="104"/>
      <c r="L1726" s="104"/>
      <c r="M1726" s="104"/>
      <c r="N1726" s="104"/>
      <c r="O1726" s="104"/>
      <c r="P1726" s="104"/>
      <c r="Q1726" s="104"/>
      <c r="R1726" s="104"/>
      <c r="S1726" s="104"/>
    </row>
    <row r="1727" spans="4:19">
      <c r="D1727" s="104"/>
      <c r="E1727" s="104"/>
      <c r="F1727" s="104"/>
      <c r="G1727" s="104"/>
      <c r="H1727" s="104"/>
      <c r="I1727" s="104"/>
      <c r="J1727" s="104"/>
      <c r="K1727" s="104"/>
      <c r="L1727" s="104"/>
      <c r="M1727" s="104"/>
      <c r="N1727" s="104"/>
      <c r="O1727" s="104"/>
      <c r="P1727" s="104"/>
      <c r="Q1727" s="104"/>
      <c r="R1727" s="104"/>
      <c r="S1727" s="104"/>
    </row>
    <row r="1728" spans="4:19">
      <c r="D1728" s="104"/>
      <c r="E1728" s="104"/>
      <c r="F1728" s="104"/>
      <c r="G1728" s="104"/>
      <c r="H1728" s="104"/>
      <c r="I1728" s="104"/>
      <c r="J1728" s="104"/>
      <c r="K1728" s="104"/>
      <c r="L1728" s="104"/>
      <c r="M1728" s="104"/>
      <c r="N1728" s="104"/>
      <c r="O1728" s="104"/>
      <c r="P1728" s="104"/>
      <c r="Q1728" s="104"/>
      <c r="R1728" s="104"/>
      <c r="S1728" s="104"/>
    </row>
    <row r="1729" spans="4:19">
      <c r="D1729" s="104"/>
      <c r="E1729" s="104"/>
      <c r="F1729" s="104"/>
      <c r="G1729" s="104"/>
      <c r="H1729" s="104"/>
      <c r="I1729" s="104"/>
      <c r="J1729" s="104"/>
      <c r="K1729" s="104"/>
      <c r="L1729" s="104"/>
      <c r="M1729" s="104"/>
      <c r="N1729" s="104"/>
      <c r="O1729" s="104"/>
      <c r="P1729" s="104"/>
      <c r="Q1729" s="104"/>
      <c r="R1729" s="104"/>
      <c r="S1729" s="104"/>
    </row>
    <row r="1730" spans="4:19">
      <c r="D1730" s="104"/>
      <c r="E1730" s="104"/>
      <c r="F1730" s="104"/>
      <c r="G1730" s="104"/>
      <c r="H1730" s="104"/>
      <c r="I1730" s="104"/>
      <c r="J1730" s="104"/>
      <c r="K1730" s="104"/>
      <c r="L1730" s="104"/>
      <c r="M1730" s="104"/>
      <c r="N1730" s="104"/>
      <c r="O1730" s="104"/>
      <c r="P1730" s="104"/>
      <c r="Q1730" s="104"/>
      <c r="R1730" s="104"/>
      <c r="S1730" s="104"/>
    </row>
    <row r="1731" spans="4:19">
      <c r="D1731" s="104"/>
      <c r="E1731" s="104"/>
      <c r="F1731" s="104"/>
      <c r="G1731" s="104"/>
      <c r="H1731" s="104"/>
      <c r="I1731" s="104"/>
      <c r="J1731" s="104"/>
      <c r="K1731" s="104"/>
      <c r="L1731" s="104"/>
      <c r="M1731" s="104"/>
      <c r="N1731" s="104"/>
      <c r="O1731" s="104"/>
      <c r="P1731" s="104"/>
      <c r="Q1731" s="104"/>
      <c r="R1731" s="104"/>
      <c r="S1731" s="104"/>
    </row>
    <row r="1732" spans="4:19">
      <c r="D1732" s="104"/>
      <c r="E1732" s="104"/>
      <c r="F1732" s="104"/>
      <c r="G1732" s="104"/>
      <c r="H1732" s="104"/>
      <c r="I1732" s="104"/>
      <c r="J1732" s="104"/>
      <c r="K1732" s="104"/>
      <c r="L1732" s="104"/>
      <c r="M1732" s="104"/>
      <c r="N1732" s="104"/>
      <c r="O1732" s="104"/>
      <c r="P1732" s="104"/>
      <c r="Q1732" s="104"/>
      <c r="R1732" s="104"/>
      <c r="S1732" s="104"/>
    </row>
    <row r="1733" spans="4:19">
      <c r="D1733" s="104"/>
      <c r="E1733" s="104"/>
      <c r="F1733" s="104"/>
      <c r="G1733" s="104"/>
      <c r="H1733" s="104"/>
      <c r="I1733" s="104"/>
      <c r="J1733" s="104"/>
      <c r="K1733" s="104"/>
      <c r="L1733" s="104"/>
      <c r="M1733" s="104"/>
      <c r="N1733" s="104"/>
      <c r="O1733" s="104"/>
      <c r="P1733" s="104"/>
      <c r="Q1733" s="104"/>
      <c r="R1733" s="104"/>
      <c r="S1733" s="104"/>
    </row>
    <row r="1734" spans="4:19">
      <c r="D1734" s="104"/>
      <c r="E1734" s="104"/>
      <c r="F1734" s="104"/>
      <c r="G1734" s="104"/>
      <c r="H1734" s="104"/>
      <c r="I1734" s="104"/>
      <c r="J1734" s="104"/>
      <c r="K1734" s="104"/>
      <c r="L1734" s="104"/>
      <c r="M1734" s="104"/>
      <c r="N1734" s="104"/>
      <c r="O1734" s="104"/>
      <c r="P1734" s="104"/>
      <c r="Q1734" s="104"/>
      <c r="R1734" s="104"/>
      <c r="S1734" s="104"/>
    </row>
    <row r="1735" spans="4:19">
      <c r="D1735" s="104"/>
      <c r="E1735" s="104"/>
      <c r="F1735" s="104"/>
      <c r="G1735" s="104"/>
      <c r="H1735" s="104"/>
      <c r="I1735" s="104"/>
      <c r="J1735" s="104"/>
      <c r="K1735" s="104"/>
      <c r="L1735" s="104"/>
      <c r="M1735" s="104"/>
      <c r="N1735" s="104"/>
      <c r="O1735" s="104"/>
      <c r="P1735" s="104"/>
      <c r="Q1735" s="104"/>
      <c r="R1735" s="104"/>
      <c r="S1735" s="104"/>
    </row>
    <row r="1736" spans="4:19">
      <c r="D1736" s="104"/>
      <c r="E1736" s="104"/>
      <c r="F1736" s="104"/>
      <c r="G1736" s="104"/>
      <c r="H1736" s="104"/>
      <c r="I1736" s="104"/>
      <c r="J1736" s="104"/>
      <c r="K1736" s="104"/>
      <c r="L1736" s="104"/>
      <c r="M1736" s="104"/>
      <c r="N1736" s="104"/>
      <c r="O1736" s="104"/>
      <c r="P1736" s="104"/>
      <c r="Q1736" s="104"/>
      <c r="R1736" s="104"/>
      <c r="S1736" s="104"/>
    </row>
    <row r="1737" spans="4:19">
      <c r="D1737" s="104"/>
      <c r="E1737" s="104"/>
      <c r="F1737" s="104"/>
      <c r="G1737" s="104"/>
      <c r="H1737" s="104"/>
      <c r="I1737" s="104"/>
      <c r="J1737" s="104"/>
      <c r="K1737" s="104"/>
      <c r="L1737" s="104"/>
      <c r="M1737" s="104"/>
      <c r="N1737" s="104"/>
      <c r="O1737" s="104"/>
      <c r="P1737" s="104"/>
      <c r="Q1737" s="104"/>
      <c r="R1737" s="104"/>
      <c r="S1737" s="104"/>
    </row>
    <row r="1738" spans="4:19">
      <c r="D1738" s="104"/>
      <c r="E1738" s="104"/>
      <c r="F1738" s="104"/>
      <c r="G1738" s="104"/>
      <c r="H1738" s="104"/>
      <c r="I1738" s="104"/>
      <c r="J1738" s="104"/>
      <c r="K1738" s="104"/>
      <c r="L1738" s="104"/>
      <c r="M1738" s="104"/>
      <c r="N1738" s="104"/>
      <c r="O1738" s="104"/>
      <c r="P1738" s="104"/>
      <c r="Q1738" s="104"/>
      <c r="R1738" s="104"/>
      <c r="S1738" s="104"/>
    </row>
    <row r="1739" spans="4:19">
      <c r="D1739" s="104"/>
      <c r="E1739" s="104"/>
      <c r="F1739" s="104"/>
      <c r="G1739" s="104"/>
      <c r="H1739" s="104"/>
      <c r="I1739" s="104"/>
      <c r="J1739" s="104"/>
      <c r="K1739" s="104"/>
      <c r="L1739" s="104"/>
      <c r="M1739" s="104"/>
      <c r="N1739" s="104"/>
      <c r="O1739" s="104"/>
      <c r="P1739" s="104"/>
      <c r="Q1739" s="104"/>
      <c r="R1739" s="104"/>
      <c r="S1739" s="104"/>
    </row>
    <row r="1740" spans="4:19">
      <c r="D1740" s="104"/>
      <c r="E1740" s="104"/>
      <c r="F1740" s="104"/>
      <c r="G1740" s="104"/>
      <c r="H1740" s="104"/>
      <c r="I1740" s="104"/>
      <c r="J1740" s="104"/>
      <c r="K1740" s="104"/>
      <c r="L1740" s="104"/>
      <c r="M1740" s="104"/>
      <c r="N1740" s="104"/>
      <c r="O1740" s="104"/>
      <c r="P1740" s="104"/>
      <c r="Q1740" s="104"/>
      <c r="R1740" s="104"/>
      <c r="S1740" s="104"/>
    </row>
    <row r="1741" spans="4:19">
      <c r="D1741" s="104"/>
      <c r="E1741" s="104"/>
      <c r="F1741" s="104"/>
      <c r="G1741" s="104"/>
      <c r="H1741" s="104"/>
      <c r="I1741" s="104"/>
      <c r="J1741" s="104"/>
      <c r="K1741" s="104"/>
      <c r="L1741" s="104"/>
      <c r="M1741" s="104"/>
      <c r="N1741" s="104"/>
      <c r="O1741" s="104"/>
      <c r="P1741" s="104"/>
      <c r="Q1741" s="104"/>
      <c r="R1741" s="104"/>
      <c r="S1741" s="104"/>
    </row>
    <row r="1742" spans="4:19">
      <c r="D1742" s="104"/>
      <c r="E1742" s="104"/>
      <c r="F1742" s="104"/>
      <c r="G1742" s="104"/>
      <c r="H1742" s="104"/>
      <c r="I1742" s="104"/>
      <c r="J1742" s="104"/>
      <c r="K1742" s="104"/>
      <c r="L1742" s="104"/>
      <c r="M1742" s="104"/>
      <c r="N1742" s="104"/>
      <c r="O1742" s="104"/>
      <c r="P1742" s="104"/>
      <c r="Q1742" s="104"/>
      <c r="R1742" s="104"/>
      <c r="S1742" s="104"/>
    </row>
    <row r="1743" spans="4:19">
      <c r="D1743" s="104"/>
      <c r="E1743" s="104"/>
      <c r="F1743" s="104"/>
      <c r="G1743" s="104"/>
      <c r="H1743" s="104"/>
      <c r="I1743" s="104"/>
      <c r="J1743" s="104"/>
      <c r="K1743" s="104"/>
      <c r="L1743" s="104"/>
      <c r="M1743" s="104"/>
      <c r="N1743" s="104"/>
      <c r="O1743" s="104"/>
      <c r="P1743" s="104"/>
      <c r="Q1743" s="104"/>
      <c r="R1743" s="104"/>
      <c r="S1743" s="104"/>
    </row>
    <row r="1744" spans="4:19">
      <c r="D1744" s="104"/>
      <c r="E1744" s="104"/>
      <c r="F1744" s="104"/>
      <c r="G1744" s="104"/>
      <c r="H1744" s="104"/>
      <c r="I1744" s="104"/>
      <c r="J1744" s="104"/>
      <c r="K1744" s="104"/>
      <c r="L1744" s="104"/>
      <c r="M1744" s="104"/>
      <c r="N1744" s="104"/>
      <c r="O1744" s="104"/>
      <c r="P1744" s="104"/>
      <c r="Q1744" s="104"/>
      <c r="R1744" s="104"/>
      <c r="S1744" s="104"/>
    </row>
    <row r="1745" spans="4:19">
      <c r="D1745" s="104"/>
      <c r="E1745" s="104"/>
      <c r="F1745" s="104"/>
      <c r="G1745" s="104"/>
      <c r="H1745" s="104"/>
      <c r="I1745" s="104"/>
      <c r="J1745" s="104"/>
      <c r="K1745" s="104"/>
      <c r="L1745" s="104"/>
      <c r="M1745" s="104"/>
      <c r="N1745" s="104"/>
      <c r="O1745" s="104"/>
      <c r="P1745" s="104"/>
      <c r="Q1745" s="104"/>
      <c r="R1745" s="104"/>
      <c r="S1745" s="104"/>
    </row>
    <row r="1746" spans="4:19">
      <c r="D1746" s="104"/>
      <c r="E1746" s="104"/>
      <c r="F1746" s="104"/>
      <c r="G1746" s="104"/>
      <c r="H1746" s="104"/>
      <c r="I1746" s="104"/>
      <c r="J1746" s="104"/>
      <c r="K1746" s="104"/>
      <c r="L1746" s="104"/>
      <c r="M1746" s="104"/>
      <c r="N1746" s="104"/>
      <c r="O1746" s="104"/>
      <c r="P1746" s="104"/>
      <c r="Q1746" s="104"/>
      <c r="R1746" s="104"/>
      <c r="S1746" s="104"/>
    </row>
    <row r="1747" spans="4:19">
      <c r="D1747" s="104"/>
      <c r="E1747" s="104"/>
      <c r="F1747" s="104"/>
      <c r="G1747" s="104"/>
      <c r="H1747" s="104"/>
      <c r="I1747" s="104"/>
      <c r="J1747" s="104"/>
      <c r="K1747" s="104"/>
      <c r="L1747" s="104"/>
      <c r="M1747" s="104"/>
      <c r="N1747" s="104"/>
      <c r="O1747" s="104"/>
      <c r="P1747" s="104"/>
      <c r="Q1747" s="104"/>
      <c r="R1747" s="104"/>
      <c r="S1747" s="104"/>
    </row>
    <row r="1748" spans="4:19">
      <c r="D1748" s="104"/>
      <c r="E1748" s="104"/>
      <c r="F1748" s="104"/>
      <c r="G1748" s="104"/>
      <c r="H1748" s="104"/>
      <c r="I1748" s="104"/>
      <c r="J1748" s="104"/>
      <c r="K1748" s="104"/>
      <c r="L1748" s="104"/>
      <c r="M1748" s="104"/>
      <c r="N1748" s="104"/>
      <c r="O1748" s="104"/>
      <c r="P1748" s="104"/>
      <c r="Q1748" s="104"/>
      <c r="R1748" s="104"/>
      <c r="S1748" s="104"/>
    </row>
    <row r="1749" spans="4:19">
      <c r="D1749" s="104"/>
      <c r="E1749" s="104"/>
      <c r="F1749" s="104"/>
      <c r="G1749" s="104"/>
      <c r="H1749" s="104"/>
      <c r="I1749" s="104"/>
      <c r="J1749" s="104"/>
      <c r="K1749" s="104"/>
      <c r="L1749" s="104"/>
      <c r="M1749" s="104"/>
      <c r="N1749" s="104"/>
      <c r="O1749" s="104"/>
      <c r="P1749" s="104"/>
      <c r="Q1749" s="104"/>
      <c r="R1749" s="104"/>
      <c r="S1749" s="104"/>
    </row>
    <row r="1750" spans="4:19">
      <c r="D1750" s="104"/>
      <c r="E1750" s="104"/>
      <c r="F1750" s="104"/>
      <c r="G1750" s="104"/>
      <c r="H1750" s="104"/>
      <c r="I1750" s="104"/>
      <c r="J1750" s="104"/>
      <c r="K1750" s="104"/>
      <c r="L1750" s="104"/>
      <c r="M1750" s="104"/>
      <c r="N1750" s="104"/>
      <c r="O1750" s="104"/>
      <c r="P1750" s="104"/>
      <c r="Q1750" s="104"/>
      <c r="R1750" s="104"/>
      <c r="S1750" s="104"/>
    </row>
    <row r="1751" spans="4:19">
      <c r="D1751" s="104"/>
      <c r="E1751" s="104"/>
      <c r="F1751" s="104"/>
      <c r="G1751" s="104"/>
      <c r="H1751" s="104"/>
      <c r="I1751" s="104"/>
      <c r="J1751" s="104"/>
      <c r="K1751" s="104"/>
      <c r="L1751" s="104"/>
      <c r="M1751" s="104"/>
      <c r="N1751" s="104"/>
      <c r="O1751" s="104"/>
      <c r="P1751" s="104"/>
      <c r="Q1751" s="104"/>
      <c r="R1751" s="104"/>
      <c r="S1751" s="104"/>
    </row>
    <row r="1752" spans="4:19">
      <c r="D1752" s="104"/>
      <c r="E1752" s="104"/>
      <c r="F1752" s="104"/>
      <c r="G1752" s="104"/>
      <c r="H1752" s="104"/>
      <c r="I1752" s="104"/>
      <c r="J1752" s="104"/>
      <c r="K1752" s="104"/>
      <c r="L1752" s="104"/>
      <c r="M1752" s="104"/>
      <c r="N1752" s="104"/>
      <c r="O1752" s="104"/>
      <c r="P1752" s="104"/>
      <c r="Q1752" s="104"/>
      <c r="R1752" s="104"/>
      <c r="S1752" s="104"/>
    </row>
    <row r="1753" spans="4:19">
      <c r="D1753" s="104"/>
      <c r="E1753" s="104"/>
      <c r="F1753" s="104"/>
      <c r="G1753" s="104"/>
      <c r="H1753" s="104"/>
      <c r="I1753" s="104"/>
      <c r="J1753" s="104"/>
      <c r="K1753" s="104"/>
      <c r="L1753" s="104"/>
      <c r="M1753" s="104"/>
      <c r="N1753" s="104"/>
      <c r="O1753" s="104"/>
      <c r="P1753" s="104"/>
      <c r="Q1753" s="104"/>
      <c r="R1753" s="104"/>
      <c r="S1753" s="104"/>
    </row>
    <row r="1754" spans="4:19">
      <c r="D1754" s="104"/>
      <c r="E1754" s="104"/>
      <c r="F1754" s="104"/>
      <c r="G1754" s="104"/>
      <c r="H1754" s="104"/>
      <c r="I1754" s="104"/>
      <c r="J1754" s="104"/>
      <c r="K1754" s="104"/>
      <c r="L1754" s="104"/>
      <c r="M1754" s="104"/>
      <c r="N1754" s="104"/>
      <c r="O1754" s="104"/>
      <c r="P1754" s="104"/>
      <c r="Q1754" s="104"/>
      <c r="R1754" s="104"/>
      <c r="S1754" s="104"/>
    </row>
    <row r="1755" spans="4:19">
      <c r="D1755" s="104"/>
      <c r="E1755" s="104"/>
      <c r="F1755" s="104"/>
      <c r="G1755" s="104"/>
      <c r="H1755" s="104"/>
      <c r="I1755" s="104"/>
      <c r="J1755" s="104"/>
      <c r="K1755" s="104"/>
      <c r="L1755" s="104"/>
      <c r="M1755" s="104"/>
      <c r="N1755" s="104"/>
      <c r="O1755" s="104"/>
      <c r="P1755" s="104"/>
      <c r="Q1755" s="104"/>
      <c r="R1755" s="104"/>
      <c r="S1755" s="104"/>
    </row>
    <row r="1756" spans="4:19">
      <c r="D1756" s="104"/>
      <c r="E1756" s="104"/>
      <c r="F1756" s="104"/>
      <c r="G1756" s="104"/>
      <c r="H1756" s="104"/>
      <c r="I1756" s="104"/>
      <c r="J1756" s="104"/>
      <c r="K1756" s="104"/>
      <c r="L1756" s="104"/>
      <c r="M1756" s="104"/>
      <c r="N1756" s="104"/>
      <c r="O1756" s="104"/>
      <c r="P1756" s="104"/>
      <c r="Q1756" s="104"/>
      <c r="R1756" s="104"/>
      <c r="S1756" s="104"/>
    </row>
    <row r="1757" spans="4:19">
      <c r="D1757" s="104"/>
      <c r="E1757" s="104"/>
      <c r="F1757" s="104"/>
      <c r="G1757" s="104"/>
      <c r="H1757" s="104"/>
      <c r="I1757" s="104"/>
      <c r="J1757" s="104"/>
      <c r="K1757" s="104"/>
      <c r="L1757" s="104"/>
      <c r="M1757" s="104"/>
      <c r="N1757" s="104"/>
      <c r="O1757" s="104"/>
      <c r="P1757" s="104"/>
      <c r="Q1757" s="104"/>
      <c r="R1757" s="104"/>
      <c r="S1757" s="104"/>
    </row>
    <row r="1758" spans="4:19">
      <c r="D1758" s="104"/>
      <c r="E1758" s="104"/>
      <c r="F1758" s="104"/>
      <c r="G1758" s="104"/>
      <c r="H1758" s="104"/>
      <c r="I1758" s="104"/>
      <c r="J1758" s="104"/>
      <c r="K1758" s="104"/>
      <c r="L1758" s="104"/>
      <c r="M1758" s="104"/>
      <c r="N1758" s="104"/>
      <c r="O1758" s="104"/>
      <c r="P1758" s="104"/>
      <c r="Q1758" s="104"/>
      <c r="R1758" s="104"/>
      <c r="S1758" s="104"/>
    </row>
    <row r="1759" spans="4:19">
      <c r="D1759" s="104"/>
      <c r="E1759" s="104"/>
      <c r="F1759" s="104"/>
      <c r="G1759" s="104"/>
      <c r="H1759" s="104"/>
      <c r="I1759" s="104"/>
      <c r="J1759" s="104"/>
      <c r="K1759" s="104"/>
      <c r="L1759" s="104"/>
      <c r="M1759" s="104"/>
      <c r="N1759" s="104"/>
      <c r="O1759" s="104"/>
      <c r="P1759" s="104"/>
      <c r="Q1759" s="104"/>
      <c r="R1759" s="104"/>
      <c r="S1759" s="104"/>
    </row>
    <row r="1760" spans="4:19">
      <c r="D1760" s="104"/>
      <c r="E1760" s="104"/>
      <c r="F1760" s="104"/>
      <c r="G1760" s="104"/>
      <c r="H1760" s="104"/>
      <c r="I1760" s="104"/>
      <c r="J1760" s="104"/>
      <c r="K1760" s="104"/>
      <c r="L1760" s="104"/>
      <c r="M1760" s="104"/>
      <c r="N1760" s="104"/>
      <c r="O1760" s="104"/>
      <c r="P1760" s="104"/>
      <c r="Q1760" s="104"/>
      <c r="R1760" s="104"/>
      <c r="S1760" s="104"/>
    </row>
    <row r="1761" spans="4:19">
      <c r="D1761" s="104"/>
      <c r="E1761" s="104"/>
      <c r="F1761" s="104"/>
      <c r="G1761" s="104"/>
      <c r="H1761" s="104"/>
      <c r="I1761" s="104"/>
      <c r="J1761" s="104"/>
      <c r="K1761" s="104"/>
      <c r="L1761" s="104"/>
      <c r="M1761" s="104"/>
      <c r="N1761" s="104"/>
      <c r="O1761" s="104"/>
      <c r="P1761" s="104"/>
      <c r="Q1761" s="104"/>
      <c r="R1761" s="104"/>
      <c r="S1761" s="104"/>
    </row>
    <row r="1762" spans="4:19">
      <c r="D1762" s="104"/>
      <c r="E1762" s="104"/>
      <c r="F1762" s="104"/>
      <c r="G1762" s="104"/>
      <c r="H1762" s="104"/>
      <c r="I1762" s="104"/>
      <c r="J1762" s="104"/>
      <c r="K1762" s="104"/>
      <c r="L1762" s="104"/>
      <c r="M1762" s="104"/>
      <c r="N1762" s="104"/>
      <c r="O1762" s="104"/>
      <c r="P1762" s="104"/>
      <c r="Q1762" s="104"/>
      <c r="R1762" s="104"/>
      <c r="S1762" s="104"/>
    </row>
    <row r="1763" spans="4:19">
      <c r="D1763" s="104"/>
      <c r="E1763" s="104"/>
      <c r="F1763" s="104"/>
      <c r="G1763" s="104"/>
      <c r="H1763" s="104"/>
      <c r="I1763" s="104"/>
      <c r="J1763" s="104"/>
      <c r="K1763" s="104"/>
      <c r="L1763" s="104"/>
      <c r="M1763" s="104"/>
      <c r="N1763" s="104"/>
      <c r="O1763" s="104"/>
      <c r="P1763" s="104"/>
      <c r="Q1763" s="104"/>
      <c r="R1763" s="104"/>
      <c r="S1763" s="104"/>
    </row>
    <row r="1764" spans="4:19">
      <c r="D1764" s="104"/>
      <c r="E1764" s="104"/>
      <c r="F1764" s="104"/>
      <c r="G1764" s="104"/>
      <c r="H1764" s="104"/>
      <c r="I1764" s="104"/>
      <c r="J1764" s="104"/>
      <c r="K1764" s="104"/>
      <c r="L1764" s="104"/>
      <c r="M1764" s="104"/>
      <c r="N1764" s="104"/>
      <c r="O1764" s="104"/>
      <c r="P1764" s="104"/>
      <c r="Q1764" s="104"/>
      <c r="R1764" s="104"/>
      <c r="S1764" s="104"/>
    </row>
    <row r="1765" spans="4:19">
      <c r="D1765" s="104"/>
      <c r="E1765" s="104"/>
      <c r="F1765" s="104"/>
      <c r="G1765" s="104"/>
      <c r="H1765" s="104"/>
      <c r="I1765" s="104"/>
      <c r="J1765" s="104"/>
      <c r="K1765" s="104"/>
      <c r="L1765" s="104"/>
      <c r="M1765" s="104"/>
      <c r="N1765" s="104"/>
      <c r="O1765" s="104"/>
      <c r="P1765" s="104"/>
      <c r="Q1765" s="104"/>
      <c r="R1765" s="104"/>
      <c r="S1765" s="104"/>
    </row>
    <row r="1766" spans="4:19">
      <c r="D1766" s="104"/>
      <c r="E1766" s="104"/>
      <c r="F1766" s="104"/>
      <c r="G1766" s="104"/>
      <c r="H1766" s="104"/>
      <c r="I1766" s="104"/>
      <c r="J1766" s="104"/>
      <c r="K1766" s="104"/>
      <c r="L1766" s="104"/>
      <c r="M1766" s="104"/>
      <c r="N1766" s="104"/>
      <c r="O1766" s="104"/>
      <c r="P1766" s="104"/>
      <c r="Q1766" s="104"/>
      <c r="R1766" s="104"/>
      <c r="S1766" s="104"/>
    </row>
    <row r="1767" spans="4:19">
      <c r="D1767" s="104"/>
      <c r="E1767" s="104"/>
      <c r="F1767" s="104"/>
      <c r="G1767" s="104"/>
      <c r="H1767" s="104"/>
      <c r="I1767" s="104"/>
      <c r="J1767" s="104"/>
      <c r="K1767" s="104"/>
      <c r="L1767" s="104"/>
      <c r="M1767" s="104"/>
      <c r="N1767" s="104"/>
      <c r="O1767" s="104"/>
      <c r="P1767" s="104"/>
      <c r="Q1767" s="104"/>
      <c r="R1767" s="104"/>
      <c r="S1767" s="104"/>
    </row>
    <row r="1768" spans="4:19">
      <c r="D1768" s="104"/>
      <c r="E1768" s="104"/>
      <c r="F1768" s="104"/>
      <c r="G1768" s="104"/>
      <c r="H1768" s="104"/>
      <c r="I1768" s="104"/>
      <c r="J1768" s="104"/>
      <c r="K1768" s="104"/>
      <c r="L1768" s="104"/>
      <c r="M1768" s="104"/>
      <c r="N1768" s="104"/>
      <c r="O1768" s="104"/>
      <c r="P1768" s="104"/>
      <c r="Q1768" s="104"/>
      <c r="R1768" s="104"/>
      <c r="S1768" s="104"/>
    </row>
    <row r="1769" spans="4:19">
      <c r="D1769" s="104"/>
      <c r="E1769" s="104"/>
      <c r="F1769" s="104"/>
      <c r="G1769" s="104"/>
      <c r="H1769" s="104"/>
      <c r="I1769" s="104"/>
      <c r="J1769" s="104"/>
      <c r="K1769" s="104"/>
      <c r="L1769" s="104"/>
      <c r="M1769" s="104"/>
      <c r="N1769" s="104"/>
      <c r="O1769" s="104"/>
      <c r="P1769" s="104"/>
      <c r="Q1769" s="104"/>
      <c r="R1769" s="104"/>
      <c r="S1769" s="104"/>
    </row>
    <row r="1770" spans="4:19">
      <c r="D1770" s="104"/>
      <c r="E1770" s="104"/>
      <c r="F1770" s="104"/>
      <c r="G1770" s="104"/>
      <c r="H1770" s="104"/>
      <c r="I1770" s="104"/>
      <c r="J1770" s="104"/>
      <c r="K1770" s="104"/>
      <c r="L1770" s="104"/>
      <c r="M1770" s="104"/>
      <c r="N1770" s="104"/>
      <c r="O1770" s="104"/>
      <c r="P1770" s="104"/>
      <c r="Q1770" s="104"/>
      <c r="R1770" s="104"/>
      <c r="S1770" s="104"/>
    </row>
    <row r="1771" spans="4:19">
      <c r="D1771" s="104"/>
      <c r="E1771" s="104"/>
      <c r="F1771" s="104"/>
      <c r="G1771" s="104"/>
      <c r="H1771" s="104"/>
      <c r="I1771" s="104"/>
      <c r="J1771" s="104"/>
      <c r="K1771" s="104"/>
      <c r="L1771" s="104"/>
      <c r="M1771" s="104"/>
      <c r="N1771" s="104"/>
      <c r="O1771" s="104"/>
      <c r="P1771" s="104"/>
      <c r="Q1771" s="104"/>
      <c r="R1771" s="104"/>
      <c r="S1771" s="104"/>
    </row>
    <row r="1772" spans="4:19">
      <c r="D1772" s="104"/>
      <c r="E1772" s="104"/>
      <c r="F1772" s="104"/>
      <c r="G1772" s="104"/>
      <c r="H1772" s="104"/>
      <c r="I1772" s="104"/>
      <c r="J1772" s="104"/>
      <c r="K1772" s="104"/>
      <c r="L1772" s="104"/>
      <c r="M1772" s="104"/>
      <c r="N1772" s="104"/>
      <c r="O1772" s="104"/>
      <c r="P1772" s="104"/>
      <c r="Q1772" s="104"/>
      <c r="R1772" s="104"/>
      <c r="S1772" s="104"/>
    </row>
    <row r="1773" spans="4:19">
      <c r="D1773" s="104"/>
      <c r="E1773" s="104"/>
      <c r="F1773" s="104"/>
      <c r="G1773" s="104"/>
      <c r="H1773" s="104"/>
      <c r="I1773" s="104"/>
      <c r="J1773" s="104"/>
      <c r="K1773" s="104"/>
      <c r="L1773" s="104"/>
      <c r="M1773" s="104"/>
      <c r="N1773" s="104"/>
      <c r="O1773" s="104"/>
      <c r="P1773" s="104"/>
      <c r="Q1773" s="104"/>
      <c r="R1773" s="104"/>
      <c r="S1773" s="104"/>
    </row>
    <row r="1774" spans="4:19">
      <c r="D1774" s="104"/>
      <c r="E1774" s="104"/>
      <c r="F1774" s="104"/>
      <c r="G1774" s="104"/>
      <c r="H1774" s="104"/>
      <c r="I1774" s="104"/>
      <c r="J1774" s="104"/>
      <c r="K1774" s="104"/>
      <c r="L1774" s="104"/>
      <c r="M1774" s="104"/>
      <c r="N1774" s="104"/>
      <c r="O1774" s="104"/>
      <c r="P1774" s="104"/>
      <c r="Q1774" s="104"/>
      <c r="R1774" s="104"/>
      <c r="S1774" s="104"/>
    </row>
    <row r="1775" spans="4:19">
      <c r="D1775" s="104"/>
      <c r="E1775" s="104"/>
      <c r="F1775" s="104"/>
      <c r="G1775" s="104"/>
      <c r="H1775" s="104"/>
      <c r="I1775" s="104"/>
      <c r="J1775" s="104"/>
      <c r="K1775" s="104"/>
      <c r="L1775" s="104"/>
      <c r="M1775" s="104"/>
      <c r="N1775" s="104"/>
      <c r="O1775" s="104"/>
      <c r="P1775" s="104"/>
      <c r="Q1775" s="104"/>
      <c r="R1775" s="104"/>
      <c r="S1775" s="104"/>
    </row>
    <row r="1776" spans="4:19">
      <c r="D1776" s="104"/>
      <c r="E1776" s="104"/>
      <c r="F1776" s="104"/>
      <c r="G1776" s="104"/>
      <c r="H1776" s="104"/>
      <c r="I1776" s="104"/>
      <c r="J1776" s="104"/>
      <c r="K1776" s="104"/>
      <c r="L1776" s="104"/>
      <c r="M1776" s="104"/>
      <c r="N1776" s="104"/>
      <c r="O1776" s="104"/>
      <c r="P1776" s="104"/>
      <c r="Q1776" s="104"/>
      <c r="R1776" s="104"/>
      <c r="S1776" s="104"/>
    </row>
    <row r="1777" spans="4:19">
      <c r="D1777" s="104"/>
      <c r="E1777" s="104"/>
      <c r="F1777" s="104"/>
      <c r="G1777" s="104"/>
      <c r="H1777" s="104"/>
      <c r="I1777" s="104"/>
      <c r="J1777" s="104"/>
      <c r="K1777" s="104"/>
      <c r="L1777" s="104"/>
      <c r="M1777" s="104"/>
      <c r="N1777" s="104"/>
      <c r="O1777" s="104"/>
      <c r="P1777" s="104"/>
      <c r="Q1777" s="104"/>
      <c r="R1777" s="104"/>
      <c r="S1777" s="104"/>
    </row>
    <row r="1778" spans="4:19">
      <c r="D1778" s="104"/>
      <c r="E1778" s="104"/>
      <c r="F1778" s="104"/>
      <c r="G1778" s="104"/>
      <c r="H1778" s="104"/>
      <c r="I1778" s="104"/>
      <c r="J1778" s="104"/>
      <c r="K1778" s="104"/>
      <c r="L1778" s="104"/>
      <c r="M1778" s="104"/>
      <c r="N1778" s="104"/>
      <c r="O1778" s="104"/>
      <c r="P1778" s="104"/>
      <c r="Q1778" s="104"/>
      <c r="R1778" s="104"/>
      <c r="S1778" s="104"/>
    </row>
    <row r="1779" spans="4:19">
      <c r="D1779" s="104"/>
      <c r="E1779" s="104"/>
      <c r="F1779" s="104"/>
      <c r="G1779" s="104"/>
      <c r="H1779" s="104"/>
      <c r="I1779" s="104"/>
      <c r="J1779" s="104"/>
      <c r="K1779" s="104"/>
      <c r="L1779" s="104"/>
      <c r="M1779" s="104"/>
      <c r="N1779" s="104"/>
      <c r="O1779" s="104"/>
      <c r="P1779" s="104"/>
      <c r="Q1779" s="104"/>
      <c r="R1779" s="104"/>
      <c r="S1779" s="104"/>
    </row>
    <row r="1780" spans="4:19">
      <c r="D1780" s="104"/>
      <c r="E1780" s="104"/>
      <c r="F1780" s="104"/>
      <c r="G1780" s="104"/>
      <c r="H1780" s="104"/>
      <c r="I1780" s="104"/>
      <c r="J1780" s="104"/>
      <c r="K1780" s="104"/>
      <c r="L1780" s="104"/>
      <c r="M1780" s="104"/>
      <c r="N1780" s="104"/>
      <c r="O1780" s="104"/>
      <c r="P1780" s="104"/>
      <c r="Q1780" s="104"/>
      <c r="R1780" s="104"/>
      <c r="S1780" s="104"/>
    </row>
    <row r="1781" spans="4:19">
      <c r="D1781" s="104"/>
      <c r="E1781" s="104"/>
      <c r="F1781" s="104"/>
      <c r="G1781" s="104"/>
      <c r="H1781" s="104"/>
      <c r="I1781" s="104"/>
      <c r="J1781" s="104"/>
      <c r="K1781" s="104"/>
      <c r="L1781" s="104"/>
      <c r="M1781" s="104"/>
      <c r="N1781" s="104"/>
      <c r="O1781" s="104"/>
      <c r="P1781" s="104"/>
      <c r="Q1781" s="104"/>
      <c r="R1781" s="104"/>
      <c r="S1781" s="104"/>
    </row>
    <row r="1782" spans="4:19">
      <c r="D1782" s="104"/>
      <c r="E1782" s="104"/>
      <c r="F1782" s="104"/>
      <c r="G1782" s="104"/>
      <c r="H1782" s="104"/>
      <c r="I1782" s="104"/>
      <c r="J1782" s="104"/>
      <c r="K1782" s="104"/>
      <c r="L1782" s="104"/>
      <c r="M1782" s="104"/>
      <c r="N1782" s="104"/>
      <c r="O1782" s="104"/>
      <c r="P1782" s="104"/>
      <c r="Q1782" s="104"/>
      <c r="R1782" s="104"/>
      <c r="S1782" s="104"/>
    </row>
    <row r="1783" spans="4:19">
      <c r="D1783" s="104"/>
      <c r="E1783" s="104"/>
      <c r="F1783" s="104"/>
      <c r="G1783" s="104"/>
      <c r="H1783" s="104"/>
      <c r="I1783" s="104"/>
      <c r="J1783" s="104"/>
      <c r="K1783" s="104"/>
      <c r="L1783" s="104"/>
      <c r="M1783" s="104"/>
      <c r="N1783" s="104"/>
      <c r="O1783" s="104"/>
      <c r="P1783" s="104"/>
      <c r="Q1783" s="104"/>
      <c r="R1783" s="104"/>
      <c r="S1783" s="104"/>
    </row>
    <row r="1784" spans="4:19">
      <c r="D1784" s="104"/>
      <c r="E1784" s="104"/>
      <c r="F1784" s="104"/>
      <c r="G1784" s="104"/>
      <c r="H1784" s="104"/>
      <c r="I1784" s="104"/>
      <c r="J1784" s="104"/>
      <c r="K1784" s="104"/>
      <c r="L1784" s="104"/>
      <c r="M1784" s="104"/>
      <c r="N1784" s="104"/>
      <c r="O1784" s="104"/>
      <c r="P1784" s="104"/>
      <c r="Q1784" s="104"/>
      <c r="R1784" s="104"/>
      <c r="S1784" s="104"/>
    </row>
    <row r="1785" spans="4:19">
      <c r="D1785" s="104"/>
      <c r="E1785" s="104"/>
      <c r="F1785" s="104"/>
      <c r="G1785" s="104"/>
      <c r="H1785" s="104"/>
      <c r="I1785" s="104"/>
      <c r="J1785" s="104"/>
      <c r="K1785" s="104"/>
      <c r="L1785" s="104"/>
      <c r="M1785" s="104"/>
      <c r="N1785" s="104"/>
      <c r="O1785" s="104"/>
      <c r="P1785" s="104"/>
      <c r="Q1785" s="104"/>
      <c r="R1785" s="104"/>
      <c r="S1785" s="104"/>
    </row>
    <row r="1786" spans="4:19">
      <c r="D1786" s="104"/>
      <c r="E1786" s="104"/>
      <c r="F1786" s="104"/>
      <c r="G1786" s="104"/>
      <c r="H1786" s="104"/>
      <c r="I1786" s="104"/>
      <c r="J1786" s="104"/>
      <c r="K1786" s="104"/>
      <c r="L1786" s="104"/>
      <c r="M1786" s="104"/>
      <c r="N1786" s="104"/>
      <c r="O1786" s="104"/>
      <c r="P1786" s="104"/>
      <c r="Q1786" s="104"/>
      <c r="R1786" s="104"/>
      <c r="S1786" s="104"/>
    </row>
    <row r="1787" spans="4:19">
      <c r="D1787" s="104"/>
      <c r="E1787" s="104"/>
      <c r="F1787" s="104"/>
      <c r="G1787" s="104"/>
      <c r="H1787" s="104"/>
      <c r="I1787" s="104"/>
      <c r="J1787" s="104"/>
      <c r="K1787" s="104"/>
      <c r="L1787" s="104"/>
      <c r="M1787" s="104"/>
      <c r="N1787" s="104"/>
      <c r="O1787" s="104"/>
      <c r="P1787" s="104"/>
      <c r="Q1787" s="104"/>
      <c r="R1787" s="104"/>
      <c r="S1787" s="104"/>
    </row>
    <row r="1788" spans="4:19">
      <c r="D1788" s="104"/>
      <c r="E1788" s="104"/>
      <c r="F1788" s="104"/>
      <c r="G1788" s="104"/>
      <c r="H1788" s="104"/>
      <c r="I1788" s="104"/>
      <c r="J1788" s="104"/>
      <c r="K1788" s="104"/>
      <c r="L1788" s="104"/>
      <c r="M1788" s="104"/>
      <c r="N1788" s="104"/>
      <c r="O1788" s="104"/>
      <c r="P1788" s="104"/>
      <c r="Q1788" s="104"/>
      <c r="R1788" s="104"/>
      <c r="S1788" s="104"/>
    </row>
    <row r="1789" spans="4:19">
      <c r="D1789" s="104"/>
      <c r="E1789" s="104"/>
      <c r="F1789" s="104"/>
      <c r="G1789" s="104"/>
      <c r="H1789" s="104"/>
      <c r="I1789" s="104"/>
      <c r="J1789" s="104"/>
      <c r="K1789" s="104"/>
      <c r="L1789" s="104"/>
      <c r="M1789" s="104"/>
      <c r="N1789" s="104"/>
      <c r="O1789" s="104"/>
      <c r="P1789" s="104"/>
      <c r="Q1789" s="104"/>
      <c r="R1789" s="104"/>
      <c r="S1789" s="104"/>
    </row>
    <row r="1790" spans="4:19">
      <c r="D1790" s="104"/>
      <c r="E1790" s="104"/>
      <c r="F1790" s="104"/>
      <c r="G1790" s="104"/>
      <c r="H1790" s="104"/>
      <c r="I1790" s="104"/>
      <c r="J1790" s="104"/>
      <c r="K1790" s="104"/>
      <c r="L1790" s="104"/>
      <c r="M1790" s="104"/>
      <c r="N1790" s="104"/>
      <c r="O1790" s="104"/>
      <c r="P1790" s="104"/>
      <c r="Q1790" s="104"/>
      <c r="R1790" s="104"/>
      <c r="S1790" s="104"/>
    </row>
    <row r="1791" spans="4:19">
      <c r="D1791" s="104"/>
      <c r="E1791" s="104"/>
      <c r="F1791" s="104"/>
      <c r="G1791" s="104"/>
      <c r="H1791" s="104"/>
      <c r="I1791" s="104"/>
      <c r="J1791" s="104"/>
      <c r="K1791" s="104"/>
      <c r="L1791" s="104"/>
      <c r="M1791" s="104"/>
      <c r="N1791" s="104"/>
      <c r="O1791" s="104"/>
      <c r="P1791" s="104"/>
      <c r="Q1791" s="104"/>
      <c r="R1791" s="104"/>
      <c r="S1791" s="104"/>
    </row>
    <row r="1792" spans="4:19">
      <c r="D1792" s="104"/>
      <c r="E1792" s="104"/>
      <c r="F1792" s="104"/>
      <c r="G1792" s="104"/>
      <c r="H1792" s="104"/>
      <c r="I1792" s="104"/>
      <c r="J1792" s="104"/>
      <c r="K1792" s="104"/>
      <c r="L1792" s="104"/>
      <c r="M1792" s="104"/>
      <c r="N1792" s="104"/>
      <c r="O1792" s="104"/>
      <c r="P1792" s="104"/>
      <c r="Q1792" s="104"/>
      <c r="R1792" s="104"/>
      <c r="S1792" s="104"/>
    </row>
    <row r="1793" spans="4:19">
      <c r="D1793" s="104"/>
      <c r="E1793" s="104"/>
      <c r="F1793" s="104"/>
      <c r="G1793" s="104"/>
      <c r="H1793" s="104"/>
      <c r="I1793" s="104"/>
      <c r="J1793" s="104"/>
      <c r="K1793" s="104"/>
      <c r="L1793" s="104"/>
      <c r="M1793" s="104"/>
      <c r="N1793" s="104"/>
      <c r="O1793" s="104"/>
      <c r="P1793" s="104"/>
      <c r="Q1793" s="104"/>
      <c r="R1793" s="104"/>
      <c r="S1793" s="104"/>
    </row>
    <row r="1794" spans="4:19">
      <c r="D1794" s="104"/>
      <c r="E1794" s="104"/>
      <c r="F1794" s="104"/>
      <c r="G1794" s="104"/>
      <c r="H1794" s="104"/>
      <c r="I1794" s="104"/>
      <c r="J1794" s="104"/>
      <c r="K1794" s="104"/>
      <c r="L1794" s="104"/>
      <c r="M1794" s="104"/>
      <c r="N1794" s="104"/>
      <c r="O1794" s="104"/>
      <c r="P1794" s="104"/>
      <c r="Q1794" s="104"/>
      <c r="R1794" s="104"/>
      <c r="S1794" s="104"/>
    </row>
    <row r="1795" spans="4:19">
      <c r="D1795" s="104"/>
      <c r="E1795" s="104"/>
      <c r="F1795" s="104"/>
      <c r="G1795" s="104"/>
      <c r="H1795" s="104"/>
      <c r="I1795" s="104"/>
      <c r="J1795" s="104"/>
      <c r="K1795" s="104"/>
      <c r="L1795" s="104"/>
      <c r="M1795" s="104"/>
      <c r="N1795" s="104"/>
      <c r="O1795" s="104"/>
      <c r="P1795" s="104"/>
      <c r="Q1795" s="104"/>
      <c r="R1795" s="104"/>
      <c r="S1795" s="104"/>
    </row>
    <row r="1796" spans="4:19">
      <c r="D1796" s="104"/>
      <c r="E1796" s="104"/>
      <c r="F1796" s="104"/>
      <c r="G1796" s="104"/>
      <c r="H1796" s="104"/>
      <c r="I1796" s="104"/>
      <c r="J1796" s="104"/>
      <c r="K1796" s="104"/>
      <c r="L1796" s="104"/>
      <c r="M1796" s="104"/>
      <c r="N1796" s="104"/>
      <c r="O1796" s="104"/>
      <c r="P1796" s="104"/>
      <c r="Q1796" s="104"/>
      <c r="R1796" s="104"/>
      <c r="S1796" s="104"/>
    </row>
    <row r="1797" spans="4:19">
      <c r="D1797" s="104"/>
      <c r="E1797" s="104"/>
      <c r="F1797" s="104"/>
      <c r="G1797" s="104"/>
      <c r="H1797" s="104"/>
      <c r="I1797" s="104"/>
      <c r="J1797" s="104"/>
      <c r="K1797" s="104"/>
      <c r="L1797" s="104"/>
      <c r="M1797" s="104"/>
      <c r="N1797" s="104"/>
      <c r="O1797" s="104"/>
      <c r="P1797" s="104"/>
      <c r="Q1797" s="104"/>
      <c r="R1797" s="104"/>
      <c r="S1797" s="104"/>
    </row>
    <row r="1798" spans="4:19">
      <c r="D1798" s="104"/>
      <c r="E1798" s="104"/>
      <c r="F1798" s="104"/>
      <c r="G1798" s="104"/>
      <c r="H1798" s="104"/>
      <c r="I1798" s="104"/>
      <c r="J1798" s="104"/>
      <c r="K1798" s="104"/>
      <c r="L1798" s="104"/>
      <c r="M1798" s="104"/>
      <c r="N1798" s="104"/>
      <c r="O1798" s="104"/>
      <c r="P1798" s="104"/>
      <c r="Q1798" s="104"/>
      <c r="R1798" s="104"/>
      <c r="S1798" s="104"/>
    </row>
    <row r="1799" spans="4:19">
      <c r="D1799" s="104"/>
      <c r="E1799" s="104"/>
      <c r="F1799" s="104"/>
      <c r="G1799" s="104"/>
      <c r="H1799" s="104"/>
      <c r="I1799" s="104"/>
      <c r="J1799" s="104"/>
      <c r="K1799" s="104"/>
      <c r="L1799" s="104"/>
      <c r="M1799" s="104"/>
      <c r="N1799" s="104"/>
      <c r="O1799" s="104"/>
      <c r="P1799" s="104"/>
      <c r="Q1799" s="104"/>
      <c r="R1799" s="104"/>
      <c r="S1799" s="104"/>
    </row>
    <row r="1800" spans="4:19">
      <c r="D1800" s="104"/>
      <c r="E1800" s="104"/>
      <c r="F1800" s="104"/>
      <c r="G1800" s="104"/>
      <c r="H1800" s="104"/>
      <c r="I1800" s="104"/>
      <c r="J1800" s="104"/>
      <c r="K1800" s="104"/>
      <c r="L1800" s="104"/>
      <c r="M1800" s="104"/>
      <c r="N1800" s="104"/>
      <c r="O1800" s="104"/>
      <c r="P1800" s="104"/>
      <c r="Q1800" s="104"/>
      <c r="R1800" s="104"/>
      <c r="S1800" s="104"/>
    </row>
    <row r="1801" spans="4:19">
      <c r="D1801" s="104"/>
      <c r="E1801" s="104"/>
      <c r="F1801" s="104"/>
      <c r="G1801" s="104"/>
      <c r="H1801" s="104"/>
      <c r="I1801" s="104"/>
      <c r="J1801" s="104"/>
      <c r="K1801" s="104"/>
      <c r="L1801" s="104"/>
      <c r="M1801" s="104"/>
      <c r="N1801" s="104"/>
      <c r="O1801" s="104"/>
      <c r="P1801" s="104"/>
      <c r="Q1801" s="104"/>
      <c r="R1801" s="104"/>
      <c r="S1801" s="104"/>
    </row>
    <row r="1802" spans="4:19">
      <c r="D1802" s="104"/>
      <c r="E1802" s="104"/>
      <c r="F1802" s="104"/>
      <c r="G1802" s="104"/>
      <c r="H1802" s="104"/>
      <c r="I1802" s="104"/>
      <c r="J1802" s="104"/>
      <c r="K1802" s="104"/>
      <c r="L1802" s="104"/>
      <c r="M1802" s="104"/>
      <c r="N1802" s="104"/>
      <c r="O1802" s="104"/>
      <c r="P1802" s="104"/>
      <c r="Q1802" s="104"/>
      <c r="R1802" s="104"/>
      <c r="S1802" s="104"/>
    </row>
    <row r="1803" spans="4:19">
      <c r="D1803" s="104"/>
      <c r="E1803" s="104"/>
      <c r="F1803" s="104"/>
      <c r="G1803" s="104"/>
      <c r="H1803" s="104"/>
      <c r="I1803" s="104"/>
      <c r="J1803" s="104"/>
      <c r="K1803" s="104"/>
      <c r="L1803" s="104"/>
      <c r="M1803" s="104"/>
      <c r="N1803" s="104"/>
      <c r="O1803" s="104"/>
      <c r="P1803" s="104"/>
      <c r="Q1803" s="104"/>
      <c r="R1803" s="104"/>
      <c r="S1803" s="104"/>
    </row>
    <row r="1804" spans="4:19">
      <c r="D1804" s="104"/>
      <c r="E1804" s="104"/>
      <c r="F1804" s="104"/>
      <c r="G1804" s="104"/>
      <c r="H1804" s="104"/>
      <c r="I1804" s="104"/>
      <c r="J1804" s="104"/>
      <c r="K1804" s="104"/>
      <c r="L1804" s="104"/>
      <c r="M1804" s="104"/>
      <c r="N1804" s="104"/>
      <c r="O1804" s="104"/>
      <c r="P1804" s="104"/>
      <c r="Q1804" s="104"/>
      <c r="R1804" s="104"/>
      <c r="S1804" s="104"/>
    </row>
    <row r="1805" spans="4:19">
      <c r="D1805" s="104"/>
      <c r="E1805" s="104"/>
      <c r="F1805" s="104"/>
      <c r="G1805" s="104"/>
      <c r="H1805" s="104"/>
      <c r="I1805" s="104"/>
      <c r="J1805" s="104"/>
      <c r="K1805" s="104"/>
      <c r="L1805" s="104"/>
      <c r="M1805" s="104"/>
      <c r="N1805" s="104"/>
      <c r="O1805" s="104"/>
      <c r="P1805" s="104"/>
      <c r="Q1805" s="104"/>
      <c r="R1805" s="104"/>
      <c r="S1805" s="104"/>
    </row>
    <row r="1806" spans="4:19">
      <c r="D1806" s="104"/>
      <c r="E1806" s="104"/>
      <c r="F1806" s="104"/>
      <c r="G1806" s="104"/>
      <c r="H1806" s="104"/>
      <c r="I1806" s="104"/>
      <c r="J1806" s="104"/>
      <c r="K1806" s="104"/>
      <c r="L1806" s="104"/>
      <c r="M1806" s="104"/>
      <c r="N1806" s="104"/>
      <c r="O1806" s="104"/>
      <c r="P1806" s="104"/>
      <c r="Q1806" s="104"/>
      <c r="R1806" s="104"/>
      <c r="S1806" s="104"/>
    </row>
    <row r="1807" spans="4:19">
      <c r="D1807" s="104"/>
      <c r="E1807" s="104"/>
      <c r="F1807" s="104"/>
      <c r="G1807" s="104"/>
      <c r="H1807" s="104"/>
      <c r="I1807" s="104"/>
      <c r="J1807" s="104"/>
      <c r="K1807" s="104"/>
      <c r="L1807" s="104"/>
      <c r="M1807" s="104"/>
      <c r="N1807" s="104"/>
      <c r="O1807" s="104"/>
      <c r="P1807" s="104"/>
      <c r="Q1807" s="104"/>
      <c r="R1807" s="104"/>
      <c r="S1807" s="104"/>
    </row>
    <row r="1808" spans="4:19">
      <c r="D1808" s="104"/>
      <c r="E1808" s="104"/>
      <c r="F1808" s="104"/>
      <c r="G1808" s="104"/>
      <c r="H1808" s="104"/>
      <c r="I1808" s="104"/>
      <c r="J1808" s="104"/>
      <c r="K1808" s="104"/>
      <c r="L1808" s="104"/>
      <c r="M1808" s="104"/>
      <c r="N1808" s="104"/>
      <c r="O1808" s="104"/>
      <c r="P1808" s="104"/>
      <c r="Q1808" s="104"/>
      <c r="R1808" s="104"/>
      <c r="S1808" s="104"/>
    </row>
    <row r="1809" spans="4:19">
      <c r="D1809" s="104"/>
      <c r="E1809" s="104"/>
      <c r="F1809" s="104"/>
      <c r="G1809" s="104"/>
      <c r="H1809" s="104"/>
      <c r="I1809" s="104"/>
      <c r="J1809" s="104"/>
      <c r="K1809" s="104"/>
      <c r="L1809" s="104"/>
      <c r="M1809" s="104"/>
      <c r="N1809" s="104"/>
      <c r="O1809" s="104"/>
      <c r="P1809" s="104"/>
      <c r="Q1809" s="104"/>
      <c r="R1809" s="104"/>
      <c r="S1809" s="104"/>
    </row>
    <row r="1810" spans="4:19">
      <c r="D1810" s="104"/>
      <c r="E1810" s="104"/>
      <c r="F1810" s="104"/>
      <c r="G1810" s="104"/>
      <c r="H1810" s="104"/>
      <c r="I1810" s="104"/>
      <c r="J1810" s="104"/>
      <c r="K1810" s="104"/>
      <c r="L1810" s="104"/>
      <c r="M1810" s="104"/>
      <c r="N1810" s="104"/>
      <c r="O1810" s="104"/>
      <c r="P1810" s="104"/>
      <c r="Q1810" s="104"/>
      <c r="R1810" s="104"/>
      <c r="S1810" s="104"/>
    </row>
    <row r="1811" spans="4:19">
      <c r="D1811" s="104"/>
      <c r="E1811" s="104"/>
      <c r="F1811" s="104"/>
      <c r="G1811" s="104"/>
      <c r="H1811" s="104"/>
      <c r="I1811" s="104"/>
      <c r="J1811" s="104"/>
      <c r="K1811" s="104"/>
      <c r="L1811" s="104"/>
      <c r="M1811" s="104"/>
      <c r="N1811" s="104"/>
      <c r="O1811" s="104"/>
      <c r="P1811" s="104"/>
      <c r="Q1811" s="104"/>
      <c r="R1811" s="104"/>
      <c r="S1811" s="104"/>
    </row>
    <row r="1812" spans="4:19">
      <c r="D1812" s="104"/>
      <c r="E1812" s="104"/>
      <c r="F1812" s="104"/>
      <c r="G1812" s="104"/>
      <c r="H1812" s="104"/>
      <c r="I1812" s="104"/>
      <c r="J1812" s="104"/>
      <c r="K1812" s="104"/>
      <c r="L1812" s="104"/>
      <c r="M1812" s="104"/>
      <c r="N1812" s="104"/>
      <c r="O1812" s="104"/>
      <c r="P1812" s="104"/>
      <c r="Q1812" s="104"/>
      <c r="R1812" s="104"/>
      <c r="S1812" s="104"/>
    </row>
    <row r="1813" spans="4:19">
      <c r="D1813" s="104"/>
      <c r="E1813" s="104"/>
      <c r="F1813" s="104"/>
      <c r="G1813" s="104"/>
      <c r="H1813" s="104"/>
      <c r="I1813" s="104"/>
      <c r="J1813" s="104"/>
      <c r="K1813" s="104"/>
      <c r="L1813" s="104"/>
      <c r="M1813" s="104"/>
      <c r="N1813" s="104"/>
      <c r="O1813" s="104"/>
      <c r="P1813" s="104"/>
      <c r="Q1813" s="104"/>
      <c r="R1813" s="104"/>
      <c r="S1813" s="104"/>
    </row>
    <row r="1814" spans="4:19">
      <c r="D1814" s="104"/>
      <c r="E1814" s="104"/>
      <c r="F1814" s="104"/>
      <c r="G1814" s="104"/>
      <c r="H1814" s="104"/>
      <c r="I1814" s="104"/>
      <c r="J1814" s="104"/>
      <c r="K1814" s="104"/>
      <c r="L1814" s="104"/>
      <c r="M1814" s="104"/>
      <c r="N1814" s="104"/>
      <c r="O1814" s="104"/>
      <c r="P1814" s="104"/>
      <c r="Q1814" s="104"/>
      <c r="R1814" s="104"/>
      <c r="S1814" s="104"/>
    </row>
    <row r="1815" spans="4:19">
      <c r="D1815" s="104"/>
      <c r="E1815" s="104"/>
      <c r="F1815" s="104"/>
      <c r="G1815" s="104"/>
      <c r="H1815" s="104"/>
      <c r="I1815" s="104"/>
      <c r="J1815" s="104"/>
      <c r="K1815" s="104"/>
      <c r="L1815" s="104"/>
      <c r="M1815" s="104"/>
      <c r="N1815" s="104"/>
      <c r="O1815" s="104"/>
      <c r="P1815" s="104"/>
      <c r="Q1815" s="104"/>
      <c r="R1815" s="104"/>
      <c r="S1815" s="104"/>
    </row>
    <row r="1816" spans="4:19">
      <c r="D1816" s="104"/>
      <c r="E1816" s="104"/>
      <c r="F1816" s="104"/>
      <c r="G1816" s="104"/>
      <c r="H1816" s="104"/>
      <c r="I1816" s="104"/>
      <c r="J1816" s="104"/>
      <c r="K1816" s="104"/>
      <c r="L1816" s="104"/>
      <c r="M1816" s="104"/>
      <c r="N1816" s="104"/>
      <c r="O1816" s="104"/>
      <c r="P1816" s="104"/>
      <c r="Q1816" s="104"/>
      <c r="R1816" s="104"/>
      <c r="S1816" s="104"/>
    </row>
    <row r="1817" spans="4:19">
      <c r="D1817" s="104"/>
      <c r="E1817" s="104"/>
      <c r="F1817" s="104"/>
      <c r="G1817" s="104"/>
      <c r="H1817" s="104"/>
      <c r="I1817" s="104"/>
      <c r="J1817" s="104"/>
      <c r="K1817" s="104"/>
      <c r="L1817" s="104"/>
      <c r="M1817" s="104"/>
      <c r="N1817" s="104"/>
      <c r="O1817" s="104"/>
      <c r="P1817" s="104"/>
      <c r="Q1817" s="104"/>
      <c r="R1817" s="104"/>
      <c r="S1817" s="104"/>
    </row>
    <row r="1818" spans="4:19">
      <c r="D1818" s="104"/>
      <c r="E1818" s="104"/>
      <c r="F1818" s="104"/>
      <c r="G1818" s="104"/>
      <c r="H1818" s="104"/>
      <c r="I1818" s="104"/>
      <c r="J1818" s="104"/>
      <c r="K1818" s="104"/>
      <c r="L1818" s="104"/>
      <c r="M1818" s="104"/>
      <c r="N1818" s="104"/>
      <c r="O1818" s="104"/>
      <c r="P1818" s="104"/>
      <c r="Q1818" s="104"/>
      <c r="R1818" s="104"/>
      <c r="S1818" s="104"/>
    </row>
    <row r="1819" spans="4:19">
      <c r="D1819" s="104"/>
      <c r="E1819" s="104"/>
      <c r="F1819" s="104"/>
      <c r="G1819" s="104"/>
      <c r="H1819" s="104"/>
      <c r="I1819" s="104"/>
      <c r="J1819" s="104"/>
      <c r="K1819" s="104"/>
      <c r="L1819" s="104"/>
      <c r="M1819" s="104"/>
      <c r="N1819" s="104"/>
      <c r="O1819" s="104"/>
      <c r="P1819" s="104"/>
      <c r="Q1819" s="104"/>
      <c r="R1819" s="104"/>
      <c r="S1819" s="104"/>
    </row>
    <row r="1820" spans="4:19">
      <c r="D1820" s="104"/>
      <c r="E1820" s="104"/>
      <c r="F1820" s="104"/>
      <c r="G1820" s="104"/>
      <c r="H1820" s="104"/>
      <c r="I1820" s="104"/>
      <c r="J1820" s="104"/>
      <c r="K1820" s="104"/>
      <c r="L1820" s="104"/>
      <c r="M1820" s="104"/>
      <c r="N1820" s="104"/>
      <c r="O1820" s="104"/>
      <c r="P1820" s="104"/>
      <c r="Q1820" s="104"/>
      <c r="R1820" s="104"/>
      <c r="S1820" s="104"/>
    </row>
    <row r="1821" spans="4:19">
      <c r="D1821" s="104"/>
      <c r="E1821" s="104"/>
      <c r="F1821" s="104"/>
      <c r="G1821" s="104"/>
      <c r="H1821" s="104"/>
      <c r="I1821" s="104"/>
      <c r="J1821" s="104"/>
      <c r="K1821" s="104"/>
      <c r="L1821" s="104"/>
      <c r="M1821" s="104"/>
      <c r="N1821" s="104"/>
      <c r="O1821" s="104"/>
      <c r="P1821" s="104"/>
      <c r="Q1821" s="104"/>
      <c r="R1821" s="104"/>
      <c r="S1821" s="104"/>
    </row>
    <row r="1822" spans="4:19">
      <c r="D1822" s="104"/>
      <c r="E1822" s="104"/>
      <c r="F1822" s="104"/>
      <c r="G1822" s="104"/>
      <c r="H1822" s="104"/>
      <c r="I1822" s="104"/>
      <c r="J1822" s="104"/>
      <c r="K1822" s="104"/>
      <c r="L1822" s="104"/>
      <c r="M1822" s="104"/>
      <c r="N1822" s="104"/>
      <c r="O1822" s="104"/>
      <c r="P1822" s="104"/>
      <c r="Q1822" s="104"/>
      <c r="R1822" s="104"/>
      <c r="S1822" s="104"/>
    </row>
    <row r="1823" spans="4:19">
      <c r="D1823" s="104"/>
      <c r="E1823" s="104"/>
      <c r="F1823" s="104"/>
      <c r="G1823" s="104"/>
      <c r="H1823" s="104"/>
      <c r="I1823" s="104"/>
      <c r="J1823" s="104"/>
      <c r="K1823" s="104"/>
      <c r="L1823" s="104"/>
      <c r="M1823" s="104"/>
      <c r="N1823" s="104"/>
      <c r="O1823" s="104"/>
      <c r="P1823" s="104"/>
      <c r="Q1823" s="104"/>
      <c r="R1823" s="104"/>
      <c r="S1823" s="104"/>
    </row>
    <row r="1824" spans="4:19">
      <c r="D1824" s="104"/>
      <c r="E1824" s="104"/>
      <c r="F1824" s="104"/>
      <c r="G1824" s="104"/>
      <c r="H1824" s="104"/>
      <c r="I1824" s="104"/>
      <c r="J1824" s="104"/>
      <c r="K1824" s="104"/>
      <c r="L1824" s="104"/>
      <c r="M1824" s="104"/>
      <c r="N1824" s="104"/>
      <c r="O1824" s="104"/>
      <c r="P1824" s="104"/>
      <c r="Q1824" s="104"/>
      <c r="R1824" s="104"/>
      <c r="S1824" s="104"/>
    </row>
    <row r="1825" spans="4:19">
      <c r="D1825" s="104"/>
      <c r="E1825" s="104"/>
      <c r="F1825" s="104"/>
      <c r="G1825" s="104"/>
      <c r="H1825" s="104"/>
      <c r="I1825" s="104"/>
      <c r="J1825" s="104"/>
      <c r="K1825" s="104"/>
      <c r="L1825" s="104"/>
      <c r="M1825" s="104"/>
      <c r="N1825" s="104"/>
      <c r="O1825" s="104"/>
      <c r="P1825" s="104"/>
      <c r="Q1825" s="104"/>
      <c r="R1825" s="104"/>
      <c r="S1825" s="104"/>
    </row>
    <row r="1826" spans="4:19">
      <c r="D1826" s="104"/>
      <c r="E1826" s="104"/>
      <c r="F1826" s="104"/>
      <c r="G1826" s="104"/>
      <c r="H1826" s="104"/>
      <c r="I1826" s="104"/>
      <c r="J1826" s="104"/>
      <c r="K1826" s="104"/>
      <c r="L1826" s="104"/>
      <c r="M1826" s="104"/>
      <c r="N1826" s="104"/>
      <c r="O1826" s="104"/>
      <c r="P1826" s="104"/>
      <c r="Q1826" s="104"/>
      <c r="R1826" s="104"/>
      <c r="S1826" s="104"/>
    </row>
    <row r="1827" spans="4:19">
      <c r="D1827" s="104"/>
      <c r="E1827" s="104"/>
      <c r="F1827" s="104"/>
      <c r="G1827" s="104"/>
      <c r="H1827" s="104"/>
      <c r="I1827" s="104"/>
      <c r="J1827" s="104"/>
      <c r="K1827" s="104"/>
      <c r="L1827" s="104"/>
      <c r="M1827" s="104"/>
      <c r="N1827" s="104"/>
      <c r="O1827" s="104"/>
      <c r="P1827" s="104"/>
      <c r="Q1827" s="104"/>
      <c r="R1827" s="104"/>
      <c r="S1827" s="104"/>
    </row>
    <row r="1828" spans="4:19">
      <c r="D1828" s="104"/>
      <c r="E1828" s="104"/>
      <c r="F1828" s="104"/>
      <c r="G1828" s="104"/>
      <c r="H1828" s="104"/>
      <c r="I1828" s="104"/>
      <c r="J1828" s="104"/>
      <c r="K1828" s="104"/>
      <c r="L1828" s="104"/>
      <c r="M1828" s="104"/>
      <c r="N1828" s="104"/>
      <c r="O1828" s="104"/>
      <c r="P1828" s="104"/>
      <c r="Q1828" s="104"/>
      <c r="R1828" s="104"/>
      <c r="S1828" s="104"/>
    </row>
    <row r="1829" spans="4:19">
      <c r="D1829" s="104"/>
      <c r="E1829" s="104"/>
      <c r="F1829" s="104"/>
      <c r="G1829" s="104"/>
      <c r="H1829" s="104"/>
      <c r="I1829" s="104"/>
      <c r="J1829" s="104"/>
      <c r="K1829" s="104"/>
      <c r="L1829" s="104"/>
      <c r="M1829" s="104"/>
      <c r="N1829" s="104"/>
      <c r="O1829" s="104"/>
      <c r="P1829" s="104"/>
      <c r="Q1829" s="104"/>
      <c r="R1829" s="104"/>
      <c r="S1829" s="104"/>
    </row>
    <row r="1830" spans="4:19">
      <c r="D1830" s="104"/>
      <c r="E1830" s="104"/>
      <c r="F1830" s="104"/>
      <c r="G1830" s="104"/>
      <c r="H1830" s="104"/>
      <c r="I1830" s="104"/>
      <c r="J1830" s="104"/>
      <c r="K1830" s="104"/>
      <c r="L1830" s="104"/>
      <c r="M1830" s="104"/>
      <c r="N1830" s="104"/>
      <c r="O1830" s="104"/>
      <c r="P1830" s="104"/>
      <c r="Q1830" s="104"/>
      <c r="R1830" s="104"/>
      <c r="S1830" s="104"/>
    </row>
    <row r="1831" spans="4:19">
      <c r="D1831" s="104"/>
      <c r="E1831" s="104"/>
      <c r="F1831" s="104"/>
      <c r="G1831" s="104"/>
      <c r="H1831" s="104"/>
      <c r="I1831" s="104"/>
      <c r="J1831" s="104"/>
      <c r="K1831" s="104"/>
      <c r="L1831" s="104"/>
      <c r="M1831" s="104"/>
      <c r="N1831" s="104"/>
      <c r="O1831" s="104"/>
      <c r="P1831" s="104"/>
      <c r="Q1831" s="104"/>
      <c r="R1831" s="104"/>
      <c r="S1831" s="104"/>
    </row>
    <row r="1832" spans="4:19">
      <c r="D1832" s="104"/>
      <c r="E1832" s="104"/>
      <c r="F1832" s="104"/>
      <c r="G1832" s="104"/>
      <c r="H1832" s="104"/>
      <c r="I1832" s="104"/>
      <c r="J1832" s="104"/>
      <c r="K1832" s="104"/>
      <c r="L1832" s="104"/>
      <c r="M1832" s="104"/>
      <c r="N1832" s="104"/>
      <c r="O1832" s="104"/>
      <c r="P1832" s="104"/>
      <c r="Q1832" s="104"/>
      <c r="R1832" s="104"/>
      <c r="S1832" s="104"/>
    </row>
    <row r="1833" spans="4:19">
      <c r="D1833" s="104"/>
      <c r="E1833" s="104"/>
      <c r="F1833" s="104"/>
      <c r="G1833" s="104"/>
      <c r="H1833" s="104"/>
      <c r="I1833" s="104"/>
      <c r="J1833" s="104"/>
      <c r="K1833" s="104"/>
      <c r="L1833" s="104"/>
      <c r="M1833" s="104"/>
      <c r="N1833" s="104"/>
      <c r="O1833" s="104"/>
      <c r="P1833" s="104"/>
      <c r="Q1833" s="104"/>
      <c r="R1833" s="104"/>
      <c r="S1833" s="104"/>
    </row>
    <row r="1834" spans="4:19">
      <c r="D1834" s="104"/>
      <c r="E1834" s="104"/>
      <c r="F1834" s="104"/>
      <c r="G1834" s="104"/>
      <c r="H1834" s="104"/>
      <c r="I1834" s="104"/>
      <c r="J1834" s="104"/>
      <c r="K1834" s="104"/>
      <c r="L1834" s="104"/>
      <c r="M1834" s="104"/>
      <c r="N1834" s="104"/>
      <c r="O1834" s="104"/>
      <c r="P1834" s="104"/>
      <c r="Q1834" s="104"/>
      <c r="R1834" s="104"/>
      <c r="S1834" s="104"/>
    </row>
    <row r="1835" spans="4:19">
      <c r="D1835" s="104"/>
      <c r="E1835" s="104"/>
      <c r="F1835" s="104"/>
      <c r="G1835" s="104"/>
      <c r="H1835" s="104"/>
      <c r="I1835" s="104"/>
      <c r="J1835" s="104"/>
      <c r="K1835" s="104"/>
      <c r="L1835" s="104"/>
      <c r="M1835" s="104"/>
      <c r="N1835" s="104"/>
      <c r="O1835" s="104"/>
      <c r="P1835" s="104"/>
      <c r="Q1835" s="104"/>
      <c r="R1835" s="104"/>
      <c r="S1835" s="104"/>
    </row>
    <row r="1836" spans="4:19">
      <c r="D1836" s="104"/>
      <c r="E1836" s="104"/>
      <c r="F1836" s="104"/>
      <c r="G1836" s="104"/>
      <c r="H1836" s="104"/>
      <c r="I1836" s="104"/>
      <c r="J1836" s="104"/>
      <c r="K1836" s="104"/>
      <c r="L1836" s="104"/>
      <c r="M1836" s="104"/>
      <c r="N1836" s="104"/>
      <c r="O1836" s="104"/>
      <c r="P1836" s="104"/>
      <c r="Q1836" s="104"/>
      <c r="R1836" s="104"/>
      <c r="S1836" s="104"/>
    </row>
    <row r="1837" spans="4:19">
      <c r="D1837" s="104"/>
      <c r="E1837" s="104"/>
      <c r="F1837" s="104"/>
      <c r="G1837" s="104"/>
      <c r="H1837" s="104"/>
      <c r="I1837" s="104"/>
      <c r="J1837" s="104"/>
      <c r="K1837" s="104"/>
      <c r="L1837" s="104"/>
      <c r="M1837" s="104"/>
      <c r="N1837" s="104"/>
      <c r="O1837" s="104"/>
      <c r="P1837" s="104"/>
      <c r="Q1837" s="104"/>
      <c r="R1837" s="104"/>
      <c r="S1837" s="104"/>
    </row>
    <row r="1838" spans="4:19">
      <c r="D1838" s="104"/>
      <c r="E1838" s="104"/>
      <c r="F1838" s="104"/>
      <c r="G1838" s="104"/>
      <c r="H1838" s="104"/>
      <c r="I1838" s="104"/>
      <c r="J1838" s="104"/>
      <c r="K1838" s="104"/>
      <c r="L1838" s="104"/>
      <c r="M1838" s="104"/>
      <c r="N1838" s="104"/>
      <c r="O1838" s="104"/>
      <c r="P1838" s="104"/>
      <c r="Q1838" s="104"/>
      <c r="R1838" s="104"/>
      <c r="S1838" s="104"/>
    </row>
    <row r="1839" spans="4:19">
      <c r="D1839" s="104"/>
      <c r="E1839" s="104"/>
      <c r="F1839" s="104"/>
      <c r="G1839" s="104"/>
      <c r="H1839" s="104"/>
      <c r="I1839" s="104"/>
      <c r="J1839" s="104"/>
      <c r="K1839" s="104"/>
      <c r="L1839" s="104"/>
      <c r="M1839" s="104"/>
      <c r="N1839" s="104"/>
      <c r="O1839" s="104"/>
      <c r="P1839" s="104"/>
      <c r="Q1839" s="104"/>
      <c r="R1839" s="104"/>
      <c r="S1839" s="104"/>
    </row>
    <row r="1840" spans="4:19">
      <c r="D1840" s="104"/>
      <c r="E1840" s="104"/>
      <c r="F1840" s="104"/>
      <c r="G1840" s="104"/>
      <c r="H1840" s="104"/>
      <c r="I1840" s="104"/>
      <c r="J1840" s="104"/>
      <c r="K1840" s="104"/>
      <c r="L1840" s="104"/>
      <c r="M1840" s="104"/>
      <c r="N1840" s="104"/>
      <c r="O1840" s="104"/>
      <c r="P1840" s="104"/>
      <c r="Q1840" s="104"/>
      <c r="R1840" s="104"/>
      <c r="S1840" s="104"/>
    </row>
    <row r="1841" spans="4:19">
      <c r="D1841" s="104"/>
      <c r="E1841" s="104"/>
      <c r="F1841" s="104"/>
      <c r="G1841" s="104"/>
      <c r="H1841" s="104"/>
      <c r="I1841" s="104"/>
      <c r="J1841" s="104"/>
      <c r="K1841" s="104"/>
      <c r="L1841" s="104"/>
      <c r="M1841" s="104"/>
      <c r="N1841" s="104"/>
      <c r="O1841" s="104"/>
      <c r="P1841" s="104"/>
      <c r="Q1841" s="104"/>
      <c r="R1841" s="104"/>
      <c r="S1841" s="104"/>
    </row>
    <row r="1842" spans="4:19">
      <c r="D1842" s="104"/>
      <c r="E1842" s="104"/>
      <c r="F1842" s="104"/>
      <c r="G1842" s="104"/>
      <c r="H1842" s="104"/>
      <c r="I1842" s="104"/>
      <c r="J1842" s="104"/>
      <c r="K1842" s="104"/>
      <c r="L1842" s="104"/>
      <c r="M1842" s="104"/>
      <c r="N1842" s="104"/>
      <c r="O1842" s="104"/>
      <c r="P1842" s="104"/>
      <c r="Q1842" s="104"/>
      <c r="R1842" s="104"/>
      <c r="S1842" s="104"/>
    </row>
    <row r="1843" spans="4:19">
      <c r="D1843" s="104"/>
      <c r="E1843" s="104"/>
      <c r="F1843" s="104"/>
      <c r="G1843" s="104"/>
      <c r="H1843" s="104"/>
      <c r="I1843" s="104"/>
      <c r="J1843" s="104"/>
      <c r="K1843" s="104"/>
      <c r="L1843" s="104"/>
      <c r="M1843" s="104"/>
      <c r="N1843" s="104"/>
      <c r="O1843" s="104"/>
      <c r="P1843" s="104"/>
      <c r="Q1843" s="104"/>
      <c r="R1843" s="104"/>
      <c r="S1843" s="104"/>
    </row>
    <row r="1844" spans="4:19">
      <c r="D1844" s="104"/>
      <c r="E1844" s="104"/>
      <c r="F1844" s="104"/>
      <c r="G1844" s="104"/>
      <c r="H1844" s="104"/>
      <c r="I1844" s="104"/>
      <c r="J1844" s="104"/>
      <c r="K1844" s="104"/>
      <c r="L1844" s="104"/>
      <c r="M1844" s="104"/>
      <c r="N1844" s="104"/>
      <c r="O1844" s="104"/>
      <c r="P1844" s="104"/>
      <c r="Q1844" s="104"/>
      <c r="R1844" s="104"/>
      <c r="S1844" s="104"/>
    </row>
    <row r="1845" spans="4:19">
      <c r="D1845" s="104"/>
      <c r="E1845" s="104"/>
      <c r="F1845" s="104"/>
      <c r="G1845" s="104"/>
      <c r="H1845" s="104"/>
      <c r="I1845" s="104"/>
      <c r="J1845" s="104"/>
      <c r="K1845" s="104"/>
      <c r="L1845" s="104"/>
      <c r="M1845" s="104"/>
      <c r="N1845" s="104"/>
      <c r="O1845" s="104"/>
      <c r="P1845" s="104"/>
      <c r="Q1845" s="104"/>
      <c r="R1845" s="104"/>
      <c r="S1845" s="104"/>
    </row>
    <row r="1846" spans="4:19">
      <c r="D1846" s="104"/>
      <c r="E1846" s="104"/>
      <c r="F1846" s="104"/>
      <c r="G1846" s="104"/>
      <c r="H1846" s="104"/>
      <c r="I1846" s="104"/>
      <c r="J1846" s="104"/>
      <c r="K1846" s="104"/>
      <c r="L1846" s="104"/>
      <c r="M1846" s="104"/>
      <c r="N1846" s="104"/>
      <c r="O1846" s="104"/>
      <c r="P1846" s="104"/>
      <c r="Q1846" s="104"/>
      <c r="R1846" s="104"/>
      <c r="S1846" s="104"/>
    </row>
    <row r="1847" spans="4:19">
      <c r="D1847" s="104"/>
      <c r="E1847" s="104"/>
      <c r="F1847" s="104"/>
      <c r="G1847" s="104"/>
      <c r="H1847" s="104"/>
      <c r="I1847" s="104"/>
      <c r="J1847" s="104"/>
      <c r="K1847" s="104"/>
      <c r="L1847" s="104"/>
      <c r="M1847" s="104"/>
      <c r="N1847" s="104"/>
      <c r="O1847" s="104"/>
      <c r="P1847" s="104"/>
      <c r="Q1847" s="104"/>
      <c r="R1847" s="104"/>
      <c r="S1847" s="104"/>
    </row>
    <row r="1848" spans="4:19">
      <c r="D1848" s="104"/>
      <c r="E1848" s="104"/>
      <c r="F1848" s="104"/>
      <c r="G1848" s="104"/>
      <c r="H1848" s="104"/>
      <c r="I1848" s="104"/>
      <c r="J1848" s="104"/>
      <c r="K1848" s="104"/>
      <c r="L1848" s="104"/>
      <c r="M1848" s="104"/>
      <c r="N1848" s="104"/>
      <c r="O1848" s="104"/>
      <c r="P1848" s="104"/>
      <c r="Q1848" s="104"/>
      <c r="R1848" s="104"/>
      <c r="S1848" s="104"/>
    </row>
    <row r="1849" spans="4:19">
      <c r="D1849" s="104"/>
      <c r="E1849" s="104"/>
      <c r="F1849" s="104"/>
      <c r="G1849" s="104"/>
      <c r="H1849" s="104"/>
      <c r="I1849" s="104"/>
      <c r="J1849" s="104"/>
      <c r="K1849" s="104"/>
      <c r="L1849" s="104"/>
      <c r="M1849" s="104"/>
      <c r="N1849" s="104"/>
      <c r="O1849" s="104"/>
      <c r="P1849" s="104"/>
      <c r="Q1849" s="104"/>
      <c r="R1849" s="104"/>
      <c r="S1849" s="104"/>
    </row>
    <row r="1850" spans="4:19">
      <c r="D1850" s="104"/>
      <c r="E1850" s="104"/>
      <c r="F1850" s="104"/>
      <c r="G1850" s="104"/>
      <c r="H1850" s="104"/>
      <c r="I1850" s="104"/>
      <c r="J1850" s="104"/>
      <c r="K1850" s="104"/>
      <c r="L1850" s="104"/>
      <c r="M1850" s="104"/>
      <c r="N1850" s="104"/>
      <c r="O1850" s="104"/>
      <c r="P1850" s="104"/>
      <c r="Q1850" s="104"/>
      <c r="R1850" s="104"/>
      <c r="S1850" s="104"/>
    </row>
    <row r="1851" spans="4:19">
      <c r="D1851" s="104"/>
      <c r="E1851" s="104"/>
      <c r="F1851" s="104"/>
      <c r="G1851" s="104"/>
      <c r="H1851" s="104"/>
      <c r="I1851" s="104"/>
      <c r="J1851" s="104"/>
      <c r="K1851" s="104"/>
      <c r="L1851" s="104"/>
      <c r="M1851" s="104"/>
      <c r="N1851" s="104"/>
      <c r="O1851" s="104"/>
      <c r="P1851" s="104"/>
      <c r="Q1851" s="104"/>
      <c r="R1851" s="104"/>
      <c r="S1851" s="104"/>
    </row>
    <row r="1852" spans="4:19">
      <c r="D1852" s="104"/>
      <c r="E1852" s="104"/>
      <c r="F1852" s="104"/>
      <c r="G1852" s="104"/>
      <c r="H1852" s="104"/>
      <c r="I1852" s="104"/>
      <c r="J1852" s="104"/>
      <c r="K1852" s="104"/>
      <c r="L1852" s="104"/>
      <c r="M1852" s="104"/>
      <c r="N1852" s="104"/>
      <c r="O1852" s="104"/>
      <c r="P1852" s="104"/>
      <c r="Q1852" s="104"/>
      <c r="R1852" s="104"/>
      <c r="S1852" s="104"/>
    </row>
    <row r="1853" spans="4:19">
      <c r="D1853" s="104"/>
      <c r="E1853" s="104"/>
      <c r="F1853" s="104"/>
      <c r="G1853" s="104"/>
      <c r="H1853" s="104"/>
      <c r="I1853" s="104"/>
      <c r="J1853" s="104"/>
      <c r="K1853" s="104"/>
      <c r="L1853" s="104"/>
      <c r="M1853" s="104"/>
      <c r="N1853" s="104"/>
      <c r="O1853" s="104"/>
      <c r="P1853" s="104"/>
      <c r="Q1853" s="104"/>
      <c r="R1853" s="104"/>
      <c r="S1853" s="104"/>
    </row>
    <row r="1854" spans="4:19">
      <c r="D1854" s="104"/>
      <c r="E1854" s="104"/>
      <c r="F1854" s="104"/>
      <c r="G1854" s="104"/>
      <c r="H1854" s="104"/>
      <c r="I1854" s="104"/>
      <c r="J1854" s="104"/>
      <c r="K1854" s="104"/>
      <c r="L1854" s="104"/>
      <c r="M1854" s="104"/>
      <c r="N1854" s="104"/>
      <c r="O1854" s="104"/>
      <c r="P1854" s="104"/>
      <c r="Q1854" s="104"/>
      <c r="R1854" s="104"/>
      <c r="S1854" s="104"/>
    </row>
    <row r="1855" spans="4:19">
      <c r="D1855" s="104"/>
      <c r="E1855" s="104"/>
      <c r="F1855" s="104"/>
      <c r="G1855" s="104"/>
      <c r="H1855" s="104"/>
      <c r="I1855" s="104"/>
      <c r="J1855" s="104"/>
      <c r="K1855" s="104"/>
      <c r="L1855" s="104"/>
      <c r="M1855" s="104"/>
      <c r="N1855" s="104"/>
      <c r="O1855" s="104"/>
      <c r="P1855" s="104"/>
      <c r="Q1855" s="104"/>
      <c r="R1855" s="104"/>
      <c r="S1855" s="104"/>
    </row>
    <row r="1856" spans="4:19">
      <c r="D1856" s="104"/>
      <c r="E1856" s="104"/>
      <c r="F1856" s="104"/>
      <c r="G1856" s="104"/>
      <c r="H1856" s="104"/>
      <c r="I1856" s="104"/>
      <c r="J1856" s="104"/>
      <c r="K1856" s="104"/>
      <c r="L1856" s="104"/>
      <c r="M1856" s="104"/>
      <c r="N1856" s="104"/>
      <c r="O1856" s="104"/>
      <c r="P1856" s="104"/>
      <c r="Q1856" s="104"/>
      <c r="R1856" s="104"/>
      <c r="S1856" s="104"/>
    </row>
    <row r="1857" spans="4:19">
      <c r="D1857" s="104"/>
      <c r="E1857" s="104"/>
      <c r="F1857" s="104"/>
      <c r="G1857" s="104"/>
      <c r="H1857" s="104"/>
      <c r="I1857" s="104"/>
      <c r="J1857" s="104"/>
      <c r="K1857" s="104"/>
      <c r="L1857" s="104"/>
      <c r="M1857" s="104"/>
      <c r="N1857" s="104"/>
      <c r="O1857" s="104"/>
      <c r="P1857" s="104"/>
      <c r="Q1857" s="104"/>
      <c r="R1857" s="104"/>
      <c r="S1857" s="104"/>
    </row>
    <row r="1858" spans="4:19">
      <c r="D1858" s="104"/>
      <c r="E1858" s="104"/>
      <c r="F1858" s="104"/>
      <c r="G1858" s="104"/>
      <c r="H1858" s="104"/>
      <c r="I1858" s="104"/>
      <c r="J1858" s="104"/>
      <c r="K1858" s="104"/>
      <c r="L1858" s="104"/>
      <c r="M1858" s="104"/>
      <c r="N1858" s="104"/>
      <c r="O1858" s="104"/>
      <c r="P1858" s="104"/>
      <c r="Q1858" s="104"/>
      <c r="R1858" s="104"/>
      <c r="S1858" s="104"/>
    </row>
    <row r="1859" spans="4:19">
      <c r="D1859" s="104"/>
      <c r="E1859" s="104"/>
      <c r="F1859" s="104"/>
      <c r="G1859" s="104"/>
      <c r="H1859" s="104"/>
      <c r="I1859" s="104"/>
      <c r="J1859" s="104"/>
      <c r="K1859" s="104"/>
      <c r="L1859" s="104"/>
      <c r="M1859" s="104"/>
      <c r="N1859" s="104"/>
      <c r="O1859" s="104"/>
      <c r="P1859" s="104"/>
      <c r="Q1859" s="104"/>
      <c r="R1859" s="104"/>
      <c r="S1859" s="104"/>
    </row>
    <row r="1860" spans="4:19">
      <c r="D1860" s="104"/>
      <c r="E1860" s="104"/>
      <c r="F1860" s="104"/>
      <c r="G1860" s="104"/>
      <c r="H1860" s="104"/>
      <c r="I1860" s="104"/>
      <c r="J1860" s="104"/>
      <c r="K1860" s="104"/>
      <c r="L1860" s="104"/>
      <c r="M1860" s="104"/>
      <c r="N1860" s="104"/>
      <c r="O1860" s="104"/>
      <c r="P1860" s="104"/>
      <c r="Q1860" s="104"/>
      <c r="R1860" s="104"/>
      <c r="S1860" s="104"/>
    </row>
    <row r="1861" spans="4:19">
      <c r="D1861" s="104"/>
      <c r="E1861" s="104"/>
      <c r="F1861" s="104"/>
      <c r="G1861" s="104"/>
      <c r="H1861" s="104"/>
      <c r="I1861" s="104"/>
      <c r="J1861" s="104"/>
      <c r="K1861" s="104"/>
      <c r="L1861" s="104"/>
      <c r="M1861" s="104"/>
      <c r="N1861" s="104"/>
      <c r="O1861" s="104"/>
      <c r="P1861" s="104"/>
      <c r="Q1861" s="104"/>
      <c r="R1861" s="104"/>
      <c r="S1861" s="104"/>
    </row>
    <row r="1862" spans="4:19">
      <c r="D1862" s="104"/>
      <c r="E1862" s="104"/>
      <c r="F1862" s="104"/>
      <c r="G1862" s="104"/>
      <c r="H1862" s="104"/>
      <c r="I1862" s="104"/>
      <c r="J1862" s="104"/>
      <c r="K1862" s="104"/>
      <c r="L1862" s="104"/>
      <c r="M1862" s="104"/>
      <c r="N1862" s="104"/>
      <c r="O1862" s="104"/>
      <c r="P1862" s="104"/>
      <c r="Q1862" s="104"/>
      <c r="R1862" s="104"/>
      <c r="S1862" s="104"/>
    </row>
    <row r="1863" spans="4:19">
      <c r="D1863" s="104"/>
      <c r="E1863" s="104"/>
      <c r="F1863" s="104"/>
      <c r="G1863" s="104"/>
      <c r="H1863" s="104"/>
      <c r="I1863" s="104"/>
      <c r="J1863" s="104"/>
      <c r="K1863" s="104"/>
      <c r="L1863" s="104"/>
      <c r="M1863" s="104"/>
      <c r="N1863" s="104"/>
      <c r="O1863" s="104"/>
      <c r="P1863" s="104"/>
      <c r="Q1863" s="104"/>
      <c r="R1863" s="104"/>
      <c r="S1863" s="104"/>
    </row>
    <row r="1864" spans="4:19">
      <c r="D1864" s="104"/>
      <c r="E1864" s="104"/>
      <c r="F1864" s="104"/>
      <c r="G1864" s="104"/>
      <c r="H1864" s="104"/>
      <c r="I1864" s="104"/>
      <c r="J1864" s="104"/>
      <c r="K1864" s="104"/>
      <c r="L1864" s="104"/>
      <c r="M1864" s="104"/>
      <c r="N1864" s="104"/>
      <c r="O1864" s="104"/>
      <c r="P1864" s="104"/>
      <c r="Q1864" s="104"/>
      <c r="R1864" s="104"/>
      <c r="S1864" s="104"/>
    </row>
    <row r="1865" spans="4:19">
      <c r="D1865" s="104"/>
      <c r="E1865" s="104"/>
      <c r="F1865" s="104"/>
      <c r="G1865" s="104"/>
      <c r="H1865" s="104"/>
      <c r="I1865" s="104"/>
      <c r="J1865" s="104"/>
      <c r="K1865" s="104"/>
      <c r="L1865" s="104"/>
      <c r="M1865" s="104"/>
      <c r="N1865" s="104"/>
      <c r="O1865" s="104"/>
      <c r="P1865" s="104"/>
      <c r="Q1865" s="104"/>
      <c r="R1865" s="104"/>
      <c r="S1865" s="104"/>
    </row>
    <row r="1866" spans="4:19">
      <c r="D1866" s="104"/>
      <c r="E1866" s="104"/>
      <c r="F1866" s="104"/>
      <c r="G1866" s="104"/>
      <c r="H1866" s="104"/>
      <c r="I1866" s="104"/>
      <c r="J1866" s="104"/>
      <c r="K1866" s="104"/>
      <c r="L1866" s="104"/>
      <c r="M1866" s="104"/>
      <c r="N1866" s="104"/>
      <c r="O1866" s="104"/>
      <c r="P1866" s="104"/>
      <c r="Q1866" s="104"/>
      <c r="R1866" s="104"/>
      <c r="S1866" s="104"/>
    </row>
    <row r="1867" spans="4:19">
      <c r="D1867" s="104"/>
      <c r="E1867" s="104"/>
      <c r="F1867" s="104"/>
      <c r="G1867" s="104"/>
      <c r="H1867" s="104"/>
      <c r="I1867" s="104"/>
      <c r="J1867" s="104"/>
      <c r="K1867" s="104"/>
      <c r="L1867" s="104"/>
      <c r="M1867" s="104"/>
      <c r="N1867" s="104"/>
      <c r="O1867" s="104"/>
      <c r="P1867" s="104"/>
      <c r="Q1867" s="104"/>
      <c r="R1867" s="104"/>
      <c r="S1867" s="104"/>
    </row>
    <row r="1868" spans="4:19">
      <c r="D1868" s="104"/>
      <c r="E1868" s="104"/>
      <c r="F1868" s="104"/>
      <c r="G1868" s="104"/>
      <c r="H1868" s="104"/>
      <c r="I1868" s="104"/>
      <c r="J1868" s="104"/>
      <c r="K1868" s="104"/>
      <c r="L1868" s="104"/>
      <c r="M1868" s="104"/>
      <c r="N1868" s="104"/>
      <c r="O1868" s="104"/>
      <c r="P1868" s="104"/>
      <c r="Q1868" s="104"/>
      <c r="R1868" s="104"/>
      <c r="S1868" s="104"/>
    </row>
    <row r="1869" spans="4:19">
      <c r="D1869" s="104"/>
      <c r="E1869" s="104"/>
      <c r="F1869" s="104"/>
      <c r="G1869" s="104"/>
      <c r="H1869" s="104"/>
      <c r="I1869" s="104"/>
      <c r="J1869" s="104"/>
      <c r="K1869" s="104"/>
      <c r="L1869" s="104"/>
      <c r="M1869" s="104"/>
      <c r="N1869" s="104"/>
      <c r="O1869" s="104"/>
      <c r="P1869" s="104"/>
      <c r="Q1869" s="104"/>
      <c r="R1869" s="104"/>
      <c r="S1869" s="104"/>
    </row>
    <row r="1870" spans="4:19">
      <c r="D1870" s="104"/>
      <c r="E1870" s="104"/>
      <c r="F1870" s="104"/>
      <c r="G1870" s="104"/>
      <c r="H1870" s="104"/>
      <c r="I1870" s="104"/>
      <c r="J1870" s="104"/>
      <c r="K1870" s="104"/>
      <c r="L1870" s="104"/>
      <c r="M1870" s="104"/>
      <c r="N1870" s="104"/>
      <c r="O1870" s="104"/>
      <c r="P1870" s="104"/>
      <c r="Q1870" s="104"/>
      <c r="R1870" s="104"/>
      <c r="S1870" s="104"/>
    </row>
    <row r="1871" spans="4:19">
      <c r="D1871" s="104"/>
      <c r="E1871" s="104"/>
      <c r="F1871" s="104"/>
      <c r="G1871" s="104"/>
      <c r="H1871" s="104"/>
      <c r="I1871" s="104"/>
      <c r="J1871" s="104"/>
      <c r="K1871" s="104"/>
      <c r="L1871" s="104"/>
      <c r="M1871" s="104"/>
      <c r="N1871" s="104"/>
      <c r="O1871" s="104"/>
      <c r="P1871" s="104"/>
      <c r="Q1871" s="104"/>
      <c r="R1871" s="104"/>
      <c r="S1871" s="104"/>
    </row>
    <row r="1872" spans="4:19">
      <c r="D1872" s="104"/>
      <c r="E1872" s="104"/>
      <c r="F1872" s="104"/>
      <c r="G1872" s="104"/>
      <c r="H1872" s="104"/>
      <c r="I1872" s="104"/>
      <c r="J1872" s="104"/>
      <c r="K1872" s="104"/>
      <c r="L1872" s="104"/>
      <c r="M1872" s="104"/>
      <c r="N1872" s="104"/>
      <c r="O1872" s="104"/>
      <c r="P1872" s="104"/>
      <c r="Q1872" s="104"/>
      <c r="R1872" s="104"/>
      <c r="S1872" s="104"/>
    </row>
    <row r="1873" spans="4:19">
      <c r="D1873" s="104"/>
      <c r="E1873" s="104"/>
      <c r="F1873" s="104"/>
      <c r="G1873" s="104"/>
      <c r="H1873" s="104"/>
      <c r="I1873" s="104"/>
      <c r="J1873" s="104"/>
      <c r="K1873" s="104"/>
      <c r="L1873" s="104"/>
      <c r="M1873" s="104"/>
      <c r="N1873" s="104"/>
      <c r="O1873" s="104"/>
      <c r="P1873" s="104"/>
      <c r="Q1873" s="104"/>
      <c r="R1873" s="104"/>
      <c r="S1873" s="104"/>
    </row>
    <row r="1874" spans="4:19">
      <c r="D1874" s="104"/>
      <c r="E1874" s="104"/>
      <c r="F1874" s="104"/>
      <c r="G1874" s="104"/>
      <c r="H1874" s="104"/>
      <c r="I1874" s="104"/>
      <c r="J1874" s="104"/>
      <c r="K1874" s="104"/>
      <c r="L1874" s="104"/>
      <c r="M1874" s="104"/>
      <c r="N1874" s="104"/>
      <c r="O1874" s="104"/>
      <c r="P1874" s="104"/>
      <c r="Q1874" s="104"/>
      <c r="R1874" s="104"/>
      <c r="S1874" s="104"/>
    </row>
    <row r="1875" spans="4:19">
      <c r="D1875" s="104"/>
      <c r="E1875" s="104"/>
      <c r="F1875" s="104"/>
      <c r="G1875" s="104"/>
      <c r="H1875" s="104"/>
      <c r="I1875" s="104"/>
      <c r="J1875" s="104"/>
      <c r="K1875" s="104"/>
      <c r="L1875" s="104"/>
      <c r="M1875" s="104"/>
      <c r="N1875" s="104"/>
      <c r="O1875" s="104"/>
      <c r="P1875" s="104"/>
      <c r="Q1875" s="104"/>
      <c r="R1875" s="104"/>
      <c r="S1875" s="104"/>
    </row>
    <row r="1876" spans="4:19">
      <c r="D1876" s="104"/>
      <c r="E1876" s="104"/>
      <c r="F1876" s="104"/>
      <c r="G1876" s="104"/>
      <c r="H1876" s="104"/>
      <c r="I1876" s="104"/>
      <c r="J1876" s="104"/>
      <c r="K1876" s="104"/>
      <c r="L1876" s="104"/>
      <c r="M1876" s="104"/>
      <c r="N1876" s="104"/>
      <c r="O1876" s="104"/>
      <c r="P1876" s="104"/>
      <c r="Q1876" s="104"/>
      <c r="R1876" s="104"/>
      <c r="S1876" s="104"/>
    </row>
    <row r="1877" spans="4:19">
      <c r="D1877" s="104"/>
      <c r="E1877" s="104"/>
      <c r="F1877" s="104"/>
      <c r="G1877" s="104"/>
      <c r="H1877" s="104"/>
      <c r="I1877" s="104"/>
      <c r="J1877" s="104"/>
      <c r="K1877" s="104"/>
      <c r="L1877" s="104"/>
      <c r="M1877" s="104"/>
      <c r="N1877" s="104"/>
      <c r="O1877" s="104"/>
      <c r="P1877" s="104"/>
      <c r="Q1877" s="104"/>
      <c r="R1877" s="104"/>
      <c r="S1877" s="104"/>
    </row>
    <row r="1878" spans="4:19">
      <c r="D1878" s="104"/>
      <c r="E1878" s="104"/>
      <c r="F1878" s="104"/>
      <c r="G1878" s="104"/>
      <c r="H1878" s="104"/>
      <c r="I1878" s="104"/>
      <c r="J1878" s="104"/>
      <c r="K1878" s="104"/>
      <c r="L1878" s="104"/>
      <c r="M1878" s="104"/>
      <c r="N1878" s="104"/>
      <c r="O1878" s="104"/>
      <c r="P1878" s="104"/>
      <c r="Q1878" s="104"/>
      <c r="R1878" s="104"/>
      <c r="S1878" s="104"/>
    </row>
    <row r="1879" spans="4:19">
      <c r="D1879" s="104"/>
      <c r="E1879" s="104"/>
      <c r="F1879" s="104"/>
      <c r="G1879" s="104"/>
      <c r="H1879" s="104"/>
      <c r="I1879" s="104"/>
      <c r="J1879" s="104"/>
      <c r="K1879" s="104"/>
      <c r="L1879" s="104"/>
      <c r="M1879" s="104"/>
      <c r="N1879" s="104"/>
      <c r="O1879" s="104"/>
      <c r="P1879" s="104"/>
      <c r="Q1879" s="104"/>
      <c r="R1879" s="104"/>
      <c r="S1879" s="104"/>
    </row>
    <row r="1880" spans="4:19">
      <c r="D1880" s="104"/>
      <c r="E1880" s="104"/>
      <c r="F1880" s="104"/>
      <c r="G1880" s="104"/>
      <c r="H1880" s="104"/>
      <c r="I1880" s="104"/>
      <c r="J1880" s="104"/>
      <c r="K1880" s="104"/>
      <c r="L1880" s="104"/>
      <c r="M1880" s="104"/>
      <c r="N1880" s="104"/>
      <c r="O1880" s="104"/>
      <c r="P1880" s="104"/>
      <c r="Q1880" s="104"/>
      <c r="R1880" s="104"/>
      <c r="S1880" s="104"/>
    </row>
    <row r="1881" spans="4:19">
      <c r="D1881" s="104"/>
      <c r="E1881" s="104"/>
      <c r="F1881" s="104"/>
      <c r="G1881" s="104"/>
      <c r="H1881" s="104"/>
      <c r="I1881" s="104"/>
      <c r="J1881" s="104"/>
      <c r="K1881" s="104"/>
      <c r="L1881" s="104"/>
      <c r="M1881" s="104"/>
      <c r="N1881" s="104"/>
      <c r="O1881" s="104"/>
      <c r="P1881" s="104"/>
      <c r="Q1881" s="104"/>
      <c r="R1881" s="104"/>
      <c r="S1881" s="104"/>
    </row>
    <row r="1882" spans="4:19">
      <c r="D1882" s="104"/>
      <c r="E1882" s="104"/>
      <c r="F1882" s="104"/>
      <c r="G1882" s="104"/>
      <c r="H1882" s="104"/>
      <c r="I1882" s="104"/>
      <c r="J1882" s="104"/>
      <c r="K1882" s="104"/>
      <c r="L1882" s="104"/>
      <c r="M1882" s="104"/>
      <c r="N1882" s="104"/>
      <c r="O1882" s="104"/>
      <c r="P1882" s="104"/>
      <c r="Q1882" s="104"/>
      <c r="R1882" s="104"/>
      <c r="S1882" s="104"/>
    </row>
    <row r="1883" spans="4:19">
      <c r="D1883" s="104"/>
      <c r="E1883" s="104"/>
      <c r="F1883" s="104"/>
      <c r="G1883" s="104"/>
      <c r="H1883" s="104"/>
      <c r="I1883" s="104"/>
      <c r="J1883" s="104"/>
      <c r="K1883" s="104"/>
      <c r="L1883" s="104"/>
      <c r="M1883" s="104"/>
      <c r="N1883" s="104"/>
      <c r="O1883" s="104"/>
      <c r="P1883" s="104"/>
      <c r="Q1883" s="104"/>
      <c r="R1883" s="104"/>
      <c r="S1883" s="104"/>
    </row>
    <row r="1884" spans="4:19">
      <c r="D1884" s="104"/>
      <c r="E1884" s="104"/>
      <c r="F1884" s="104"/>
      <c r="G1884" s="104"/>
      <c r="H1884" s="104"/>
      <c r="I1884" s="104"/>
      <c r="J1884" s="104"/>
      <c r="K1884" s="104"/>
      <c r="L1884" s="104"/>
      <c r="M1884" s="104"/>
      <c r="N1884" s="104"/>
      <c r="O1884" s="104"/>
      <c r="P1884" s="104"/>
      <c r="Q1884" s="104"/>
      <c r="R1884" s="104"/>
      <c r="S1884" s="104"/>
    </row>
    <row r="1885" spans="4:19">
      <c r="D1885" s="104"/>
      <c r="E1885" s="104"/>
      <c r="F1885" s="104"/>
      <c r="G1885" s="104"/>
      <c r="H1885" s="104"/>
      <c r="I1885" s="104"/>
      <c r="J1885" s="104"/>
      <c r="K1885" s="104"/>
      <c r="L1885" s="104"/>
      <c r="M1885" s="104"/>
      <c r="N1885" s="104"/>
      <c r="O1885" s="104"/>
      <c r="P1885" s="104"/>
      <c r="Q1885" s="104"/>
      <c r="R1885" s="104"/>
      <c r="S1885" s="104"/>
    </row>
    <row r="1886" spans="4:19">
      <c r="D1886" s="104"/>
      <c r="E1886" s="104"/>
      <c r="F1886" s="104"/>
      <c r="G1886" s="104"/>
      <c r="H1886" s="104"/>
      <c r="I1886" s="104"/>
      <c r="J1886" s="104"/>
      <c r="K1886" s="104"/>
      <c r="L1886" s="104"/>
      <c r="M1886" s="104"/>
      <c r="N1886" s="104"/>
      <c r="O1886" s="104"/>
      <c r="P1886" s="104"/>
      <c r="Q1886" s="104"/>
      <c r="R1886" s="104"/>
      <c r="S1886" s="104"/>
    </row>
    <row r="1887" spans="4:19">
      <c r="D1887" s="104"/>
      <c r="E1887" s="104"/>
      <c r="F1887" s="104"/>
      <c r="G1887" s="104"/>
      <c r="H1887" s="104"/>
      <c r="I1887" s="104"/>
      <c r="J1887" s="104"/>
      <c r="K1887" s="104"/>
      <c r="L1887" s="104"/>
      <c r="M1887" s="104"/>
      <c r="N1887" s="104"/>
      <c r="O1887" s="104"/>
      <c r="P1887" s="104"/>
      <c r="Q1887" s="104"/>
      <c r="R1887" s="104"/>
      <c r="S1887" s="104"/>
    </row>
    <row r="1888" spans="4:19">
      <c r="D1888" s="104"/>
      <c r="E1888" s="104"/>
      <c r="F1888" s="104"/>
      <c r="G1888" s="104"/>
      <c r="H1888" s="104"/>
      <c r="I1888" s="104"/>
      <c r="J1888" s="104"/>
      <c r="K1888" s="104"/>
      <c r="L1888" s="104"/>
      <c r="M1888" s="104"/>
      <c r="N1888" s="104"/>
      <c r="O1888" s="104"/>
      <c r="P1888" s="104"/>
      <c r="Q1888" s="104"/>
      <c r="R1888" s="104"/>
      <c r="S1888" s="104"/>
    </row>
    <row r="1889" spans="4:19">
      <c r="D1889" s="104"/>
      <c r="E1889" s="104"/>
      <c r="F1889" s="104"/>
      <c r="G1889" s="104"/>
      <c r="H1889" s="104"/>
      <c r="I1889" s="104"/>
      <c r="J1889" s="104"/>
      <c r="K1889" s="104"/>
      <c r="L1889" s="104"/>
      <c r="M1889" s="104"/>
      <c r="N1889" s="104"/>
      <c r="O1889" s="104"/>
      <c r="P1889" s="104"/>
      <c r="Q1889" s="104"/>
      <c r="R1889" s="104"/>
      <c r="S1889" s="104"/>
    </row>
    <row r="1890" spans="4:19">
      <c r="D1890" s="104"/>
      <c r="E1890" s="104"/>
      <c r="F1890" s="104"/>
      <c r="G1890" s="104"/>
      <c r="H1890" s="104"/>
      <c r="I1890" s="104"/>
      <c r="J1890" s="104"/>
      <c r="K1890" s="104"/>
      <c r="L1890" s="104"/>
      <c r="M1890" s="104"/>
      <c r="N1890" s="104"/>
      <c r="O1890" s="104"/>
      <c r="P1890" s="104"/>
      <c r="Q1890" s="104"/>
      <c r="R1890" s="104"/>
      <c r="S1890" s="104"/>
    </row>
    <row r="1891" spans="4:19">
      <c r="D1891" s="104"/>
      <c r="E1891" s="104"/>
      <c r="F1891" s="104"/>
      <c r="G1891" s="104"/>
      <c r="H1891" s="104"/>
      <c r="I1891" s="104"/>
      <c r="J1891" s="104"/>
      <c r="K1891" s="104"/>
      <c r="L1891" s="104"/>
      <c r="M1891" s="104"/>
      <c r="N1891" s="104"/>
      <c r="O1891" s="104"/>
      <c r="P1891" s="104"/>
      <c r="Q1891" s="104"/>
      <c r="R1891" s="104"/>
      <c r="S1891" s="104"/>
    </row>
    <row r="1892" spans="4:19">
      <c r="D1892" s="104"/>
      <c r="E1892" s="104"/>
      <c r="F1892" s="104"/>
      <c r="G1892" s="104"/>
      <c r="H1892" s="104"/>
      <c r="I1892" s="104"/>
      <c r="J1892" s="104"/>
      <c r="K1892" s="104"/>
      <c r="L1892" s="104"/>
      <c r="M1892" s="104"/>
      <c r="N1892" s="104"/>
      <c r="O1892" s="104"/>
      <c r="P1892" s="104"/>
      <c r="Q1892" s="104"/>
      <c r="R1892" s="104"/>
      <c r="S1892" s="104"/>
    </row>
    <row r="1893" spans="4:19">
      <c r="D1893" s="104"/>
      <c r="E1893" s="104"/>
      <c r="F1893" s="104"/>
      <c r="G1893" s="104"/>
      <c r="H1893" s="104"/>
      <c r="I1893" s="104"/>
      <c r="J1893" s="104"/>
      <c r="K1893" s="104"/>
      <c r="L1893" s="104"/>
      <c r="M1893" s="104"/>
      <c r="N1893" s="104"/>
      <c r="O1893" s="104"/>
      <c r="P1893" s="104"/>
      <c r="Q1893" s="104"/>
      <c r="R1893" s="104"/>
      <c r="S1893" s="104"/>
    </row>
    <row r="1894" spans="4:19">
      <c r="D1894" s="104"/>
      <c r="E1894" s="104"/>
      <c r="F1894" s="104"/>
      <c r="G1894" s="104"/>
      <c r="H1894" s="104"/>
      <c r="I1894" s="104"/>
      <c r="J1894" s="104"/>
      <c r="K1894" s="104"/>
      <c r="L1894" s="104"/>
      <c r="M1894" s="104"/>
      <c r="N1894" s="104"/>
      <c r="O1894" s="104"/>
      <c r="P1894" s="104"/>
      <c r="Q1894" s="104"/>
      <c r="R1894" s="104"/>
      <c r="S1894" s="104"/>
    </row>
    <row r="1895" spans="4:19">
      <c r="D1895" s="104"/>
      <c r="E1895" s="104"/>
      <c r="F1895" s="104"/>
      <c r="G1895" s="104"/>
      <c r="H1895" s="104"/>
      <c r="I1895" s="104"/>
      <c r="J1895" s="104"/>
      <c r="K1895" s="104"/>
      <c r="L1895" s="104"/>
      <c r="M1895" s="104"/>
      <c r="N1895" s="104"/>
      <c r="O1895" s="104"/>
      <c r="P1895" s="104"/>
      <c r="Q1895" s="104"/>
      <c r="R1895" s="104"/>
      <c r="S1895" s="104"/>
    </row>
    <row r="1896" spans="4:19">
      <c r="D1896" s="104"/>
      <c r="E1896" s="104"/>
      <c r="F1896" s="104"/>
      <c r="G1896" s="104"/>
      <c r="H1896" s="104"/>
      <c r="I1896" s="104"/>
      <c r="J1896" s="104"/>
      <c r="K1896" s="104"/>
      <c r="L1896" s="104"/>
      <c r="M1896" s="104"/>
      <c r="N1896" s="104"/>
      <c r="O1896" s="104"/>
      <c r="P1896" s="104"/>
      <c r="Q1896" s="104"/>
      <c r="R1896" s="104"/>
      <c r="S1896" s="104"/>
    </row>
    <row r="1897" spans="4:19">
      <c r="D1897" s="104"/>
      <c r="E1897" s="104"/>
      <c r="F1897" s="104"/>
      <c r="G1897" s="104"/>
      <c r="H1897" s="104"/>
      <c r="I1897" s="104"/>
      <c r="J1897" s="104"/>
      <c r="K1897" s="104"/>
      <c r="L1897" s="104"/>
      <c r="M1897" s="104"/>
      <c r="N1897" s="104"/>
      <c r="O1897" s="104"/>
      <c r="P1897" s="104"/>
      <c r="Q1897" s="104"/>
      <c r="R1897" s="104"/>
      <c r="S1897" s="104"/>
    </row>
    <row r="1898" spans="4:19">
      <c r="D1898" s="104"/>
      <c r="E1898" s="104"/>
      <c r="F1898" s="104"/>
      <c r="G1898" s="104"/>
      <c r="H1898" s="104"/>
      <c r="I1898" s="104"/>
      <c r="J1898" s="104"/>
      <c r="K1898" s="104"/>
      <c r="L1898" s="104"/>
      <c r="M1898" s="104"/>
      <c r="N1898" s="104"/>
      <c r="O1898" s="104"/>
      <c r="P1898" s="104"/>
      <c r="Q1898" s="104"/>
      <c r="R1898" s="104"/>
      <c r="S1898" s="104"/>
    </row>
    <row r="1899" spans="4:19">
      <c r="D1899" s="104"/>
      <c r="E1899" s="104"/>
      <c r="F1899" s="104"/>
      <c r="G1899" s="104"/>
      <c r="H1899" s="104"/>
      <c r="I1899" s="104"/>
      <c r="J1899" s="104"/>
      <c r="K1899" s="104"/>
      <c r="L1899" s="104"/>
      <c r="M1899" s="104"/>
      <c r="N1899" s="104"/>
      <c r="O1899" s="104"/>
      <c r="P1899" s="104"/>
      <c r="Q1899" s="104"/>
      <c r="R1899" s="104"/>
      <c r="S1899" s="104"/>
    </row>
    <row r="1900" spans="4:19">
      <c r="D1900" s="104"/>
      <c r="E1900" s="104"/>
      <c r="F1900" s="104"/>
      <c r="G1900" s="104"/>
      <c r="H1900" s="104"/>
      <c r="I1900" s="104"/>
      <c r="J1900" s="104"/>
      <c r="K1900" s="104"/>
      <c r="L1900" s="104"/>
      <c r="M1900" s="104"/>
      <c r="N1900" s="104"/>
      <c r="O1900" s="104"/>
      <c r="P1900" s="104"/>
      <c r="Q1900" s="104"/>
      <c r="R1900" s="104"/>
      <c r="S1900" s="104"/>
    </row>
    <row r="1901" spans="4:19">
      <c r="D1901" s="104"/>
      <c r="E1901" s="104"/>
      <c r="F1901" s="104"/>
      <c r="G1901" s="104"/>
      <c r="H1901" s="104"/>
      <c r="I1901" s="104"/>
      <c r="J1901" s="104"/>
      <c r="K1901" s="104"/>
      <c r="L1901" s="104"/>
      <c r="M1901" s="104"/>
      <c r="N1901" s="104"/>
      <c r="O1901" s="104"/>
      <c r="P1901" s="104"/>
      <c r="Q1901" s="104"/>
      <c r="R1901" s="104"/>
      <c r="S1901" s="104"/>
    </row>
    <row r="1902" spans="4:19">
      <c r="D1902" s="104"/>
      <c r="E1902" s="104"/>
      <c r="F1902" s="104"/>
      <c r="G1902" s="104"/>
      <c r="H1902" s="104"/>
      <c r="I1902" s="104"/>
      <c r="J1902" s="104"/>
      <c r="K1902" s="104"/>
      <c r="L1902" s="104"/>
      <c r="M1902" s="104"/>
      <c r="N1902" s="104"/>
      <c r="O1902" s="104"/>
      <c r="P1902" s="104"/>
      <c r="Q1902" s="104"/>
      <c r="R1902" s="104"/>
      <c r="S1902" s="104"/>
    </row>
    <row r="1903" spans="4:19">
      <c r="D1903" s="104"/>
      <c r="E1903" s="104"/>
      <c r="F1903" s="104"/>
      <c r="G1903" s="104"/>
      <c r="H1903" s="104"/>
      <c r="I1903" s="104"/>
      <c r="J1903" s="104"/>
      <c r="K1903" s="104"/>
      <c r="L1903" s="104"/>
      <c r="M1903" s="104"/>
      <c r="N1903" s="104"/>
      <c r="O1903" s="104"/>
      <c r="P1903" s="104"/>
      <c r="Q1903" s="104"/>
      <c r="R1903" s="104"/>
      <c r="S1903" s="104"/>
    </row>
    <row r="1904" spans="4:19">
      <c r="D1904" s="104"/>
      <c r="E1904" s="104"/>
      <c r="F1904" s="104"/>
      <c r="G1904" s="104"/>
      <c r="H1904" s="104"/>
      <c r="I1904" s="104"/>
      <c r="J1904" s="104"/>
      <c r="K1904" s="104"/>
      <c r="L1904" s="104"/>
      <c r="M1904" s="104"/>
      <c r="N1904" s="104"/>
      <c r="O1904" s="104"/>
      <c r="P1904" s="104"/>
      <c r="Q1904" s="104"/>
      <c r="R1904" s="104"/>
      <c r="S1904" s="104"/>
    </row>
    <row r="1905" spans="4:19">
      <c r="D1905" s="104"/>
      <c r="E1905" s="104"/>
      <c r="F1905" s="104"/>
      <c r="G1905" s="104"/>
      <c r="H1905" s="104"/>
      <c r="I1905" s="104"/>
      <c r="J1905" s="104"/>
      <c r="K1905" s="104"/>
      <c r="L1905" s="104"/>
      <c r="M1905" s="104"/>
      <c r="N1905" s="104"/>
      <c r="O1905" s="104"/>
      <c r="P1905" s="104"/>
      <c r="Q1905" s="104"/>
      <c r="R1905" s="104"/>
      <c r="S1905" s="104"/>
    </row>
    <row r="1906" spans="4:19">
      <c r="D1906" s="104"/>
      <c r="E1906" s="104"/>
      <c r="F1906" s="104"/>
      <c r="G1906" s="104"/>
      <c r="H1906" s="104"/>
      <c r="I1906" s="104"/>
      <c r="J1906" s="104"/>
      <c r="K1906" s="104"/>
      <c r="L1906" s="104"/>
      <c r="M1906" s="104"/>
      <c r="N1906" s="104"/>
      <c r="O1906" s="104"/>
      <c r="P1906" s="104"/>
      <c r="Q1906" s="104"/>
      <c r="R1906" s="104"/>
      <c r="S1906" s="104"/>
    </row>
    <row r="1907" spans="4:19">
      <c r="D1907" s="104"/>
      <c r="E1907" s="104"/>
      <c r="F1907" s="104"/>
      <c r="G1907" s="104"/>
      <c r="H1907" s="104"/>
      <c r="I1907" s="104"/>
      <c r="J1907" s="104"/>
      <c r="K1907" s="104"/>
      <c r="L1907" s="104"/>
      <c r="M1907" s="104"/>
      <c r="N1907" s="104"/>
      <c r="O1907" s="104"/>
      <c r="P1907" s="104"/>
      <c r="Q1907" s="104"/>
      <c r="R1907" s="104"/>
      <c r="S1907" s="104"/>
    </row>
    <row r="1908" spans="4:19">
      <c r="D1908" s="104"/>
      <c r="E1908" s="104"/>
      <c r="F1908" s="104"/>
      <c r="G1908" s="104"/>
      <c r="H1908" s="104"/>
      <c r="I1908" s="104"/>
      <c r="J1908" s="104"/>
      <c r="K1908" s="104"/>
      <c r="L1908" s="104"/>
      <c r="M1908" s="104"/>
      <c r="N1908" s="104"/>
      <c r="O1908" s="104"/>
      <c r="P1908" s="104"/>
      <c r="Q1908" s="104"/>
      <c r="R1908" s="104"/>
      <c r="S1908" s="104"/>
    </row>
    <row r="1909" spans="4:19">
      <c r="D1909" s="104"/>
      <c r="E1909" s="104"/>
      <c r="F1909" s="104"/>
      <c r="G1909" s="104"/>
      <c r="H1909" s="104"/>
      <c r="I1909" s="104"/>
      <c r="J1909" s="104"/>
      <c r="K1909" s="104"/>
      <c r="L1909" s="104"/>
      <c r="M1909" s="104"/>
      <c r="N1909" s="104"/>
      <c r="O1909" s="104"/>
      <c r="P1909" s="104"/>
      <c r="Q1909" s="104"/>
      <c r="R1909" s="104"/>
      <c r="S1909" s="104"/>
    </row>
    <row r="1910" spans="4:19">
      <c r="D1910" s="104"/>
      <c r="E1910" s="104"/>
      <c r="F1910" s="104"/>
      <c r="G1910" s="104"/>
      <c r="H1910" s="104"/>
      <c r="I1910" s="104"/>
      <c r="J1910" s="104"/>
      <c r="K1910" s="104"/>
      <c r="L1910" s="104"/>
      <c r="M1910" s="104"/>
      <c r="N1910" s="104"/>
      <c r="O1910" s="104"/>
      <c r="P1910" s="104"/>
      <c r="Q1910" s="104"/>
      <c r="R1910" s="104"/>
      <c r="S1910" s="104"/>
    </row>
    <row r="1911" spans="4:19">
      <c r="D1911" s="104"/>
      <c r="E1911" s="104"/>
      <c r="F1911" s="104"/>
      <c r="G1911" s="104"/>
      <c r="H1911" s="104"/>
      <c r="I1911" s="104"/>
      <c r="J1911" s="104"/>
      <c r="K1911" s="104"/>
      <c r="L1911" s="104"/>
      <c r="M1911" s="104"/>
      <c r="N1911" s="104"/>
      <c r="O1911" s="104"/>
      <c r="P1911" s="104"/>
      <c r="Q1911" s="104"/>
      <c r="R1911" s="104"/>
      <c r="S1911" s="104"/>
    </row>
    <row r="1912" spans="4:19">
      <c r="D1912" s="104"/>
      <c r="E1912" s="104"/>
      <c r="F1912" s="104"/>
      <c r="G1912" s="104"/>
      <c r="H1912" s="104"/>
      <c r="I1912" s="104"/>
      <c r="J1912" s="104"/>
      <c r="K1912" s="104"/>
      <c r="L1912" s="104"/>
      <c r="M1912" s="104"/>
      <c r="N1912" s="104"/>
      <c r="O1912" s="104"/>
      <c r="P1912" s="104"/>
      <c r="Q1912" s="104"/>
      <c r="R1912" s="104"/>
      <c r="S1912" s="104"/>
    </row>
    <row r="1913" spans="4:19">
      <c r="D1913" s="104"/>
      <c r="E1913" s="104"/>
      <c r="F1913" s="104"/>
      <c r="G1913" s="104"/>
      <c r="H1913" s="104"/>
      <c r="I1913" s="104"/>
      <c r="J1913" s="104"/>
      <c r="K1913" s="104"/>
      <c r="L1913" s="104"/>
      <c r="M1913" s="104"/>
      <c r="N1913" s="104"/>
      <c r="O1913" s="104"/>
      <c r="P1913" s="104"/>
      <c r="Q1913" s="104"/>
      <c r="R1913" s="104"/>
      <c r="S1913" s="104"/>
    </row>
    <row r="1914" spans="4:19">
      <c r="D1914" s="104"/>
      <c r="E1914" s="104"/>
      <c r="F1914" s="104"/>
      <c r="G1914" s="104"/>
      <c r="H1914" s="104"/>
      <c r="I1914" s="104"/>
      <c r="J1914" s="104"/>
      <c r="K1914" s="104"/>
      <c r="L1914" s="104"/>
      <c r="M1914" s="104"/>
      <c r="N1914" s="104"/>
      <c r="O1914" s="104"/>
      <c r="P1914" s="104"/>
      <c r="Q1914" s="104"/>
      <c r="R1914" s="104"/>
      <c r="S1914" s="104"/>
    </row>
    <row r="1915" spans="4:19">
      <c r="D1915" s="104"/>
      <c r="E1915" s="104"/>
      <c r="F1915" s="104"/>
      <c r="G1915" s="104"/>
      <c r="H1915" s="104"/>
      <c r="I1915" s="104"/>
      <c r="J1915" s="104"/>
      <c r="K1915" s="104"/>
      <c r="L1915" s="104"/>
      <c r="M1915" s="104"/>
      <c r="N1915" s="104"/>
      <c r="O1915" s="104"/>
      <c r="P1915" s="104"/>
      <c r="Q1915" s="104"/>
      <c r="R1915" s="104"/>
      <c r="S1915" s="104"/>
    </row>
    <row r="1916" spans="4:19">
      <c r="D1916" s="104"/>
      <c r="E1916" s="104"/>
      <c r="F1916" s="104"/>
      <c r="G1916" s="104"/>
      <c r="H1916" s="104"/>
      <c r="I1916" s="104"/>
      <c r="J1916" s="104"/>
      <c r="K1916" s="104"/>
      <c r="L1916" s="104"/>
      <c r="M1916" s="104"/>
      <c r="N1916" s="104"/>
      <c r="O1916" s="104"/>
      <c r="P1916" s="104"/>
      <c r="Q1916" s="104"/>
      <c r="R1916" s="104"/>
      <c r="S1916" s="104"/>
    </row>
    <row r="1917" spans="4:19">
      <c r="D1917" s="104"/>
      <c r="E1917" s="104"/>
      <c r="F1917" s="104"/>
      <c r="G1917" s="104"/>
      <c r="H1917" s="104"/>
      <c r="I1917" s="104"/>
      <c r="J1917" s="104"/>
      <c r="K1917" s="104"/>
      <c r="L1917" s="104"/>
      <c r="M1917" s="104"/>
      <c r="N1917" s="104"/>
      <c r="O1917" s="104"/>
      <c r="P1917" s="104"/>
      <c r="Q1917" s="104"/>
      <c r="R1917" s="104"/>
      <c r="S1917" s="104"/>
    </row>
    <row r="1918" spans="4:19">
      <c r="D1918" s="104"/>
      <c r="E1918" s="104"/>
      <c r="F1918" s="104"/>
      <c r="G1918" s="104"/>
      <c r="H1918" s="104"/>
      <c r="I1918" s="104"/>
      <c r="J1918" s="104"/>
      <c r="K1918" s="104"/>
      <c r="L1918" s="104"/>
      <c r="M1918" s="104"/>
      <c r="N1918" s="104"/>
      <c r="O1918" s="104"/>
      <c r="P1918" s="104"/>
      <c r="Q1918" s="104"/>
      <c r="R1918" s="104"/>
      <c r="S1918" s="104"/>
    </row>
    <row r="1919" spans="4:19">
      <c r="D1919" s="104"/>
      <c r="E1919" s="104"/>
      <c r="F1919" s="104"/>
      <c r="G1919" s="104"/>
      <c r="H1919" s="104"/>
      <c r="I1919" s="104"/>
      <c r="J1919" s="104"/>
      <c r="K1919" s="104"/>
      <c r="L1919" s="104"/>
      <c r="M1919" s="104"/>
      <c r="N1919" s="104"/>
      <c r="O1919" s="104"/>
      <c r="P1919" s="104"/>
      <c r="Q1919" s="104"/>
      <c r="R1919" s="104"/>
      <c r="S1919" s="104"/>
    </row>
    <row r="1920" spans="4:19">
      <c r="D1920" s="104"/>
      <c r="E1920" s="104"/>
      <c r="F1920" s="104"/>
      <c r="G1920" s="104"/>
      <c r="H1920" s="104"/>
      <c r="I1920" s="104"/>
      <c r="J1920" s="104"/>
      <c r="K1920" s="104"/>
      <c r="L1920" s="104"/>
      <c r="M1920" s="104"/>
      <c r="N1920" s="104"/>
      <c r="O1920" s="104"/>
      <c r="P1920" s="104"/>
      <c r="Q1920" s="104"/>
      <c r="R1920" s="104"/>
      <c r="S1920" s="104"/>
    </row>
    <row r="1921" spans="4:19">
      <c r="D1921" s="104"/>
      <c r="E1921" s="104"/>
      <c r="F1921" s="104"/>
      <c r="G1921" s="104"/>
      <c r="H1921" s="104"/>
      <c r="I1921" s="104"/>
      <c r="J1921" s="104"/>
      <c r="K1921" s="104"/>
      <c r="L1921" s="104"/>
      <c r="M1921" s="104"/>
      <c r="N1921" s="104"/>
      <c r="O1921" s="104"/>
      <c r="P1921" s="104"/>
      <c r="Q1921" s="104"/>
      <c r="R1921" s="104"/>
      <c r="S1921" s="104"/>
    </row>
    <row r="1922" spans="4:19">
      <c r="D1922" s="104"/>
      <c r="E1922" s="104"/>
      <c r="F1922" s="104"/>
      <c r="G1922" s="104"/>
      <c r="H1922" s="104"/>
      <c r="I1922" s="104"/>
      <c r="J1922" s="104"/>
      <c r="K1922" s="104"/>
      <c r="L1922" s="104"/>
      <c r="M1922" s="104"/>
      <c r="N1922" s="104"/>
      <c r="O1922" s="104"/>
      <c r="P1922" s="104"/>
      <c r="Q1922" s="104"/>
      <c r="R1922" s="104"/>
      <c r="S1922" s="104"/>
    </row>
    <row r="1923" spans="4:19">
      <c r="D1923" s="104"/>
      <c r="E1923" s="104"/>
      <c r="F1923" s="104"/>
      <c r="G1923" s="104"/>
      <c r="H1923" s="104"/>
      <c r="I1923" s="104"/>
      <c r="J1923" s="104"/>
      <c r="K1923" s="104"/>
      <c r="L1923" s="104"/>
      <c r="M1923" s="104"/>
      <c r="N1923" s="104"/>
      <c r="O1923" s="104"/>
      <c r="P1923" s="104"/>
      <c r="Q1923" s="104"/>
      <c r="R1923" s="104"/>
      <c r="S1923" s="104"/>
    </row>
    <row r="1924" spans="4:19">
      <c r="D1924" s="104"/>
      <c r="E1924" s="104"/>
      <c r="F1924" s="104"/>
      <c r="G1924" s="104"/>
      <c r="H1924" s="104"/>
      <c r="I1924" s="104"/>
      <c r="J1924" s="104"/>
      <c r="K1924" s="104"/>
      <c r="L1924" s="104"/>
      <c r="M1924" s="104"/>
      <c r="N1924" s="104"/>
      <c r="O1924" s="104"/>
      <c r="P1924" s="104"/>
      <c r="Q1924" s="104"/>
      <c r="R1924" s="104"/>
      <c r="S1924" s="104"/>
    </row>
    <row r="1925" spans="4:19">
      <c r="D1925" s="104"/>
      <c r="E1925" s="104"/>
      <c r="F1925" s="104"/>
      <c r="G1925" s="104"/>
      <c r="H1925" s="104"/>
      <c r="I1925" s="104"/>
      <c r="J1925" s="104"/>
      <c r="K1925" s="104"/>
      <c r="L1925" s="104"/>
      <c r="M1925" s="104"/>
      <c r="N1925" s="104"/>
      <c r="O1925" s="104"/>
      <c r="P1925" s="104"/>
      <c r="Q1925" s="104"/>
      <c r="R1925" s="104"/>
      <c r="S1925" s="104"/>
    </row>
    <row r="1926" spans="4:19">
      <c r="D1926" s="104"/>
      <c r="E1926" s="104"/>
      <c r="F1926" s="104"/>
      <c r="G1926" s="104"/>
      <c r="H1926" s="104"/>
      <c r="I1926" s="104"/>
      <c r="J1926" s="104"/>
      <c r="K1926" s="104"/>
      <c r="L1926" s="104"/>
      <c r="M1926" s="104"/>
      <c r="N1926" s="104"/>
      <c r="O1926" s="104"/>
      <c r="P1926" s="104"/>
      <c r="Q1926" s="104"/>
      <c r="R1926" s="104"/>
      <c r="S1926" s="104"/>
    </row>
    <row r="1927" spans="4:19">
      <c r="D1927" s="104"/>
      <c r="E1927" s="104"/>
      <c r="F1927" s="104"/>
      <c r="G1927" s="104"/>
      <c r="H1927" s="104"/>
      <c r="I1927" s="104"/>
      <c r="J1927" s="104"/>
      <c r="K1927" s="104"/>
      <c r="L1927" s="104"/>
      <c r="M1927" s="104"/>
      <c r="N1927" s="104"/>
      <c r="O1927" s="104"/>
      <c r="P1927" s="104"/>
      <c r="Q1927" s="104"/>
      <c r="R1927" s="104"/>
      <c r="S1927" s="104"/>
    </row>
    <row r="1928" spans="4:19">
      <c r="D1928" s="104"/>
      <c r="E1928" s="104"/>
      <c r="F1928" s="104"/>
      <c r="G1928" s="104"/>
      <c r="H1928" s="104"/>
      <c r="I1928" s="104"/>
      <c r="J1928" s="104"/>
      <c r="K1928" s="104"/>
      <c r="L1928" s="104"/>
      <c r="M1928" s="104"/>
      <c r="N1928" s="104"/>
      <c r="O1928" s="104"/>
      <c r="P1928" s="104"/>
      <c r="Q1928" s="104"/>
      <c r="R1928" s="104"/>
      <c r="S1928" s="104"/>
    </row>
    <row r="1929" spans="4:19">
      <c r="D1929" s="104"/>
      <c r="E1929" s="104"/>
      <c r="F1929" s="104"/>
      <c r="G1929" s="104"/>
      <c r="H1929" s="104"/>
      <c r="I1929" s="104"/>
      <c r="J1929" s="104"/>
      <c r="K1929" s="104"/>
      <c r="L1929" s="104"/>
      <c r="M1929" s="104"/>
      <c r="N1929" s="104"/>
      <c r="O1929" s="104"/>
      <c r="P1929" s="104"/>
      <c r="Q1929" s="104"/>
      <c r="R1929" s="104"/>
      <c r="S1929" s="104"/>
    </row>
    <row r="1930" spans="4:19">
      <c r="D1930" s="104"/>
      <c r="E1930" s="104"/>
      <c r="F1930" s="104"/>
      <c r="G1930" s="104"/>
      <c r="H1930" s="104"/>
      <c r="I1930" s="104"/>
      <c r="J1930" s="104"/>
      <c r="K1930" s="104"/>
      <c r="L1930" s="104"/>
      <c r="M1930" s="104"/>
      <c r="N1930" s="104"/>
      <c r="O1930" s="104"/>
      <c r="P1930" s="104"/>
      <c r="Q1930" s="104"/>
      <c r="R1930" s="104"/>
      <c r="S1930" s="104"/>
    </row>
    <row r="1931" spans="4:19">
      <c r="D1931" s="104"/>
      <c r="E1931" s="104"/>
      <c r="F1931" s="104"/>
      <c r="G1931" s="104"/>
      <c r="H1931" s="104"/>
      <c r="I1931" s="104"/>
      <c r="J1931" s="104"/>
      <c r="K1931" s="104"/>
      <c r="L1931" s="104"/>
      <c r="M1931" s="104"/>
      <c r="N1931" s="104"/>
      <c r="O1931" s="104"/>
      <c r="P1931" s="104"/>
      <c r="Q1931" s="104"/>
      <c r="R1931" s="104"/>
      <c r="S1931" s="104"/>
    </row>
    <row r="1932" spans="4:19">
      <c r="D1932" s="104"/>
      <c r="E1932" s="104"/>
      <c r="F1932" s="104"/>
      <c r="G1932" s="104"/>
      <c r="H1932" s="104"/>
      <c r="I1932" s="104"/>
      <c r="J1932" s="104"/>
      <c r="K1932" s="104"/>
      <c r="L1932" s="104"/>
      <c r="M1932" s="104"/>
      <c r="N1932" s="104"/>
      <c r="O1932" s="104"/>
      <c r="P1932" s="104"/>
      <c r="Q1932" s="104"/>
      <c r="R1932" s="104"/>
      <c r="S1932" s="104"/>
    </row>
    <row r="1933" spans="4:19">
      <c r="D1933" s="104"/>
      <c r="E1933" s="104"/>
      <c r="F1933" s="104"/>
      <c r="G1933" s="104"/>
      <c r="H1933" s="104"/>
      <c r="I1933" s="104"/>
      <c r="J1933" s="104"/>
      <c r="K1933" s="104"/>
      <c r="L1933" s="104"/>
      <c r="M1933" s="104"/>
      <c r="N1933" s="104"/>
      <c r="O1933" s="104"/>
      <c r="P1933" s="104"/>
      <c r="Q1933" s="104"/>
      <c r="R1933" s="104"/>
      <c r="S1933" s="104"/>
    </row>
    <row r="1934" spans="4:19">
      <c r="D1934" s="104"/>
      <c r="E1934" s="104"/>
      <c r="F1934" s="104"/>
      <c r="G1934" s="104"/>
      <c r="H1934" s="104"/>
      <c r="I1934" s="104"/>
      <c r="J1934" s="104"/>
      <c r="K1934" s="104"/>
      <c r="L1934" s="104"/>
      <c r="M1934" s="104"/>
      <c r="N1934" s="104"/>
      <c r="O1934" s="104"/>
      <c r="P1934" s="104"/>
      <c r="Q1934" s="104"/>
      <c r="R1934" s="104"/>
      <c r="S1934" s="104"/>
    </row>
    <row r="1935" spans="4:19">
      <c r="D1935" s="104"/>
      <c r="E1935" s="104"/>
      <c r="F1935" s="104"/>
      <c r="G1935" s="104"/>
      <c r="H1935" s="104"/>
      <c r="I1935" s="104"/>
      <c r="J1935" s="104"/>
      <c r="K1935" s="104"/>
      <c r="L1935" s="104"/>
      <c r="M1935" s="104"/>
      <c r="N1935" s="104"/>
      <c r="O1935" s="104"/>
      <c r="P1935" s="104"/>
      <c r="Q1935" s="104"/>
      <c r="R1935" s="104"/>
      <c r="S1935" s="104"/>
    </row>
    <row r="1936" spans="4:19">
      <c r="D1936" s="104"/>
      <c r="E1936" s="104"/>
      <c r="F1936" s="104"/>
      <c r="G1936" s="104"/>
      <c r="H1936" s="104"/>
      <c r="I1936" s="104"/>
      <c r="J1936" s="104"/>
      <c r="K1936" s="104"/>
      <c r="L1936" s="104"/>
      <c r="M1936" s="104"/>
      <c r="N1936" s="104"/>
      <c r="O1936" s="104"/>
      <c r="P1936" s="104"/>
      <c r="Q1936" s="104"/>
      <c r="R1936" s="104"/>
      <c r="S1936" s="104"/>
    </row>
    <row r="1937" spans="4:19">
      <c r="D1937" s="104"/>
      <c r="E1937" s="104"/>
      <c r="F1937" s="104"/>
      <c r="G1937" s="104"/>
      <c r="H1937" s="104"/>
      <c r="I1937" s="104"/>
      <c r="J1937" s="104"/>
      <c r="K1937" s="104"/>
      <c r="L1937" s="104"/>
      <c r="M1937" s="104"/>
      <c r="N1937" s="104"/>
      <c r="O1937" s="104"/>
      <c r="P1937" s="104"/>
      <c r="Q1937" s="104"/>
      <c r="R1937" s="104"/>
      <c r="S1937" s="104"/>
    </row>
    <row r="1938" spans="4:19">
      <c r="D1938" s="104"/>
      <c r="E1938" s="104"/>
      <c r="F1938" s="104"/>
      <c r="G1938" s="104"/>
      <c r="H1938" s="104"/>
      <c r="I1938" s="104"/>
      <c r="J1938" s="104"/>
      <c r="K1938" s="104"/>
      <c r="L1938" s="104"/>
      <c r="M1938" s="104"/>
      <c r="N1938" s="104"/>
      <c r="O1938" s="104"/>
      <c r="P1938" s="104"/>
      <c r="Q1938" s="104"/>
      <c r="R1938" s="104"/>
      <c r="S1938" s="104"/>
    </row>
    <row r="1939" spans="4:19">
      <c r="D1939" s="104"/>
      <c r="E1939" s="104"/>
      <c r="F1939" s="104"/>
      <c r="G1939" s="104"/>
      <c r="H1939" s="104"/>
      <c r="I1939" s="104"/>
      <c r="J1939" s="104"/>
      <c r="K1939" s="104"/>
      <c r="L1939" s="104"/>
      <c r="M1939" s="104"/>
      <c r="N1939" s="104"/>
      <c r="O1939" s="104"/>
      <c r="P1939" s="104"/>
      <c r="Q1939" s="104"/>
      <c r="R1939" s="104"/>
      <c r="S1939" s="104"/>
    </row>
    <row r="1940" spans="4:19">
      <c r="D1940" s="104"/>
      <c r="E1940" s="104"/>
      <c r="F1940" s="104"/>
      <c r="G1940" s="104"/>
      <c r="H1940" s="104"/>
      <c r="I1940" s="104"/>
      <c r="J1940" s="104"/>
      <c r="K1940" s="104"/>
      <c r="L1940" s="104"/>
      <c r="M1940" s="104"/>
      <c r="N1940" s="104"/>
      <c r="O1940" s="104"/>
      <c r="P1940" s="104"/>
      <c r="Q1940" s="104"/>
      <c r="R1940" s="104"/>
      <c r="S1940" s="104"/>
    </row>
    <row r="1941" spans="4:19">
      <c r="D1941" s="104"/>
      <c r="E1941" s="104"/>
      <c r="F1941" s="104"/>
      <c r="G1941" s="104"/>
      <c r="H1941" s="104"/>
      <c r="I1941" s="104"/>
      <c r="J1941" s="104"/>
      <c r="K1941" s="104"/>
      <c r="L1941" s="104"/>
      <c r="M1941" s="104"/>
      <c r="N1941" s="104"/>
      <c r="O1941" s="104"/>
      <c r="P1941" s="104"/>
      <c r="Q1941" s="104"/>
      <c r="R1941" s="104"/>
      <c r="S1941" s="104"/>
    </row>
    <row r="1942" spans="4:19">
      <c r="D1942" s="104"/>
      <c r="E1942" s="104"/>
      <c r="F1942" s="104"/>
      <c r="G1942" s="104"/>
      <c r="H1942" s="104"/>
      <c r="I1942" s="104"/>
      <c r="J1942" s="104"/>
      <c r="K1942" s="104"/>
      <c r="L1942" s="104"/>
      <c r="M1942" s="104"/>
      <c r="N1942" s="104"/>
      <c r="O1942" s="104"/>
      <c r="P1942" s="104"/>
      <c r="Q1942" s="104"/>
      <c r="R1942" s="104"/>
      <c r="S1942" s="104"/>
    </row>
    <row r="1943" spans="4:19">
      <c r="D1943" s="104"/>
      <c r="E1943" s="104"/>
      <c r="F1943" s="104"/>
      <c r="G1943" s="104"/>
      <c r="H1943" s="104"/>
      <c r="I1943" s="104"/>
      <c r="J1943" s="104"/>
      <c r="K1943" s="104"/>
      <c r="L1943" s="104"/>
      <c r="M1943" s="104"/>
      <c r="N1943" s="104"/>
      <c r="O1943" s="104"/>
      <c r="P1943" s="104"/>
      <c r="Q1943" s="104"/>
      <c r="R1943" s="104"/>
      <c r="S1943" s="104"/>
    </row>
    <row r="1944" spans="4:19">
      <c r="D1944" s="104"/>
      <c r="E1944" s="104"/>
      <c r="F1944" s="104"/>
      <c r="G1944" s="104"/>
      <c r="H1944" s="104"/>
      <c r="I1944" s="104"/>
      <c r="J1944" s="104"/>
      <c r="K1944" s="104"/>
      <c r="L1944" s="104"/>
      <c r="M1944" s="104"/>
      <c r="N1944" s="104"/>
      <c r="O1944" s="104"/>
      <c r="P1944" s="104"/>
      <c r="Q1944" s="104"/>
      <c r="R1944" s="104"/>
      <c r="S1944" s="104"/>
    </row>
    <row r="1945" spans="4:19">
      <c r="D1945" s="104"/>
      <c r="E1945" s="104"/>
      <c r="F1945" s="104"/>
      <c r="G1945" s="104"/>
      <c r="H1945" s="104"/>
      <c r="I1945" s="104"/>
      <c r="J1945" s="104"/>
      <c r="K1945" s="104"/>
      <c r="L1945" s="104"/>
      <c r="M1945" s="104"/>
      <c r="N1945" s="104"/>
      <c r="O1945" s="104"/>
      <c r="P1945" s="104"/>
      <c r="Q1945" s="104"/>
      <c r="R1945" s="104"/>
      <c r="S1945" s="104"/>
    </row>
    <row r="1946" spans="4:19">
      <c r="D1946" s="104"/>
      <c r="E1946" s="104"/>
      <c r="F1946" s="104"/>
      <c r="G1946" s="104"/>
      <c r="H1946" s="104"/>
      <c r="I1946" s="104"/>
      <c r="J1946" s="104"/>
      <c r="K1946" s="104"/>
      <c r="L1946" s="104"/>
      <c r="M1946" s="104"/>
      <c r="N1946" s="104"/>
      <c r="O1946" s="104"/>
      <c r="P1946" s="104"/>
      <c r="Q1946" s="104"/>
      <c r="R1946" s="104"/>
      <c r="S1946" s="104"/>
    </row>
    <row r="1947" spans="4:19">
      <c r="D1947" s="104"/>
      <c r="E1947" s="104"/>
      <c r="F1947" s="104"/>
      <c r="G1947" s="104"/>
      <c r="H1947" s="104"/>
      <c r="I1947" s="104"/>
      <c r="J1947" s="104"/>
      <c r="K1947" s="104"/>
      <c r="L1947" s="104"/>
      <c r="M1947" s="104"/>
      <c r="N1947" s="104"/>
      <c r="O1947" s="104"/>
      <c r="P1947" s="104"/>
      <c r="Q1947" s="104"/>
      <c r="R1947" s="104"/>
      <c r="S1947" s="104"/>
    </row>
    <row r="1948" spans="4:19">
      <c r="D1948" s="104"/>
      <c r="E1948" s="104"/>
      <c r="F1948" s="104"/>
      <c r="G1948" s="104"/>
      <c r="H1948" s="104"/>
      <c r="I1948" s="104"/>
      <c r="J1948" s="104"/>
      <c r="K1948" s="104"/>
      <c r="L1948" s="104"/>
      <c r="M1948" s="104"/>
      <c r="N1948" s="104"/>
      <c r="O1948" s="104"/>
      <c r="P1948" s="104"/>
      <c r="Q1948" s="104"/>
      <c r="R1948" s="104"/>
      <c r="S1948" s="104"/>
    </row>
    <row r="1949" spans="4:19">
      <c r="D1949" s="104"/>
      <c r="E1949" s="104"/>
      <c r="F1949" s="104"/>
      <c r="G1949" s="104"/>
      <c r="H1949" s="104"/>
      <c r="I1949" s="104"/>
      <c r="J1949" s="104"/>
      <c r="K1949" s="104"/>
      <c r="L1949" s="104"/>
      <c r="M1949" s="104"/>
      <c r="N1949" s="104"/>
      <c r="O1949" s="104"/>
      <c r="P1949" s="104"/>
      <c r="Q1949" s="104"/>
      <c r="R1949" s="104"/>
      <c r="S1949" s="104"/>
    </row>
    <row r="1950" spans="4:19">
      <c r="D1950" s="104"/>
      <c r="E1950" s="104"/>
      <c r="F1950" s="104"/>
      <c r="G1950" s="104"/>
      <c r="H1950" s="104"/>
      <c r="I1950" s="104"/>
      <c r="J1950" s="104"/>
      <c r="K1950" s="104"/>
      <c r="L1950" s="104"/>
      <c r="M1950" s="104"/>
      <c r="N1950" s="104"/>
      <c r="O1950" s="104"/>
      <c r="P1950" s="104"/>
      <c r="Q1950" s="104"/>
      <c r="R1950" s="104"/>
      <c r="S1950" s="104"/>
    </row>
    <row r="1951" spans="4:19">
      <c r="D1951" s="104"/>
      <c r="E1951" s="104"/>
      <c r="F1951" s="104"/>
      <c r="G1951" s="104"/>
      <c r="H1951" s="104"/>
      <c r="I1951" s="104"/>
      <c r="J1951" s="104"/>
      <c r="K1951" s="104"/>
      <c r="L1951" s="104"/>
      <c r="M1951" s="104"/>
      <c r="N1951" s="104"/>
      <c r="O1951" s="104"/>
      <c r="P1951" s="104"/>
      <c r="Q1951" s="104"/>
      <c r="R1951" s="104"/>
      <c r="S1951" s="104"/>
    </row>
    <row r="1952" spans="4:19">
      <c r="D1952" s="104"/>
      <c r="E1952" s="104"/>
      <c r="F1952" s="104"/>
      <c r="G1952" s="104"/>
      <c r="H1952" s="104"/>
      <c r="I1952" s="104"/>
      <c r="J1952" s="104"/>
      <c r="K1952" s="104"/>
      <c r="L1952" s="104"/>
      <c r="M1952" s="104"/>
      <c r="N1952" s="104"/>
      <c r="O1952" s="104"/>
      <c r="P1952" s="104"/>
      <c r="Q1952" s="104"/>
      <c r="R1952" s="104"/>
      <c r="S1952" s="104"/>
    </row>
    <row r="1953" spans="4:19">
      <c r="D1953" s="104"/>
      <c r="E1953" s="104"/>
      <c r="F1953" s="104"/>
      <c r="G1953" s="104"/>
      <c r="H1953" s="104"/>
      <c r="I1953" s="104"/>
      <c r="J1953" s="104"/>
      <c r="K1953" s="104"/>
      <c r="L1953" s="104"/>
      <c r="M1953" s="104"/>
      <c r="N1953" s="104"/>
      <c r="O1953" s="104"/>
      <c r="P1953" s="104"/>
      <c r="Q1953" s="104"/>
      <c r="R1953" s="104"/>
      <c r="S1953" s="104"/>
    </row>
    <row r="1954" spans="4:19">
      <c r="D1954" s="104"/>
      <c r="E1954" s="104"/>
      <c r="F1954" s="104"/>
      <c r="G1954" s="104"/>
      <c r="H1954" s="104"/>
      <c r="I1954" s="104"/>
      <c r="J1954" s="104"/>
      <c r="K1954" s="104"/>
      <c r="L1954" s="104"/>
      <c r="M1954" s="104"/>
      <c r="N1954" s="104"/>
      <c r="O1954" s="104"/>
      <c r="P1954" s="104"/>
      <c r="Q1954" s="104"/>
      <c r="R1954" s="104"/>
      <c r="S1954" s="104"/>
    </row>
    <row r="1955" spans="4:19">
      <c r="D1955" s="104"/>
      <c r="E1955" s="104"/>
      <c r="F1955" s="104"/>
      <c r="G1955" s="104"/>
      <c r="H1955" s="104"/>
      <c r="I1955" s="104"/>
      <c r="J1955" s="104"/>
      <c r="K1955" s="104"/>
      <c r="L1955" s="104"/>
      <c r="M1955" s="104"/>
      <c r="N1955" s="104"/>
      <c r="O1955" s="104"/>
      <c r="P1955" s="104"/>
      <c r="Q1955" s="104"/>
      <c r="R1955" s="104"/>
      <c r="S1955" s="104"/>
    </row>
    <row r="1956" spans="4:19">
      <c r="D1956" s="104"/>
      <c r="E1956" s="104"/>
      <c r="F1956" s="104"/>
      <c r="G1956" s="104"/>
      <c r="H1956" s="104"/>
      <c r="I1956" s="104"/>
      <c r="J1956" s="104"/>
      <c r="K1956" s="104"/>
      <c r="L1956" s="104"/>
      <c r="M1956" s="104"/>
      <c r="N1956" s="104"/>
      <c r="O1956" s="104"/>
      <c r="P1956" s="104"/>
      <c r="Q1956" s="104"/>
      <c r="R1956" s="104"/>
      <c r="S1956" s="104"/>
    </row>
    <row r="1957" spans="4:19">
      <c r="D1957" s="104"/>
      <c r="E1957" s="104"/>
      <c r="F1957" s="104"/>
      <c r="G1957" s="104"/>
      <c r="H1957" s="104"/>
      <c r="I1957" s="104"/>
      <c r="J1957" s="104"/>
      <c r="K1957" s="104"/>
      <c r="L1957" s="104"/>
      <c r="M1957" s="104"/>
      <c r="N1957" s="104"/>
      <c r="O1957" s="104"/>
      <c r="P1957" s="104"/>
      <c r="Q1957" s="104"/>
      <c r="R1957" s="104"/>
      <c r="S1957" s="104"/>
    </row>
    <row r="1958" spans="4:19">
      <c r="D1958" s="104"/>
      <c r="E1958" s="104"/>
      <c r="F1958" s="104"/>
      <c r="G1958" s="104"/>
      <c r="H1958" s="104"/>
      <c r="I1958" s="104"/>
      <c r="J1958" s="104"/>
      <c r="K1958" s="104"/>
      <c r="L1958" s="104"/>
      <c r="M1958" s="104"/>
      <c r="N1958" s="104"/>
      <c r="O1958" s="104"/>
      <c r="P1958" s="104"/>
      <c r="Q1958" s="104"/>
      <c r="R1958" s="104"/>
      <c r="S1958" s="104"/>
    </row>
    <row r="1959" spans="4:19">
      <c r="D1959" s="104"/>
      <c r="E1959" s="104"/>
      <c r="F1959" s="104"/>
      <c r="G1959" s="104"/>
      <c r="H1959" s="104"/>
      <c r="I1959" s="104"/>
      <c r="J1959" s="104"/>
      <c r="K1959" s="104"/>
      <c r="L1959" s="104"/>
      <c r="M1959" s="104"/>
      <c r="N1959" s="104"/>
      <c r="O1959" s="104"/>
      <c r="P1959" s="104"/>
      <c r="Q1959" s="104"/>
      <c r="R1959" s="104"/>
      <c r="S1959" s="104"/>
    </row>
    <row r="1960" spans="4:19">
      <c r="D1960" s="104"/>
      <c r="E1960" s="104"/>
      <c r="F1960" s="104"/>
      <c r="G1960" s="104"/>
      <c r="H1960" s="104"/>
      <c r="I1960" s="104"/>
      <c r="J1960" s="104"/>
      <c r="K1960" s="104"/>
      <c r="L1960" s="104"/>
      <c r="M1960" s="104"/>
      <c r="N1960" s="104"/>
      <c r="O1960" s="104"/>
      <c r="P1960" s="104"/>
      <c r="Q1960" s="104"/>
      <c r="R1960" s="104"/>
      <c r="S1960" s="104"/>
    </row>
    <row r="1961" spans="4:19">
      <c r="D1961" s="104"/>
      <c r="E1961" s="104"/>
      <c r="F1961" s="104"/>
      <c r="G1961" s="104"/>
      <c r="H1961" s="104"/>
      <c r="I1961" s="104"/>
      <c r="J1961" s="104"/>
      <c r="K1961" s="104"/>
      <c r="L1961" s="104"/>
      <c r="M1961" s="104"/>
      <c r="N1961" s="104"/>
      <c r="O1961" s="104"/>
      <c r="P1961" s="104"/>
      <c r="Q1961" s="104"/>
      <c r="R1961" s="104"/>
      <c r="S1961" s="104"/>
    </row>
    <row r="1962" spans="4:19">
      <c r="D1962" s="104"/>
      <c r="E1962" s="104"/>
      <c r="F1962" s="104"/>
      <c r="G1962" s="104"/>
      <c r="H1962" s="104"/>
      <c r="I1962" s="104"/>
      <c r="J1962" s="104"/>
      <c r="K1962" s="104"/>
      <c r="L1962" s="104"/>
      <c r="M1962" s="104"/>
      <c r="N1962" s="104"/>
      <c r="O1962" s="104"/>
      <c r="P1962" s="104"/>
      <c r="Q1962" s="104"/>
      <c r="R1962" s="104"/>
      <c r="S1962" s="104"/>
    </row>
    <row r="1963" spans="4:19">
      <c r="D1963" s="104"/>
      <c r="E1963" s="104"/>
      <c r="F1963" s="104"/>
      <c r="G1963" s="104"/>
      <c r="H1963" s="104"/>
      <c r="I1963" s="104"/>
      <c r="J1963" s="104"/>
      <c r="K1963" s="104"/>
      <c r="L1963" s="104"/>
      <c r="M1963" s="104"/>
      <c r="N1963" s="104"/>
      <c r="O1963" s="104"/>
      <c r="P1963" s="104"/>
      <c r="Q1963" s="104"/>
      <c r="R1963" s="104"/>
      <c r="S1963" s="104"/>
    </row>
    <row r="1964" spans="4:19">
      <c r="D1964" s="104"/>
      <c r="E1964" s="104"/>
      <c r="F1964" s="104"/>
      <c r="G1964" s="104"/>
      <c r="H1964" s="104"/>
      <c r="I1964" s="104"/>
      <c r="J1964" s="104"/>
      <c r="K1964" s="104"/>
      <c r="L1964" s="104"/>
      <c r="M1964" s="104"/>
      <c r="N1964" s="104"/>
      <c r="O1964" s="104"/>
      <c r="P1964" s="104"/>
      <c r="Q1964" s="104"/>
      <c r="R1964" s="104"/>
      <c r="S1964" s="104"/>
    </row>
    <row r="1965" spans="4:19">
      <c r="D1965" s="104"/>
      <c r="E1965" s="104"/>
      <c r="F1965" s="104"/>
      <c r="G1965" s="104"/>
      <c r="H1965" s="104"/>
      <c r="I1965" s="104"/>
      <c r="J1965" s="104"/>
      <c r="K1965" s="104"/>
      <c r="L1965" s="104"/>
      <c r="M1965" s="104"/>
      <c r="N1965" s="104"/>
      <c r="O1965" s="104"/>
      <c r="P1965" s="104"/>
      <c r="Q1965" s="104"/>
      <c r="R1965" s="104"/>
      <c r="S1965" s="104"/>
    </row>
    <row r="1966" spans="4:19">
      <c r="D1966" s="104"/>
      <c r="E1966" s="104"/>
      <c r="F1966" s="104"/>
      <c r="G1966" s="104"/>
      <c r="H1966" s="104"/>
      <c r="I1966" s="104"/>
      <c r="J1966" s="104"/>
      <c r="K1966" s="104"/>
      <c r="L1966" s="104"/>
      <c r="M1966" s="104"/>
      <c r="N1966" s="104"/>
      <c r="O1966" s="104"/>
      <c r="P1966" s="104"/>
      <c r="Q1966" s="104"/>
      <c r="R1966" s="104"/>
      <c r="S1966" s="104"/>
    </row>
    <row r="1967" spans="4:19">
      <c r="D1967" s="104"/>
      <c r="E1967" s="104"/>
      <c r="F1967" s="104"/>
      <c r="G1967" s="104"/>
      <c r="H1967" s="104"/>
      <c r="I1967" s="104"/>
      <c r="J1967" s="104"/>
      <c r="K1967" s="104"/>
      <c r="L1967" s="104"/>
      <c r="M1967" s="104"/>
      <c r="N1967" s="104"/>
      <c r="O1967" s="104"/>
      <c r="P1967" s="104"/>
      <c r="Q1967" s="104"/>
      <c r="R1967" s="104"/>
      <c r="S1967" s="104"/>
    </row>
    <row r="1968" spans="4:19">
      <c r="D1968" s="104"/>
      <c r="E1968" s="104"/>
      <c r="F1968" s="104"/>
      <c r="G1968" s="104"/>
      <c r="H1968" s="104"/>
      <c r="I1968" s="104"/>
      <c r="J1968" s="104"/>
      <c r="K1968" s="104"/>
      <c r="L1968" s="104"/>
      <c r="M1968" s="104"/>
      <c r="N1968" s="104"/>
      <c r="O1968" s="104"/>
      <c r="P1968" s="104"/>
      <c r="Q1968" s="104"/>
      <c r="R1968" s="104"/>
      <c r="S1968" s="104"/>
    </row>
    <row r="1969" spans="4:19">
      <c r="D1969" s="104"/>
      <c r="E1969" s="104"/>
      <c r="F1969" s="104"/>
      <c r="G1969" s="104"/>
      <c r="H1969" s="104"/>
      <c r="I1969" s="104"/>
      <c r="J1969" s="104"/>
      <c r="K1969" s="104"/>
      <c r="L1969" s="104"/>
      <c r="M1969" s="104"/>
      <c r="N1969" s="104"/>
      <c r="O1969" s="104"/>
      <c r="P1969" s="104"/>
      <c r="Q1969" s="104"/>
      <c r="R1969" s="104"/>
      <c r="S1969" s="104"/>
    </row>
    <row r="1970" spans="4:19">
      <c r="D1970" s="104"/>
      <c r="E1970" s="104"/>
      <c r="F1970" s="104"/>
      <c r="G1970" s="104"/>
      <c r="H1970" s="104"/>
      <c r="I1970" s="104"/>
      <c r="J1970" s="104"/>
      <c r="K1970" s="104"/>
      <c r="L1970" s="104"/>
      <c r="M1970" s="104"/>
      <c r="N1970" s="104"/>
      <c r="O1970" s="104"/>
      <c r="P1970" s="104"/>
      <c r="Q1970" s="104"/>
      <c r="R1970" s="104"/>
      <c r="S1970" s="104"/>
    </row>
    <row r="1971" spans="4:19">
      <c r="D1971" s="104"/>
      <c r="E1971" s="104"/>
      <c r="F1971" s="104"/>
      <c r="G1971" s="104"/>
      <c r="H1971" s="104"/>
      <c r="I1971" s="104"/>
      <c r="J1971" s="104"/>
      <c r="K1971" s="104"/>
      <c r="L1971" s="104"/>
      <c r="M1971" s="104"/>
      <c r="N1971" s="104"/>
      <c r="O1971" s="104"/>
      <c r="P1971" s="104"/>
      <c r="Q1971" s="104"/>
      <c r="R1971" s="104"/>
      <c r="S1971" s="104"/>
    </row>
    <row r="1972" spans="4:19">
      <c r="D1972" s="104"/>
      <c r="E1972" s="104"/>
      <c r="F1972" s="104"/>
      <c r="G1972" s="104"/>
      <c r="H1972" s="104"/>
      <c r="I1972" s="104"/>
      <c r="J1972" s="104"/>
      <c r="K1972" s="104"/>
      <c r="L1972" s="104"/>
      <c r="M1972" s="104"/>
      <c r="N1972" s="104"/>
      <c r="O1972" s="104"/>
      <c r="P1972" s="104"/>
      <c r="Q1972" s="104"/>
      <c r="R1972" s="104"/>
      <c r="S1972" s="104"/>
    </row>
    <row r="1973" spans="4:19">
      <c r="D1973" s="104"/>
      <c r="E1973" s="104"/>
      <c r="F1973" s="104"/>
      <c r="G1973" s="104"/>
      <c r="H1973" s="104"/>
      <c r="I1973" s="104"/>
      <c r="J1973" s="104"/>
      <c r="K1973" s="104"/>
      <c r="L1973" s="104"/>
      <c r="M1973" s="104"/>
      <c r="N1973" s="104"/>
      <c r="O1973" s="104"/>
      <c r="P1973" s="104"/>
      <c r="Q1973" s="104"/>
      <c r="R1973" s="104"/>
      <c r="S1973" s="104"/>
    </row>
    <row r="1974" spans="4:19">
      <c r="D1974" s="104"/>
      <c r="E1974" s="104"/>
      <c r="F1974" s="104"/>
      <c r="G1974" s="104"/>
      <c r="H1974" s="104"/>
      <c r="I1974" s="104"/>
      <c r="J1974" s="104"/>
      <c r="K1974" s="104"/>
      <c r="L1974" s="104"/>
      <c r="M1974" s="104"/>
      <c r="N1974" s="104"/>
      <c r="O1974" s="104"/>
      <c r="P1974" s="104"/>
      <c r="Q1974" s="104"/>
      <c r="R1974" s="104"/>
      <c r="S1974" s="104"/>
    </row>
    <row r="1975" spans="4:19">
      <c r="D1975" s="104"/>
      <c r="E1975" s="104"/>
      <c r="F1975" s="104"/>
      <c r="G1975" s="104"/>
      <c r="H1975" s="104"/>
      <c r="I1975" s="104"/>
      <c r="J1975" s="104"/>
      <c r="K1975" s="104"/>
      <c r="L1975" s="104"/>
      <c r="M1975" s="104"/>
      <c r="N1975" s="104"/>
      <c r="O1975" s="104"/>
      <c r="P1975" s="104"/>
      <c r="Q1975" s="104"/>
      <c r="R1975" s="104"/>
      <c r="S1975" s="104"/>
    </row>
    <row r="1976" spans="4:19">
      <c r="D1976" s="104"/>
      <c r="E1976" s="104"/>
      <c r="F1976" s="104"/>
      <c r="G1976" s="104"/>
      <c r="H1976" s="104"/>
      <c r="I1976" s="104"/>
      <c r="J1976" s="104"/>
      <c r="K1976" s="104"/>
      <c r="L1976" s="104"/>
      <c r="M1976" s="104"/>
      <c r="N1976" s="104"/>
      <c r="O1976" s="104"/>
      <c r="P1976" s="104"/>
      <c r="Q1976" s="104"/>
      <c r="R1976" s="104"/>
      <c r="S1976" s="104"/>
    </row>
    <row r="1977" spans="4:19">
      <c r="D1977" s="104"/>
      <c r="E1977" s="104"/>
      <c r="F1977" s="104"/>
      <c r="G1977" s="104"/>
      <c r="H1977" s="104"/>
      <c r="I1977" s="104"/>
      <c r="J1977" s="104"/>
      <c r="K1977" s="104"/>
      <c r="L1977" s="104"/>
      <c r="M1977" s="104"/>
      <c r="N1977" s="104"/>
      <c r="O1977" s="104"/>
      <c r="P1977" s="104"/>
      <c r="Q1977" s="104"/>
      <c r="R1977" s="104"/>
      <c r="S1977" s="104"/>
    </row>
    <row r="1978" spans="4:19">
      <c r="D1978" s="104"/>
      <c r="E1978" s="104"/>
      <c r="F1978" s="104"/>
      <c r="G1978" s="104"/>
      <c r="H1978" s="104"/>
      <c r="I1978" s="104"/>
      <c r="J1978" s="104"/>
      <c r="K1978" s="104"/>
      <c r="L1978" s="104"/>
      <c r="M1978" s="104"/>
      <c r="N1978" s="104"/>
      <c r="O1978" s="104"/>
      <c r="P1978" s="104"/>
      <c r="Q1978" s="104"/>
      <c r="R1978" s="104"/>
      <c r="S1978" s="104"/>
    </row>
    <row r="1979" spans="4:19">
      <c r="D1979" s="104"/>
      <c r="E1979" s="104"/>
      <c r="F1979" s="104"/>
      <c r="G1979" s="104"/>
      <c r="H1979" s="104"/>
      <c r="I1979" s="104"/>
      <c r="J1979" s="104"/>
      <c r="K1979" s="104"/>
      <c r="L1979" s="104"/>
      <c r="M1979" s="104"/>
      <c r="N1979" s="104"/>
      <c r="O1979" s="104"/>
      <c r="P1979" s="104"/>
      <c r="Q1979" s="104"/>
      <c r="R1979" s="104"/>
      <c r="S1979" s="104"/>
    </row>
    <row r="1980" spans="4:19">
      <c r="D1980" s="104"/>
      <c r="E1980" s="104"/>
      <c r="F1980" s="104"/>
      <c r="G1980" s="104"/>
      <c r="H1980" s="104"/>
      <c r="I1980" s="104"/>
      <c r="J1980" s="104"/>
      <c r="K1980" s="104"/>
      <c r="L1980" s="104"/>
      <c r="M1980" s="104"/>
      <c r="N1980" s="104"/>
      <c r="O1980" s="104"/>
      <c r="P1980" s="104"/>
      <c r="Q1980" s="104"/>
      <c r="R1980" s="104"/>
      <c r="S1980" s="104"/>
    </row>
    <row r="1981" spans="4:19">
      <c r="D1981" s="104"/>
      <c r="E1981" s="104"/>
      <c r="F1981" s="104"/>
      <c r="G1981" s="104"/>
      <c r="H1981" s="104"/>
      <c r="I1981" s="104"/>
      <c r="J1981" s="104"/>
      <c r="K1981" s="104"/>
      <c r="L1981" s="104"/>
      <c r="M1981" s="104"/>
      <c r="N1981" s="104"/>
      <c r="O1981" s="104"/>
      <c r="P1981" s="104"/>
      <c r="Q1981" s="104"/>
      <c r="R1981" s="104"/>
      <c r="S1981" s="104"/>
    </row>
    <row r="1982" spans="4:19">
      <c r="D1982" s="104"/>
      <c r="E1982" s="104"/>
      <c r="F1982" s="104"/>
      <c r="G1982" s="104"/>
      <c r="H1982" s="104"/>
      <c r="I1982" s="104"/>
      <c r="J1982" s="104"/>
      <c r="K1982" s="104"/>
      <c r="L1982" s="104"/>
      <c r="M1982" s="104"/>
      <c r="N1982" s="104"/>
      <c r="O1982" s="104"/>
      <c r="P1982" s="104"/>
      <c r="Q1982" s="104"/>
      <c r="R1982" s="104"/>
      <c r="S1982" s="104"/>
    </row>
    <row r="1983" spans="4:19">
      <c r="D1983" s="104"/>
      <c r="E1983" s="104"/>
      <c r="F1983" s="104"/>
      <c r="G1983" s="104"/>
      <c r="H1983" s="104"/>
      <c r="I1983" s="104"/>
      <c r="J1983" s="104"/>
      <c r="K1983" s="104"/>
      <c r="L1983" s="104"/>
      <c r="M1983" s="104"/>
      <c r="N1983" s="104"/>
      <c r="O1983" s="104"/>
      <c r="P1983" s="104"/>
      <c r="Q1983" s="104"/>
      <c r="R1983" s="104"/>
      <c r="S1983" s="104"/>
    </row>
    <row r="1984" spans="4:19">
      <c r="D1984" s="104"/>
      <c r="E1984" s="104"/>
      <c r="F1984" s="104"/>
      <c r="G1984" s="104"/>
      <c r="H1984" s="104"/>
      <c r="I1984" s="104"/>
      <c r="J1984" s="104"/>
      <c r="K1984" s="104"/>
      <c r="L1984" s="104"/>
      <c r="M1984" s="104"/>
      <c r="N1984" s="104"/>
      <c r="O1984" s="104"/>
      <c r="P1984" s="104"/>
      <c r="Q1984" s="104"/>
      <c r="R1984" s="104"/>
      <c r="S1984" s="104"/>
    </row>
    <row r="1985" spans="4:19">
      <c r="D1985" s="104"/>
      <c r="E1985" s="104"/>
      <c r="F1985" s="104"/>
      <c r="G1985" s="104"/>
      <c r="H1985" s="104"/>
      <c r="I1985" s="104"/>
      <c r="J1985" s="104"/>
      <c r="K1985" s="104"/>
      <c r="L1985" s="104"/>
      <c r="M1985" s="104"/>
      <c r="N1985" s="104"/>
      <c r="O1985" s="104"/>
      <c r="P1985" s="104"/>
      <c r="Q1985" s="104"/>
      <c r="R1985" s="104"/>
      <c r="S1985" s="104"/>
    </row>
    <row r="1986" spans="4:19">
      <c r="D1986" s="104"/>
      <c r="E1986" s="104"/>
      <c r="F1986" s="104"/>
      <c r="G1986" s="104"/>
      <c r="H1986" s="104"/>
      <c r="I1986" s="104"/>
      <c r="J1986" s="104"/>
      <c r="K1986" s="104"/>
      <c r="L1986" s="104"/>
      <c r="M1986" s="104"/>
      <c r="N1986" s="104"/>
      <c r="O1986" s="104"/>
      <c r="P1986" s="104"/>
      <c r="Q1986" s="104"/>
      <c r="R1986" s="104"/>
      <c r="S1986" s="104"/>
    </row>
    <row r="1987" spans="4:19">
      <c r="D1987" s="104"/>
      <c r="E1987" s="104"/>
      <c r="F1987" s="104"/>
      <c r="G1987" s="104"/>
      <c r="H1987" s="104"/>
      <c r="I1987" s="104"/>
      <c r="J1987" s="104"/>
      <c r="K1987" s="104"/>
      <c r="L1987" s="104"/>
      <c r="M1987" s="104"/>
      <c r="N1987" s="104"/>
      <c r="O1987" s="104"/>
      <c r="P1987" s="104"/>
      <c r="Q1987" s="104"/>
      <c r="R1987" s="104"/>
      <c r="S1987" s="104"/>
    </row>
    <row r="1988" spans="4:19">
      <c r="D1988" s="104"/>
      <c r="E1988" s="104"/>
      <c r="F1988" s="104"/>
      <c r="G1988" s="104"/>
      <c r="H1988" s="104"/>
      <c r="I1988" s="104"/>
      <c r="J1988" s="104"/>
      <c r="K1988" s="104"/>
      <c r="L1988" s="104"/>
      <c r="M1988" s="104"/>
      <c r="N1988" s="104"/>
      <c r="O1988" s="104"/>
      <c r="P1988" s="104"/>
      <c r="Q1988" s="104"/>
      <c r="R1988" s="104"/>
      <c r="S1988" s="104"/>
    </row>
    <row r="1989" spans="4:19">
      <c r="D1989" s="104"/>
      <c r="E1989" s="104"/>
      <c r="F1989" s="104"/>
      <c r="G1989" s="104"/>
      <c r="H1989" s="104"/>
      <c r="I1989" s="104"/>
      <c r="J1989" s="104"/>
      <c r="K1989" s="104"/>
      <c r="L1989" s="104"/>
      <c r="M1989" s="104"/>
      <c r="N1989" s="104"/>
      <c r="O1989" s="104"/>
      <c r="P1989" s="104"/>
      <c r="Q1989" s="104"/>
      <c r="R1989" s="104"/>
      <c r="S1989" s="104"/>
    </row>
    <row r="1990" spans="4:19">
      <c r="D1990" s="104"/>
      <c r="E1990" s="104"/>
      <c r="F1990" s="104"/>
      <c r="G1990" s="104"/>
      <c r="H1990" s="104"/>
      <c r="I1990" s="104"/>
      <c r="J1990" s="104"/>
      <c r="K1990" s="104"/>
      <c r="L1990" s="104"/>
      <c r="M1990" s="104"/>
      <c r="N1990" s="104"/>
      <c r="O1990" s="104"/>
      <c r="P1990" s="104"/>
      <c r="Q1990" s="104"/>
      <c r="R1990" s="104"/>
      <c r="S1990" s="104"/>
    </row>
    <row r="1991" spans="4:19">
      <c r="D1991" s="104"/>
      <c r="E1991" s="104"/>
      <c r="F1991" s="104"/>
      <c r="G1991" s="104"/>
      <c r="H1991" s="104"/>
      <c r="I1991" s="104"/>
      <c r="J1991" s="104"/>
      <c r="K1991" s="104"/>
      <c r="L1991" s="104"/>
      <c r="M1991" s="104"/>
      <c r="N1991" s="104"/>
      <c r="O1991" s="104"/>
      <c r="P1991" s="104"/>
      <c r="Q1991" s="104"/>
      <c r="R1991" s="104"/>
      <c r="S1991" s="104"/>
    </row>
    <row r="1992" spans="4:19">
      <c r="D1992" s="104"/>
      <c r="E1992" s="104"/>
      <c r="F1992" s="104"/>
      <c r="G1992" s="104"/>
      <c r="H1992" s="104"/>
      <c r="I1992" s="104"/>
      <c r="J1992" s="104"/>
      <c r="K1992" s="104"/>
      <c r="L1992" s="104"/>
      <c r="M1992" s="104"/>
      <c r="N1992" s="104"/>
      <c r="O1992" s="104"/>
      <c r="P1992" s="104"/>
      <c r="Q1992" s="104"/>
      <c r="R1992" s="104"/>
      <c r="S1992" s="104"/>
    </row>
    <row r="1993" spans="4:19">
      <c r="D1993" s="104"/>
      <c r="E1993" s="104"/>
      <c r="F1993" s="104"/>
      <c r="G1993" s="104"/>
      <c r="H1993" s="104"/>
      <c r="I1993" s="104"/>
      <c r="J1993" s="104"/>
      <c r="K1993" s="104"/>
      <c r="L1993" s="104"/>
      <c r="M1993" s="104"/>
      <c r="N1993" s="104"/>
      <c r="O1993" s="104"/>
      <c r="P1993" s="104"/>
      <c r="Q1993" s="104"/>
      <c r="R1993" s="104"/>
      <c r="S1993" s="104"/>
    </row>
    <row r="1994" spans="4:19">
      <c r="D1994" s="104"/>
      <c r="E1994" s="104"/>
      <c r="F1994" s="104"/>
      <c r="G1994" s="104"/>
      <c r="H1994" s="104"/>
      <c r="I1994" s="104"/>
      <c r="J1994" s="104"/>
      <c r="K1994" s="104"/>
      <c r="L1994" s="104"/>
      <c r="M1994" s="104"/>
      <c r="N1994" s="104"/>
      <c r="O1994" s="104"/>
      <c r="P1994" s="104"/>
      <c r="Q1994" s="104"/>
      <c r="R1994" s="104"/>
      <c r="S1994" s="104"/>
    </row>
    <row r="1995" spans="4:19">
      <c r="D1995" s="104"/>
      <c r="E1995" s="104"/>
      <c r="F1995" s="104"/>
      <c r="G1995" s="104"/>
      <c r="H1995" s="104"/>
      <c r="I1995" s="104"/>
      <c r="J1995" s="104"/>
      <c r="K1995" s="104"/>
      <c r="L1995" s="104"/>
      <c r="M1995" s="104"/>
      <c r="N1995" s="104"/>
      <c r="O1995" s="104"/>
      <c r="P1995" s="104"/>
      <c r="Q1995" s="104"/>
      <c r="R1995" s="104"/>
      <c r="S1995" s="104"/>
    </row>
    <row r="1996" spans="4:19">
      <c r="D1996" s="104"/>
      <c r="E1996" s="104"/>
      <c r="F1996" s="104"/>
      <c r="G1996" s="104"/>
      <c r="H1996" s="104"/>
      <c r="I1996" s="104"/>
      <c r="J1996" s="104"/>
      <c r="K1996" s="104"/>
      <c r="L1996" s="104"/>
      <c r="M1996" s="104"/>
      <c r="N1996" s="104"/>
      <c r="O1996" s="104"/>
      <c r="P1996" s="104"/>
      <c r="Q1996" s="104"/>
      <c r="R1996" s="104"/>
      <c r="S1996" s="104"/>
    </row>
    <row r="1997" spans="4:19">
      <c r="D1997" s="104"/>
      <c r="E1997" s="104"/>
      <c r="F1997" s="104"/>
      <c r="G1997" s="104"/>
      <c r="H1997" s="104"/>
      <c r="I1997" s="104"/>
      <c r="J1997" s="104"/>
      <c r="K1997" s="104"/>
      <c r="L1997" s="104"/>
      <c r="M1997" s="104"/>
      <c r="N1997" s="104"/>
      <c r="O1997" s="104"/>
      <c r="P1997" s="104"/>
      <c r="Q1997" s="104"/>
      <c r="R1997" s="104"/>
      <c r="S1997" s="104"/>
    </row>
    <row r="1998" spans="4:19">
      <c r="D1998" s="104"/>
      <c r="E1998" s="104"/>
      <c r="F1998" s="104"/>
      <c r="G1998" s="104"/>
      <c r="H1998" s="104"/>
      <c r="I1998" s="104"/>
      <c r="J1998" s="104"/>
      <c r="K1998" s="104"/>
      <c r="L1998" s="104"/>
      <c r="M1998" s="104"/>
      <c r="N1998" s="104"/>
      <c r="O1998" s="104"/>
      <c r="P1998" s="104"/>
      <c r="Q1998" s="104"/>
      <c r="R1998" s="104"/>
      <c r="S1998" s="104"/>
    </row>
    <row r="1999" spans="4:19">
      <c r="D1999" s="104"/>
      <c r="E1999" s="104"/>
      <c r="F1999" s="104"/>
      <c r="G1999" s="104"/>
      <c r="H1999" s="104"/>
      <c r="I1999" s="104"/>
      <c r="J1999" s="104"/>
      <c r="K1999" s="104"/>
      <c r="L1999" s="104"/>
      <c r="M1999" s="104"/>
      <c r="N1999" s="104"/>
      <c r="O1999" s="104"/>
      <c r="P1999" s="104"/>
      <c r="Q1999" s="104"/>
      <c r="R1999" s="104"/>
      <c r="S1999" s="104"/>
    </row>
    <row r="2000" spans="4:19">
      <c r="D2000" s="104"/>
      <c r="E2000" s="104"/>
      <c r="F2000" s="104"/>
      <c r="G2000" s="104"/>
      <c r="H2000" s="104"/>
      <c r="I2000" s="104"/>
      <c r="J2000" s="104"/>
      <c r="K2000" s="104"/>
      <c r="L2000" s="104"/>
      <c r="M2000" s="104"/>
      <c r="N2000" s="104"/>
      <c r="O2000" s="104"/>
      <c r="P2000" s="104"/>
      <c r="Q2000" s="104"/>
      <c r="R2000" s="104"/>
      <c r="S2000" s="104"/>
    </row>
    <row r="2001" spans="4:19">
      <c r="D2001" s="104"/>
      <c r="E2001" s="104"/>
      <c r="F2001" s="104"/>
      <c r="G2001" s="104"/>
      <c r="H2001" s="104"/>
      <c r="I2001" s="104"/>
      <c r="J2001" s="104"/>
      <c r="K2001" s="104"/>
      <c r="L2001" s="104"/>
      <c r="M2001" s="104"/>
      <c r="N2001" s="104"/>
      <c r="O2001" s="104"/>
      <c r="P2001" s="104"/>
      <c r="Q2001" s="104"/>
      <c r="R2001" s="104"/>
      <c r="S2001" s="104"/>
    </row>
    <row r="2002" spans="4:19">
      <c r="D2002" s="104"/>
      <c r="E2002" s="104"/>
      <c r="F2002" s="104"/>
      <c r="G2002" s="104"/>
      <c r="H2002" s="104"/>
      <c r="I2002" s="104"/>
      <c r="J2002" s="104"/>
      <c r="K2002" s="104"/>
      <c r="L2002" s="104"/>
      <c r="M2002" s="104"/>
      <c r="N2002" s="104"/>
      <c r="O2002" s="104"/>
      <c r="P2002" s="104"/>
      <c r="Q2002" s="104"/>
      <c r="R2002" s="104"/>
      <c r="S2002" s="104"/>
    </row>
    <row r="2003" spans="4:19">
      <c r="D2003" s="104"/>
      <c r="E2003" s="104"/>
      <c r="F2003" s="104"/>
      <c r="G2003" s="104"/>
      <c r="H2003" s="104"/>
      <c r="I2003" s="104"/>
      <c r="J2003" s="104"/>
      <c r="K2003" s="104"/>
      <c r="L2003" s="104"/>
      <c r="M2003" s="104"/>
      <c r="N2003" s="104"/>
      <c r="O2003" s="104"/>
      <c r="P2003" s="104"/>
      <c r="Q2003" s="104"/>
      <c r="R2003" s="104"/>
      <c r="S2003" s="104"/>
    </row>
    <row r="2004" spans="4:19">
      <c r="D2004" s="104"/>
      <c r="E2004" s="104"/>
      <c r="F2004" s="104"/>
      <c r="G2004" s="104"/>
      <c r="H2004" s="104"/>
      <c r="I2004" s="104"/>
      <c r="J2004" s="104"/>
      <c r="K2004" s="104"/>
      <c r="L2004" s="104"/>
      <c r="M2004" s="104"/>
      <c r="N2004" s="104"/>
      <c r="O2004" s="104"/>
      <c r="P2004" s="104"/>
      <c r="Q2004" s="104"/>
      <c r="R2004" s="104"/>
      <c r="S2004" s="104"/>
    </row>
    <row r="2005" spans="4:19">
      <c r="D2005" s="104"/>
      <c r="E2005" s="104"/>
      <c r="F2005" s="104"/>
      <c r="G2005" s="104"/>
      <c r="H2005" s="104"/>
      <c r="I2005" s="104"/>
      <c r="J2005" s="104"/>
      <c r="K2005" s="104"/>
      <c r="L2005" s="104"/>
      <c r="M2005" s="104"/>
      <c r="N2005" s="104"/>
      <c r="O2005" s="104"/>
      <c r="P2005" s="104"/>
      <c r="Q2005" s="104"/>
      <c r="R2005" s="104"/>
      <c r="S2005" s="104"/>
    </row>
    <row r="2006" spans="4:19">
      <c r="D2006" s="104"/>
      <c r="E2006" s="104"/>
      <c r="F2006" s="104"/>
      <c r="G2006" s="104"/>
      <c r="H2006" s="104"/>
      <c r="I2006" s="104"/>
      <c r="J2006" s="104"/>
      <c r="K2006" s="104"/>
      <c r="L2006" s="104"/>
      <c r="M2006" s="104"/>
      <c r="N2006" s="104"/>
      <c r="O2006" s="104"/>
      <c r="P2006" s="104"/>
      <c r="Q2006" s="104"/>
      <c r="R2006" s="104"/>
      <c r="S2006" s="104"/>
    </row>
    <row r="2007" spans="4:19">
      <c r="D2007" s="104"/>
      <c r="E2007" s="104"/>
      <c r="F2007" s="104"/>
      <c r="G2007" s="104"/>
      <c r="H2007" s="104"/>
      <c r="I2007" s="104"/>
      <c r="J2007" s="104"/>
      <c r="K2007" s="104"/>
      <c r="L2007" s="104"/>
      <c r="M2007" s="104"/>
      <c r="N2007" s="104"/>
      <c r="O2007" s="104"/>
      <c r="P2007" s="104"/>
      <c r="Q2007" s="104"/>
      <c r="R2007" s="104"/>
      <c r="S2007" s="104"/>
    </row>
    <row r="2008" spans="4:19">
      <c r="D2008" s="104"/>
      <c r="E2008" s="104"/>
      <c r="F2008" s="104"/>
      <c r="G2008" s="104"/>
      <c r="H2008" s="104"/>
      <c r="I2008" s="104"/>
      <c r="J2008" s="104"/>
      <c r="K2008" s="104"/>
      <c r="L2008" s="104"/>
      <c r="M2008" s="104"/>
      <c r="N2008" s="104"/>
      <c r="O2008" s="104"/>
      <c r="P2008" s="104"/>
      <c r="Q2008" s="104"/>
      <c r="R2008" s="104"/>
      <c r="S2008" s="104"/>
    </row>
    <row r="2009" spans="4:19">
      <c r="D2009" s="104"/>
      <c r="E2009" s="104"/>
      <c r="F2009" s="104"/>
      <c r="G2009" s="104"/>
      <c r="H2009" s="104"/>
      <c r="I2009" s="104"/>
      <c r="J2009" s="104"/>
      <c r="K2009" s="104"/>
      <c r="L2009" s="104"/>
      <c r="M2009" s="104"/>
      <c r="N2009" s="104"/>
      <c r="O2009" s="104"/>
      <c r="P2009" s="104"/>
      <c r="Q2009" s="104"/>
      <c r="R2009" s="104"/>
      <c r="S2009" s="104"/>
    </row>
    <row r="2010" spans="4:19">
      <c r="D2010" s="104"/>
      <c r="E2010" s="104"/>
      <c r="F2010" s="104"/>
      <c r="G2010" s="104"/>
      <c r="H2010" s="104"/>
      <c r="I2010" s="104"/>
      <c r="J2010" s="104"/>
      <c r="K2010" s="104"/>
      <c r="L2010" s="104"/>
      <c r="M2010" s="104"/>
      <c r="N2010" s="104"/>
      <c r="O2010" s="104"/>
      <c r="P2010" s="104"/>
      <c r="Q2010" s="104"/>
      <c r="R2010" s="104"/>
      <c r="S2010" s="104"/>
    </row>
    <row r="2011" spans="4:19">
      <c r="D2011" s="104"/>
      <c r="E2011" s="104"/>
      <c r="F2011" s="104"/>
      <c r="G2011" s="104"/>
      <c r="H2011" s="104"/>
      <c r="I2011" s="104"/>
      <c r="J2011" s="104"/>
      <c r="K2011" s="104"/>
      <c r="L2011" s="104"/>
      <c r="M2011" s="104"/>
      <c r="N2011" s="104"/>
      <c r="O2011" s="104"/>
      <c r="P2011" s="104"/>
      <c r="Q2011" s="104"/>
      <c r="R2011" s="104"/>
      <c r="S2011" s="104"/>
    </row>
    <row r="2012" spans="4:19">
      <c r="D2012" s="104"/>
      <c r="E2012" s="104"/>
      <c r="F2012" s="104"/>
      <c r="G2012" s="104"/>
      <c r="H2012" s="104"/>
      <c r="I2012" s="104"/>
      <c r="J2012" s="104"/>
      <c r="K2012" s="104"/>
      <c r="L2012" s="104"/>
      <c r="M2012" s="104"/>
      <c r="N2012" s="104"/>
      <c r="O2012" s="104"/>
      <c r="P2012" s="104"/>
      <c r="Q2012" s="104"/>
      <c r="R2012" s="104"/>
      <c r="S2012" s="104"/>
    </row>
    <row r="2013" spans="4:19">
      <c r="D2013" s="104"/>
      <c r="E2013" s="104"/>
      <c r="F2013" s="104"/>
      <c r="G2013" s="104"/>
      <c r="H2013" s="104"/>
      <c r="I2013" s="104"/>
      <c r="J2013" s="104"/>
      <c r="K2013" s="104"/>
      <c r="L2013" s="104"/>
      <c r="M2013" s="104"/>
      <c r="N2013" s="104"/>
      <c r="O2013" s="104"/>
      <c r="P2013" s="104"/>
      <c r="Q2013" s="104"/>
      <c r="R2013" s="104"/>
      <c r="S2013" s="104"/>
    </row>
    <row r="2014" spans="4:19">
      <c r="D2014" s="104"/>
      <c r="E2014" s="104"/>
      <c r="F2014" s="104"/>
      <c r="G2014" s="104"/>
      <c r="H2014" s="104"/>
      <c r="I2014" s="104"/>
      <c r="J2014" s="104"/>
      <c r="K2014" s="104"/>
      <c r="L2014" s="104"/>
      <c r="M2014" s="104"/>
      <c r="N2014" s="104"/>
      <c r="O2014" s="104"/>
      <c r="P2014" s="104"/>
      <c r="Q2014" s="104"/>
      <c r="R2014" s="104"/>
      <c r="S2014" s="104"/>
    </row>
    <row r="2015" spans="4:19">
      <c r="D2015" s="104"/>
      <c r="E2015" s="104"/>
      <c r="F2015" s="104"/>
      <c r="G2015" s="104"/>
      <c r="H2015" s="104"/>
      <c r="I2015" s="104"/>
      <c r="J2015" s="104"/>
      <c r="K2015" s="104"/>
      <c r="L2015" s="104"/>
      <c r="M2015" s="104"/>
      <c r="N2015" s="104"/>
      <c r="O2015" s="104"/>
      <c r="P2015" s="104"/>
      <c r="Q2015" s="104"/>
      <c r="R2015" s="104"/>
      <c r="S2015" s="104"/>
    </row>
    <row r="2016" spans="4:19">
      <c r="D2016" s="104"/>
      <c r="E2016" s="104"/>
      <c r="F2016" s="104"/>
      <c r="G2016" s="104"/>
      <c r="H2016" s="104"/>
      <c r="I2016" s="104"/>
      <c r="J2016" s="104"/>
      <c r="K2016" s="104"/>
      <c r="L2016" s="104"/>
      <c r="M2016" s="104"/>
      <c r="N2016" s="104"/>
      <c r="O2016" s="104"/>
      <c r="P2016" s="104"/>
      <c r="Q2016" s="104"/>
      <c r="R2016" s="104"/>
      <c r="S2016" s="104"/>
    </row>
    <row r="2017" spans="4:19">
      <c r="D2017" s="104"/>
      <c r="E2017" s="104"/>
      <c r="F2017" s="104"/>
      <c r="G2017" s="104"/>
      <c r="H2017" s="104"/>
      <c r="I2017" s="104"/>
      <c r="J2017" s="104"/>
      <c r="K2017" s="104"/>
      <c r="L2017" s="104"/>
      <c r="M2017" s="104"/>
      <c r="N2017" s="104"/>
      <c r="O2017" s="104"/>
      <c r="P2017" s="104"/>
      <c r="Q2017" s="104"/>
      <c r="R2017" s="104"/>
      <c r="S2017" s="104"/>
    </row>
    <row r="2018" spans="4:19">
      <c r="D2018" s="104"/>
      <c r="E2018" s="104"/>
      <c r="F2018" s="104"/>
      <c r="G2018" s="104"/>
      <c r="H2018" s="104"/>
      <c r="I2018" s="104"/>
      <c r="J2018" s="104"/>
      <c r="K2018" s="104"/>
      <c r="L2018" s="104"/>
      <c r="M2018" s="104"/>
      <c r="N2018" s="104"/>
      <c r="O2018" s="104"/>
      <c r="P2018" s="104"/>
      <c r="Q2018" s="104"/>
      <c r="R2018" s="104"/>
      <c r="S2018" s="104"/>
    </row>
    <row r="2019" spans="4:19">
      <c r="D2019" s="104"/>
      <c r="E2019" s="104"/>
      <c r="F2019" s="104"/>
      <c r="G2019" s="104"/>
      <c r="H2019" s="104"/>
      <c r="I2019" s="104"/>
      <c r="J2019" s="104"/>
      <c r="K2019" s="104"/>
      <c r="L2019" s="104"/>
      <c r="M2019" s="104"/>
      <c r="N2019" s="104"/>
      <c r="O2019" s="104"/>
      <c r="P2019" s="104"/>
      <c r="Q2019" s="104"/>
      <c r="R2019" s="104"/>
      <c r="S2019" s="104"/>
    </row>
    <row r="2020" spans="4:19">
      <c r="D2020" s="104"/>
      <c r="E2020" s="104"/>
      <c r="F2020" s="104"/>
      <c r="G2020" s="104"/>
      <c r="H2020" s="104"/>
      <c r="I2020" s="104"/>
      <c r="J2020" s="104"/>
      <c r="K2020" s="104"/>
      <c r="L2020" s="104"/>
      <c r="M2020" s="104"/>
      <c r="N2020" s="104"/>
      <c r="O2020" s="104"/>
      <c r="P2020" s="104"/>
      <c r="Q2020" s="104"/>
      <c r="R2020" s="104"/>
      <c r="S2020" s="104"/>
    </row>
    <row r="2021" spans="4:19">
      <c r="D2021" s="104"/>
      <c r="E2021" s="104"/>
      <c r="F2021" s="104"/>
      <c r="G2021" s="104"/>
      <c r="H2021" s="104"/>
      <c r="I2021" s="104"/>
      <c r="J2021" s="104"/>
      <c r="K2021" s="104"/>
      <c r="L2021" s="104"/>
      <c r="M2021" s="104"/>
      <c r="N2021" s="104"/>
      <c r="O2021" s="104"/>
      <c r="P2021" s="104"/>
      <c r="Q2021" s="104"/>
      <c r="R2021" s="104"/>
      <c r="S2021" s="104"/>
    </row>
    <row r="2022" spans="4:19">
      <c r="D2022" s="104"/>
      <c r="E2022" s="104"/>
      <c r="F2022" s="104"/>
      <c r="G2022" s="104"/>
      <c r="H2022" s="104"/>
      <c r="I2022" s="104"/>
      <c r="J2022" s="104"/>
      <c r="K2022" s="104"/>
      <c r="L2022" s="104"/>
      <c r="M2022" s="104"/>
      <c r="N2022" s="104"/>
      <c r="O2022" s="104"/>
      <c r="P2022" s="104"/>
      <c r="Q2022" s="104"/>
      <c r="R2022" s="104"/>
      <c r="S2022" s="104"/>
    </row>
    <row r="2023" spans="4:19">
      <c r="D2023" s="104"/>
      <c r="E2023" s="104"/>
      <c r="F2023" s="104"/>
      <c r="G2023" s="104"/>
      <c r="H2023" s="104"/>
      <c r="I2023" s="104"/>
      <c r="J2023" s="104"/>
      <c r="K2023" s="104"/>
      <c r="L2023" s="104"/>
      <c r="M2023" s="104"/>
      <c r="N2023" s="104"/>
      <c r="O2023" s="104"/>
      <c r="P2023" s="104"/>
      <c r="Q2023" s="104"/>
      <c r="R2023" s="104"/>
      <c r="S2023" s="104"/>
    </row>
    <row r="2024" spans="4:19">
      <c r="D2024" s="104"/>
      <c r="E2024" s="104"/>
      <c r="F2024" s="104"/>
      <c r="G2024" s="104"/>
      <c r="H2024" s="104"/>
      <c r="I2024" s="104"/>
      <c r="J2024" s="104"/>
      <c r="K2024" s="104"/>
      <c r="L2024" s="104"/>
      <c r="M2024" s="104"/>
      <c r="N2024" s="104"/>
      <c r="O2024" s="104"/>
      <c r="P2024" s="104"/>
      <c r="Q2024" s="104"/>
      <c r="R2024" s="104"/>
      <c r="S2024" s="104"/>
    </row>
    <row r="2025" spans="4:19">
      <c r="D2025" s="104"/>
      <c r="E2025" s="104"/>
      <c r="F2025" s="104"/>
      <c r="G2025" s="104"/>
      <c r="H2025" s="104"/>
      <c r="I2025" s="104"/>
      <c r="J2025" s="104"/>
      <c r="K2025" s="104"/>
      <c r="L2025" s="104"/>
      <c r="M2025" s="104"/>
      <c r="N2025" s="104"/>
      <c r="O2025" s="104"/>
      <c r="P2025" s="104"/>
      <c r="Q2025" s="104"/>
      <c r="R2025" s="104"/>
      <c r="S2025" s="104"/>
    </row>
    <row r="2026" spans="4:19">
      <c r="D2026" s="104"/>
      <c r="E2026" s="104"/>
      <c r="F2026" s="104"/>
      <c r="G2026" s="104"/>
      <c r="H2026" s="104"/>
      <c r="I2026" s="104"/>
      <c r="J2026" s="104"/>
      <c r="K2026" s="104"/>
      <c r="L2026" s="104"/>
      <c r="M2026" s="104"/>
      <c r="N2026" s="104"/>
      <c r="O2026" s="104"/>
      <c r="P2026" s="104"/>
      <c r="Q2026" s="104"/>
      <c r="R2026" s="104"/>
      <c r="S2026" s="104"/>
    </row>
    <row r="2027" spans="4:19">
      <c r="D2027" s="104"/>
      <c r="E2027" s="104"/>
      <c r="F2027" s="104"/>
      <c r="G2027" s="104"/>
      <c r="H2027" s="104"/>
      <c r="I2027" s="104"/>
      <c r="J2027" s="104"/>
      <c r="K2027" s="104"/>
      <c r="L2027" s="104"/>
      <c r="M2027" s="104"/>
      <c r="N2027" s="104"/>
      <c r="O2027" s="104"/>
      <c r="P2027" s="104"/>
      <c r="Q2027" s="104"/>
      <c r="R2027" s="104"/>
      <c r="S2027" s="104"/>
    </row>
    <row r="2028" spans="4:19">
      <c r="D2028" s="104"/>
      <c r="E2028" s="104"/>
      <c r="F2028" s="104"/>
      <c r="G2028" s="104"/>
      <c r="H2028" s="104"/>
      <c r="I2028" s="104"/>
      <c r="J2028" s="104"/>
      <c r="K2028" s="104"/>
      <c r="L2028" s="104"/>
      <c r="M2028" s="104"/>
      <c r="N2028" s="104"/>
      <c r="O2028" s="104"/>
      <c r="P2028" s="104"/>
      <c r="Q2028" s="104"/>
      <c r="R2028" s="104"/>
      <c r="S2028" s="104"/>
    </row>
    <row r="2029" spans="4:19">
      <c r="D2029" s="104"/>
      <c r="E2029" s="104"/>
      <c r="F2029" s="104"/>
      <c r="G2029" s="104"/>
      <c r="H2029" s="104"/>
      <c r="I2029" s="104"/>
      <c r="J2029" s="104"/>
      <c r="K2029" s="104"/>
      <c r="L2029" s="104"/>
      <c r="M2029" s="104"/>
      <c r="N2029" s="104"/>
      <c r="O2029" s="104"/>
      <c r="P2029" s="104"/>
      <c r="Q2029" s="104"/>
      <c r="R2029" s="104"/>
      <c r="S2029" s="104"/>
    </row>
    <row r="2030" spans="4:19">
      <c r="D2030" s="104"/>
      <c r="E2030" s="104"/>
      <c r="F2030" s="104"/>
      <c r="G2030" s="104"/>
      <c r="H2030" s="104"/>
      <c r="I2030" s="104"/>
      <c r="J2030" s="104"/>
      <c r="K2030" s="104"/>
      <c r="L2030" s="104"/>
      <c r="M2030" s="104"/>
      <c r="N2030" s="104"/>
      <c r="O2030" s="104"/>
      <c r="P2030" s="104"/>
      <c r="Q2030" s="104"/>
      <c r="R2030" s="104"/>
      <c r="S2030" s="104"/>
    </row>
    <row r="2031" spans="4:19">
      <c r="D2031" s="104"/>
      <c r="E2031" s="104"/>
      <c r="F2031" s="104"/>
      <c r="G2031" s="104"/>
      <c r="H2031" s="104"/>
      <c r="I2031" s="104"/>
      <c r="J2031" s="104"/>
      <c r="K2031" s="104"/>
      <c r="L2031" s="104"/>
      <c r="M2031" s="104"/>
      <c r="N2031" s="104"/>
      <c r="O2031" s="104"/>
      <c r="P2031" s="104"/>
      <c r="Q2031" s="104"/>
      <c r="R2031" s="104"/>
      <c r="S2031" s="104"/>
    </row>
    <row r="2032" spans="4:19">
      <c r="D2032" s="104"/>
      <c r="E2032" s="104"/>
      <c r="F2032" s="104"/>
      <c r="G2032" s="104"/>
      <c r="H2032" s="104"/>
      <c r="I2032" s="104"/>
      <c r="J2032" s="104"/>
      <c r="K2032" s="104"/>
      <c r="L2032" s="104"/>
      <c r="M2032" s="104"/>
      <c r="N2032" s="104"/>
      <c r="O2032" s="104"/>
      <c r="P2032" s="104"/>
      <c r="Q2032" s="104"/>
      <c r="R2032" s="104"/>
      <c r="S2032" s="104"/>
    </row>
    <row r="2033" spans="4:19">
      <c r="D2033" s="104"/>
      <c r="E2033" s="104"/>
      <c r="F2033" s="104"/>
      <c r="G2033" s="104"/>
      <c r="H2033" s="104"/>
      <c r="I2033" s="104"/>
      <c r="J2033" s="104"/>
      <c r="K2033" s="104"/>
      <c r="L2033" s="104"/>
      <c r="M2033" s="104"/>
      <c r="N2033" s="104"/>
      <c r="O2033" s="104"/>
      <c r="P2033" s="104"/>
      <c r="Q2033" s="104"/>
      <c r="R2033" s="104"/>
      <c r="S2033" s="104"/>
    </row>
    <row r="2034" spans="4:19">
      <c r="D2034" s="104"/>
      <c r="E2034" s="104"/>
      <c r="F2034" s="104"/>
      <c r="G2034" s="104"/>
      <c r="H2034" s="104"/>
      <c r="I2034" s="104"/>
      <c r="J2034" s="104"/>
      <c r="K2034" s="104"/>
      <c r="L2034" s="104"/>
      <c r="M2034" s="104"/>
      <c r="N2034" s="104"/>
      <c r="O2034" s="104"/>
      <c r="P2034" s="104"/>
      <c r="Q2034" s="104"/>
      <c r="R2034" s="104"/>
      <c r="S2034" s="104"/>
    </row>
    <row r="2035" spans="4:19">
      <c r="D2035" s="104"/>
      <c r="E2035" s="104"/>
      <c r="F2035" s="104"/>
      <c r="G2035" s="104"/>
      <c r="H2035" s="104"/>
      <c r="I2035" s="104"/>
      <c r="J2035" s="104"/>
      <c r="K2035" s="104"/>
      <c r="L2035" s="104"/>
      <c r="M2035" s="104"/>
      <c r="N2035" s="104"/>
      <c r="O2035" s="104"/>
      <c r="P2035" s="104"/>
      <c r="Q2035" s="104"/>
      <c r="R2035" s="104"/>
      <c r="S2035" s="104"/>
    </row>
    <row r="2036" spans="4:19">
      <c r="D2036" s="104"/>
      <c r="E2036" s="104"/>
      <c r="F2036" s="104"/>
      <c r="G2036" s="104"/>
      <c r="H2036" s="104"/>
      <c r="I2036" s="104"/>
      <c r="J2036" s="104"/>
      <c r="K2036" s="104"/>
      <c r="L2036" s="104"/>
      <c r="M2036" s="104"/>
      <c r="N2036" s="104"/>
      <c r="O2036" s="104"/>
      <c r="P2036" s="104"/>
      <c r="Q2036" s="104"/>
      <c r="R2036" s="104"/>
      <c r="S2036" s="104"/>
    </row>
    <row r="2037" spans="4:19">
      <c r="D2037" s="104"/>
      <c r="E2037" s="104"/>
      <c r="F2037" s="104"/>
      <c r="G2037" s="104"/>
      <c r="H2037" s="104"/>
      <c r="I2037" s="104"/>
      <c r="J2037" s="104"/>
      <c r="K2037" s="104"/>
      <c r="L2037" s="104"/>
      <c r="M2037" s="104"/>
      <c r="N2037" s="104"/>
      <c r="O2037" s="104"/>
      <c r="P2037" s="104"/>
      <c r="Q2037" s="104"/>
      <c r="R2037" s="104"/>
      <c r="S2037" s="104"/>
    </row>
    <row r="2038" spans="4:19">
      <c r="D2038" s="104"/>
      <c r="E2038" s="104"/>
      <c r="F2038" s="104"/>
      <c r="G2038" s="104"/>
      <c r="H2038" s="104"/>
      <c r="I2038" s="104"/>
      <c r="J2038" s="104"/>
      <c r="K2038" s="104"/>
      <c r="L2038" s="104"/>
      <c r="M2038" s="104"/>
      <c r="N2038" s="104"/>
      <c r="O2038" s="104"/>
      <c r="P2038" s="104"/>
      <c r="Q2038" s="104"/>
      <c r="R2038" s="104"/>
      <c r="S2038" s="104"/>
    </row>
    <row r="2039" spans="4:19">
      <c r="D2039" s="104"/>
      <c r="E2039" s="104"/>
      <c r="F2039" s="104"/>
      <c r="G2039" s="104"/>
      <c r="H2039" s="104"/>
      <c r="I2039" s="104"/>
      <c r="J2039" s="104"/>
      <c r="K2039" s="104"/>
      <c r="L2039" s="104"/>
      <c r="M2039" s="104"/>
      <c r="N2039" s="104"/>
      <c r="O2039" s="104"/>
      <c r="P2039" s="104"/>
      <c r="Q2039" s="104"/>
      <c r="R2039" s="104"/>
      <c r="S2039" s="104"/>
    </row>
    <row r="2040" spans="4:19">
      <c r="D2040" s="104"/>
      <c r="E2040" s="104"/>
      <c r="F2040" s="104"/>
      <c r="G2040" s="104"/>
      <c r="H2040" s="104"/>
      <c r="I2040" s="104"/>
      <c r="J2040" s="104"/>
      <c r="K2040" s="104"/>
      <c r="L2040" s="104"/>
      <c r="M2040" s="104"/>
      <c r="N2040" s="104"/>
      <c r="O2040" s="104"/>
      <c r="P2040" s="104"/>
      <c r="Q2040" s="104"/>
      <c r="R2040" s="104"/>
      <c r="S2040" s="104"/>
    </row>
    <row r="2041" spans="4:19">
      <c r="D2041" s="104"/>
      <c r="E2041" s="104"/>
      <c r="F2041" s="104"/>
      <c r="G2041" s="104"/>
      <c r="H2041" s="104"/>
      <c r="I2041" s="104"/>
      <c r="J2041" s="104"/>
      <c r="K2041" s="104"/>
      <c r="L2041" s="104"/>
      <c r="M2041" s="104"/>
      <c r="N2041" s="104"/>
      <c r="O2041" s="104"/>
      <c r="P2041" s="104"/>
      <c r="Q2041" s="104"/>
      <c r="R2041" s="104"/>
      <c r="S2041" s="104"/>
    </row>
    <row r="2042" spans="4:19">
      <c r="D2042" s="104"/>
      <c r="E2042" s="104"/>
      <c r="F2042" s="104"/>
      <c r="G2042" s="104"/>
      <c r="H2042" s="104"/>
      <c r="I2042" s="104"/>
      <c r="J2042" s="104"/>
      <c r="K2042" s="104"/>
      <c r="L2042" s="104"/>
      <c r="M2042" s="104"/>
      <c r="N2042" s="104"/>
      <c r="O2042" s="104"/>
      <c r="P2042" s="104"/>
      <c r="Q2042" s="104"/>
      <c r="R2042" s="104"/>
      <c r="S2042" s="104"/>
    </row>
    <row r="2043" spans="4:19">
      <c r="D2043" s="104"/>
      <c r="E2043" s="104"/>
      <c r="F2043" s="104"/>
      <c r="G2043" s="104"/>
      <c r="H2043" s="104"/>
      <c r="I2043" s="104"/>
      <c r="J2043" s="104"/>
      <c r="K2043" s="104"/>
      <c r="L2043" s="104"/>
      <c r="M2043" s="104"/>
      <c r="N2043" s="104"/>
      <c r="O2043" s="104"/>
      <c r="P2043" s="104"/>
      <c r="Q2043" s="104"/>
      <c r="R2043" s="104"/>
      <c r="S2043" s="104"/>
    </row>
    <row r="2044" spans="4:19">
      <c r="D2044" s="104"/>
      <c r="E2044" s="104"/>
      <c r="F2044" s="104"/>
      <c r="G2044" s="104"/>
      <c r="H2044" s="104"/>
      <c r="I2044" s="104"/>
      <c r="J2044" s="104"/>
      <c r="K2044" s="104"/>
      <c r="L2044" s="104"/>
      <c r="M2044" s="104"/>
      <c r="N2044" s="104"/>
      <c r="O2044" s="104"/>
      <c r="P2044" s="104"/>
      <c r="Q2044" s="104"/>
      <c r="R2044" s="104"/>
      <c r="S2044" s="104"/>
    </row>
    <row r="2045" spans="4:19">
      <c r="D2045" s="104"/>
      <c r="E2045" s="104"/>
      <c r="F2045" s="104"/>
      <c r="G2045" s="104"/>
      <c r="H2045" s="104"/>
      <c r="I2045" s="104"/>
      <c r="J2045" s="104"/>
      <c r="K2045" s="104"/>
      <c r="L2045" s="104"/>
      <c r="M2045" s="104"/>
      <c r="N2045" s="104"/>
      <c r="O2045" s="104"/>
      <c r="P2045" s="104"/>
      <c r="Q2045" s="104"/>
      <c r="R2045" s="104"/>
      <c r="S2045" s="104"/>
    </row>
    <row r="2046" spans="4:19">
      <c r="D2046" s="104"/>
      <c r="E2046" s="104"/>
      <c r="F2046" s="104"/>
      <c r="G2046" s="104"/>
      <c r="H2046" s="104"/>
      <c r="I2046" s="104"/>
      <c r="J2046" s="104"/>
      <c r="K2046" s="104"/>
      <c r="L2046" s="104"/>
      <c r="M2046" s="104"/>
      <c r="N2046" s="104"/>
      <c r="O2046" s="104"/>
      <c r="P2046" s="104"/>
      <c r="Q2046" s="104"/>
      <c r="R2046" s="104"/>
      <c r="S2046" s="104"/>
    </row>
    <row r="2047" spans="4:19">
      <c r="D2047" s="104"/>
      <c r="E2047" s="104"/>
      <c r="F2047" s="104"/>
      <c r="G2047" s="104"/>
      <c r="H2047" s="104"/>
      <c r="I2047" s="104"/>
      <c r="J2047" s="104"/>
      <c r="K2047" s="104"/>
      <c r="L2047" s="104"/>
      <c r="M2047" s="104"/>
      <c r="N2047" s="104"/>
      <c r="O2047" s="104"/>
      <c r="P2047" s="104"/>
      <c r="Q2047" s="104"/>
      <c r="R2047" s="104"/>
      <c r="S2047" s="104"/>
    </row>
    <row r="2048" spans="4:19">
      <c r="D2048" s="104"/>
      <c r="E2048" s="104"/>
      <c r="F2048" s="104"/>
      <c r="G2048" s="104"/>
      <c r="H2048" s="104"/>
      <c r="I2048" s="104"/>
      <c r="J2048" s="104"/>
      <c r="K2048" s="104"/>
      <c r="L2048" s="104"/>
      <c r="M2048" s="104"/>
      <c r="N2048" s="104"/>
      <c r="O2048" s="104"/>
      <c r="P2048" s="104"/>
      <c r="Q2048" s="104"/>
      <c r="R2048" s="104"/>
      <c r="S2048" s="104"/>
    </row>
    <row r="2049" spans="4:19">
      <c r="D2049" s="104"/>
      <c r="E2049" s="104"/>
      <c r="F2049" s="104"/>
      <c r="G2049" s="104"/>
      <c r="H2049" s="104"/>
      <c r="I2049" s="104"/>
      <c r="J2049" s="104"/>
      <c r="K2049" s="104"/>
      <c r="L2049" s="104"/>
      <c r="M2049" s="104"/>
      <c r="N2049" s="104"/>
      <c r="O2049" s="104"/>
      <c r="P2049" s="104"/>
      <c r="Q2049" s="104"/>
      <c r="R2049" s="104"/>
      <c r="S2049" s="104"/>
    </row>
    <row r="2050" spans="4:19">
      <c r="D2050" s="104"/>
      <c r="E2050" s="104"/>
      <c r="F2050" s="104"/>
      <c r="G2050" s="104"/>
      <c r="H2050" s="104"/>
      <c r="I2050" s="104"/>
      <c r="J2050" s="104"/>
      <c r="K2050" s="104"/>
      <c r="L2050" s="104"/>
      <c r="M2050" s="104"/>
      <c r="N2050" s="104"/>
      <c r="O2050" s="104"/>
      <c r="P2050" s="104"/>
      <c r="Q2050" s="104"/>
      <c r="R2050" s="104"/>
      <c r="S2050" s="104"/>
    </row>
    <row r="2051" spans="4:19">
      <c r="D2051" s="104"/>
      <c r="E2051" s="104"/>
      <c r="F2051" s="104"/>
      <c r="G2051" s="104"/>
      <c r="H2051" s="104"/>
      <c r="I2051" s="104"/>
      <c r="J2051" s="104"/>
      <c r="K2051" s="104"/>
      <c r="L2051" s="104"/>
      <c r="M2051" s="104"/>
      <c r="N2051" s="104"/>
      <c r="O2051" s="104"/>
      <c r="P2051" s="104"/>
      <c r="Q2051" s="104"/>
      <c r="R2051" s="104"/>
      <c r="S2051" s="104"/>
    </row>
    <row r="2052" spans="4:19">
      <c r="D2052" s="104"/>
      <c r="E2052" s="104"/>
      <c r="F2052" s="104"/>
      <c r="G2052" s="104"/>
      <c r="H2052" s="104"/>
      <c r="I2052" s="104"/>
      <c r="J2052" s="104"/>
      <c r="K2052" s="104"/>
      <c r="L2052" s="104"/>
      <c r="M2052" s="104"/>
      <c r="N2052" s="104"/>
      <c r="O2052" s="104"/>
      <c r="P2052" s="104"/>
      <c r="Q2052" s="104"/>
      <c r="R2052" s="104"/>
      <c r="S2052" s="104"/>
    </row>
    <row r="2053" spans="4:19">
      <c r="D2053" s="104"/>
      <c r="E2053" s="104"/>
      <c r="F2053" s="104"/>
      <c r="G2053" s="104"/>
      <c r="H2053" s="104"/>
      <c r="I2053" s="104"/>
      <c r="J2053" s="104"/>
      <c r="K2053" s="104"/>
      <c r="L2053" s="104"/>
      <c r="M2053" s="104"/>
      <c r="N2053" s="104"/>
      <c r="O2053" s="104"/>
      <c r="P2053" s="104"/>
      <c r="Q2053" s="104"/>
      <c r="R2053" s="104"/>
      <c r="S2053" s="104"/>
    </row>
    <row r="2054" spans="4:19">
      <c r="D2054" s="104"/>
      <c r="E2054" s="104"/>
      <c r="F2054" s="104"/>
      <c r="G2054" s="104"/>
      <c r="H2054" s="104"/>
      <c r="I2054" s="104"/>
      <c r="J2054" s="104"/>
      <c r="K2054" s="104"/>
      <c r="L2054" s="104"/>
      <c r="M2054" s="104"/>
      <c r="N2054" s="104"/>
      <c r="O2054" s="104"/>
      <c r="P2054" s="104"/>
      <c r="Q2054" s="104"/>
      <c r="R2054" s="104"/>
      <c r="S2054" s="104"/>
    </row>
    <row r="2055" spans="4:19">
      <c r="D2055" s="104"/>
      <c r="E2055" s="104"/>
      <c r="F2055" s="104"/>
      <c r="G2055" s="104"/>
      <c r="H2055" s="104"/>
      <c r="I2055" s="104"/>
      <c r="J2055" s="104"/>
      <c r="K2055" s="104"/>
      <c r="L2055" s="104"/>
      <c r="M2055" s="104"/>
      <c r="N2055" s="104"/>
      <c r="O2055" s="104"/>
      <c r="P2055" s="104"/>
      <c r="Q2055" s="104"/>
      <c r="R2055" s="104"/>
      <c r="S2055" s="104"/>
    </row>
    <row r="2056" spans="4:19">
      <c r="D2056" s="104"/>
      <c r="E2056" s="104"/>
      <c r="F2056" s="104"/>
      <c r="G2056" s="104"/>
      <c r="H2056" s="104"/>
      <c r="I2056" s="104"/>
      <c r="J2056" s="104"/>
      <c r="K2056" s="104"/>
      <c r="L2056" s="104"/>
      <c r="M2056" s="104"/>
      <c r="N2056" s="104"/>
      <c r="O2056" s="104"/>
      <c r="P2056" s="104"/>
      <c r="Q2056" s="104"/>
      <c r="R2056" s="104"/>
      <c r="S2056" s="104"/>
    </row>
    <row r="2057" spans="4:19">
      <c r="D2057" s="104"/>
      <c r="E2057" s="104"/>
      <c r="F2057" s="104"/>
      <c r="G2057" s="104"/>
      <c r="H2057" s="104"/>
      <c r="I2057" s="104"/>
      <c r="J2057" s="104"/>
      <c r="K2057" s="104"/>
      <c r="L2057" s="104"/>
      <c r="M2057" s="104"/>
      <c r="N2057" s="104"/>
      <c r="O2057" s="104"/>
      <c r="P2057" s="104"/>
      <c r="Q2057" s="104"/>
      <c r="R2057" s="104"/>
      <c r="S2057" s="104"/>
    </row>
    <row r="2058" spans="4:19">
      <c r="D2058" s="104"/>
      <c r="E2058" s="104"/>
      <c r="F2058" s="104"/>
      <c r="G2058" s="104"/>
      <c r="H2058" s="104"/>
      <c r="I2058" s="104"/>
      <c r="J2058" s="104"/>
      <c r="K2058" s="104"/>
      <c r="L2058" s="104"/>
      <c r="M2058" s="104"/>
      <c r="N2058" s="104"/>
      <c r="O2058" s="104"/>
      <c r="P2058" s="104"/>
      <c r="Q2058" s="104"/>
      <c r="R2058" s="104"/>
      <c r="S2058" s="104"/>
    </row>
    <row r="2059" spans="4:19">
      <c r="D2059" s="104"/>
      <c r="E2059" s="104"/>
      <c r="F2059" s="104"/>
      <c r="G2059" s="104"/>
      <c r="H2059" s="104"/>
      <c r="I2059" s="104"/>
      <c r="J2059" s="104"/>
      <c r="K2059" s="104"/>
      <c r="L2059" s="104"/>
      <c r="M2059" s="104"/>
      <c r="N2059" s="104"/>
      <c r="O2059" s="104"/>
      <c r="P2059" s="104"/>
      <c r="Q2059" s="104"/>
      <c r="R2059" s="104"/>
      <c r="S2059" s="104"/>
    </row>
    <row r="2060" spans="4:19">
      <c r="D2060" s="104"/>
      <c r="E2060" s="104"/>
      <c r="F2060" s="104"/>
      <c r="G2060" s="104"/>
      <c r="H2060" s="104"/>
      <c r="I2060" s="104"/>
      <c r="J2060" s="104"/>
      <c r="K2060" s="104"/>
      <c r="L2060" s="104"/>
      <c r="M2060" s="104"/>
      <c r="N2060" s="104"/>
      <c r="O2060" s="104"/>
      <c r="P2060" s="104"/>
      <c r="Q2060" s="104"/>
      <c r="R2060" s="104"/>
      <c r="S2060" s="104"/>
    </row>
    <row r="2061" spans="4:19">
      <c r="D2061" s="104"/>
      <c r="E2061" s="104"/>
      <c r="F2061" s="104"/>
      <c r="G2061" s="104"/>
      <c r="H2061" s="104"/>
      <c r="I2061" s="104"/>
      <c r="J2061" s="104"/>
      <c r="K2061" s="104"/>
      <c r="L2061" s="104"/>
      <c r="M2061" s="104"/>
      <c r="N2061" s="104"/>
      <c r="O2061" s="104"/>
      <c r="P2061" s="104"/>
      <c r="Q2061" s="104"/>
      <c r="R2061" s="104"/>
      <c r="S2061" s="104"/>
    </row>
    <row r="2062" spans="4:19">
      <c r="D2062" s="104"/>
      <c r="E2062" s="104"/>
      <c r="F2062" s="104"/>
      <c r="G2062" s="104"/>
      <c r="H2062" s="104"/>
      <c r="I2062" s="104"/>
      <c r="J2062" s="104"/>
      <c r="K2062" s="104"/>
      <c r="L2062" s="104"/>
      <c r="M2062" s="104"/>
      <c r="N2062" s="104"/>
      <c r="O2062" s="104"/>
      <c r="P2062" s="104"/>
      <c r="Q2062" s="104"/>
      <c r="R2062" s="104"/>
      <c r="S2062" s="104"/>
    </row>
    <row r="2063" spans="4:19">
      <c r="D2063" s="104"/>
      <c r="E2063" s="104"/>
      <c r="F2063" s="104"/>
      <c r="G2063" s="104"/>
      <c r="H2063" s="104"/>
      <c r="I2063" s="104"/>
      <c r="J2063" s="104"/>
      <c r="K2063" s="104"/>
      <c r="L2063" s="104"/>
      <c r="M2063" s="104"/>
      <c r="N2063" s="104"/>
      <c r="O2063" s="104"/>
      <c r="P2063" s="104"/>
      <c r="Q2063" s="104"/>
      <c r="R2063" s="104"/>
      <c r="S2063" s="104"/>
    </row>
    <row r="2064" spans="4:19">
      <c r="D2064" s="104"/>
      <c r="E2064" s="104"/>
      <c r="F2064" s="104"/>
      <c r="G2064" s="104"/>
      <c r="H2064" s="104"/>
      <c r="I2064" s="104"/>
      <c r="J2064" s="104"/>
      <c r="K2064" s="104"/>
      <c r="L2064" s="104"/>
      <c r="M2064" s="104"/>
      <c r="N2064" s="104"/>
      <c r="O2064" s="104"/>
      <c r="P2064" s="104"/>
      <c r="Q2064" s="104"/>
      <c r="R2064" s="104"/>
      <c r="S2064" s="104"/>
    </row>
    <row r="2065" spans="4:19">
      <c r="D2065" s="104"/>
      <c r="E2065" s="104"/>
      <c r="F2065" s="104"/>
      <c r="G2065" s="104"/>
      <c r="H2065" s="104"/>
      <c r="I2065" s="104"/>
      <c r="J2065" s="104"/>
      <c r="K2065" s="104"/>
      <c r="L2065" s="104"/>
      <c r="M2065" s="104"/>
      <c r="N2065" s="104"/>
      <c r="O2065" s="104"/>
      <c r="P2065" s="104"/>
      <c r="Q2065" s="104"/>
      <c r="R2065" s="104"/>
      <c r="S2065" s="104"/>
    </row>
    <row r="2066" spans="4:19">
      <c r="D2066" s="104"/>
      <c r="E2066" s="104"/>
      <c r="F2066" s="104"/>
      <c r="G2066" s="104"/>
      <c r="H2066" s="104"/>
      <c r="I2066" s="104"/>
      <c r="J2066" s="104"/>
      <c r="K2066" s="104"/>
      <c r="L2066" s="104"/>
      <c r="M2066" s="104"/>
      <c r="N2066" s="104"/>
      <c r="O2066" s="104"/>
      <c r="P2066" s="104"/>
      <c r="Q2066" s="104"/>
      <c r="R2066" s="104"/>
      <c r="S2066" s="104"/>
    </row>
    <row r="2067" spans="4:19">
      <c r="D2067" s="104"/>
      <c r="E2067" s="104"/>
      <c r="F2067" s="104"/>
      <c r="G2067" s="104"/>
      <c r="H2067" s="104"/>
      <c r="I2067" s="104"/>
      <c r="J2067" s="104"/>
      <c r="K2067" s="104"/>
      <c r="L2067" s="104"/>
      <c r="M2067" s="104"/>
      <c r="N2067" s="104"/>
      <c r="O2067" s="104"/>
      <c r="P2067" s="104"/>
      <c r="Q2067" s="104"/>
      <c r="R2067" s="104"/>
      <c r="S2067" s="104"/>
    </row>
    <row r="2068" spans="4:19">
      <c r="D2068" s="104"/>
      <c r="E2068" s="104"/>
      <c r="F2068" s="104"/>
      <c r="G2068" s="104"/>
      <c r="H2068" s="104"/>
      <c r="I2068" s="104"/>
      <c r="J2068" s="104"/>
      <c r="K2068" s="104"/>
      <c r="L2068" s="104"/>
      <c r="M2068" s="104"/>
      <c r="N2068" s="104"/>
      <c r="O2068" s="104"/>
      <c r="P2068" s="104"/>
      <c r="Q2068" s="104"/>
      <c r="R2068" s="104"/>
      <c r="S2068" s="104"/>
    </row>
    <row r="2069" spans="4:19">
      <c r="D2069" s="104"/>
      <c r="E2069" s="104"/>
      <c r="F2069" s="104"/>
      <c r="G2069" s="104"/>
      <c r="H2069" s="104"/>
      <c r="I2069" s="104"/>
      <c r="J2069" s="104"/>
      <c r="K2069" s="104"/>
      <c r="L2069" s="104"/>
      <c r="M2069" s="104"/>
      <c r="N2069" s="104"/>
      <c r="O2069" s="104"/>
      <c r="P2069" s="104"/>
      <c r="Q2069" s="104"/>
      <c r="R2069" s="104"/>
      <c r="S2069" s="104"/>
    </row>
    <row r="2070" spans="4:19">
      <c r="D2070" s="104"/>
      <c r="E2070" s="104"/>
      <c r="F2070" s="104"/>
      <c r="G2070" s="104"/>
      <c r="H2070" s="104"/>
      <c r="I2070" s="104"/>
      <c r="J2070" s="104"/>
      <c r="K2070" s="104"/>
      <c r="L2070" s="104"/>
      <c r="M2070" s="104"/>
      <c r="N2070" s="104"/>
      <c r="O2070" s="104"/>
      <c r="P2070" s="104"/>
      <c r="Q2070" s="104"/>
      <c r="R2070" s="104"/>
      <c r="S2070" s="104"/>
    </row>
    <row r="2071" spans="4:19">
      <c r="D2071" s="104"/>
      <c r="E2071" s="104"/>
      <c r="F2071" s="104"/>
      <c r="G2071" s="104"/>
      <c r="H2071" s="104"/>
      <c r="I2071" s="104"/>
      <c r="J2071" s="104"/>
      <c r="K2071" s="104"/>
      <c r="L2071" s="104"/>
      <c r="M2071" s="104"/>
      <c r="N2071" s="104"/>
      <c r="O2071" s="104"/>
      <c r="P2071" s="104"/>
      <c r="Q2071" s="104"/>
      <c r="R2071" s="104"/>
      <c r="S2071" s="104"/>
    </row>
    <row r="2072" spans="4:19">
      <c r="D2072" s="104"/>
      <c r="E2072" s="104"/>
      <c r="F2072" s="104"/>
      <c r="G2072" s="104"/>
      <c r="H2072" s="104"/>
      <c r="I2072" s="104"/>
      <c r="J2072" s="104"/>
      <c r="K2072" s="104"/>
      <c r="L2072" s="104"/>
      <c r="M2072" s="104"/>
      <c r="N2072" s="104"/>
      <c r="O2072" s="104"/>
      <c r="P2072" s="104"/>
      <c r="Q2072" s="104"/>
      <c r="R2072" s="104"/>
      <c r="S2072" s="104"/>
    </row>
    <row r="2073" spans="4:19">
      <c r="D2073" s="104"/>
      <c r="E2073" s="104"/>
      <c r="F2073" s="104"/>
      <c r="G2073" s="104"/>
      <c r="H2073" s="104"/>
      <c r="I2073" s="104"/>
      <c r="J2073" s="104"/>
      <c r="K2073" s="104"/>
      <c r="L2073" s="104"/>
      <c r="M2073" s="104"/>
      <c r="N2073" s="104"/>
      <c r="O2073" s="104"/>
      <c r="P2073" s="104"/>
      <c r="Q2073" s="104"/>
      <c r="R2073" s="104"/>
      <c r="S2073" s="104"/>
    </row>
    <row r="2074" spans="4:19">
      <c r="D2074" s="104"/>
      <c r="E2074" s="104"/>
      <c r="F2074" s="104"/>
      <c r="G2074" s="104"/>
      <c r="H2074" s="104"/>
      <c r="I2074" s="104"/>
      <c r="J2074" s="104"/>
      <c r="K2074" s="104"/>
      <c r="L2074" s="104"/>
      <c r="M2074" s="104"/>
      <c r="N2074" s="104"/>
      <c r="O2074" s="104"/>
      <c r="P2074" s="104"/>
      <c r="Q2074" s="104"/>
      <c r="R2074" s="104"/>
      <c r="S2074" s="104"/>
    </row>
    <row r="2075" spans="4:19">
      <c r="D2075" s="104"/>
      <c r="E2075" s="104"/>
      <c r="F2075" s="104"/>
      <c r="G2075" s="104"/>
      <c r="H2075" s="104"/>
      <c r="I2075" s="104"/>
      <c r="J2075" s="104"/>
      <c r="K2075" s="104"/>
      <c r="L2075" s="104"/>
      <c r="M2075" s="104"/>
      <c r="N2075" s="104"/>
      <c r="O2075" s="104"/>
      <c r="P2075" s="104"/>
      <c r="Q2075" s="104"/>
      <c r="R2075" s="104"/>
      <c r="S2075" s="104"/>
    </row>
    <row r="2076" spans="4:19">
      <c r="D2076" s="104"/>
      <c r="E2076" s="104"/>
      <c r="F2076" s="104"/>
      <c r="G2076" s="104"/>
      <c r="H2076" s="104"/>
      <c r="I2076" s="104"/>
      <c r="J2076" s="104"/>
      <c r="K2076" s="104"/>
      <c r="L2076" s="104"/>
      <c r="M2076" s="104"/>
      <c r="N2076" s="104"/>
      <c r="O2076" s="104"/>
      <c r="P2076" s="104"/>
      <c r="Q2076" s="104"/>
      <c r="R2076" s="104"/>
      <c r="S2076" s="104"/>
    </row>
    <row r="2077" spans="4:19">
      <c r="D2077" s="104"/>
      <c r="E2077" s="104"/>
      <c r="F2077" s="104"/>
      <c r="G2077" s="104"/>
      <c r="H2077" s="104"/>
      <c r="I2077" s="104"/>
      <c r="J2077" s="104"/>
      <c r="K2077" s="104"/>
      <c r="L2077" s="104"/>
      <c r="M2077" s="104"/>
      <c r="N2077" s="104"/>
      <c r="O2077" s="104"/>
      <c r="P2077" s="104"/>
      <c r="Q2077" s="104"/>
      <c r="R2077" s="104"/>
      <c r="S2077" s="104"/>
    </row>
    <row r="2078" spans="4:19">
      <c r="D2078" s="104"/>
      <c r="E2078" s="104"/>
      <c r="F2078" s="104"/>
      <c r="G2078" s="104"/>
      <c r="H2078" s="104"/>
      <c r="I2078" s="104"/>
      <c r="J2078" s="104"/>
      <c r="K2078" s="104"/>
      <c r="L2078" s="104"/>
      <c r="M2078" s="104"/>
      <c r="N2078" s="104"/>
      <c r="O2078" s="104"/>
      <c r="P2078" s="104"/>
      <c r="Q2078" s="104"/>
      <c r="R2078" s="104"/>
      <c r="S2078" s="104"/>
    </row>
    <row r="2079" spans="4:19">
      <c r="D2079" s="104"/>
      <c r="E2079" s="104"/>
      <c r="F2079" s="104"/>
      <c r="G2079" s="104"/>
      <c r="H2079" s="104"/>
      <c r="I2079" s="104"/>
      <c r="J2079" s="104"/>
      <c r="K2079" s="104"/>
      <c r="L2079" s="104"/>
      <c r="M2079" s="104"/>
      <c r="N2079" s="104"/>
      <c r="O2079" s="104"/>
      <c r="P2079" s="104"/>
      <c r="Q2079" s="104"/>
      <c r="R2079" s="104"/>
      <c r="S2079" s="104"/>
    </row>
    <row r="2080" spans="4:19">
      <c r="D2080" s="104"/>
      <c r="E2080" s="104"/>
      <c r="F2080" s="104"/>
      <c r="G2080" s="104"/>
      <c r="H2080" s="104"/>
      <c r="I2080" s="104"/>
      <c r="J2080" s="104"/>
      <c r="K2080" s="104"/>
      <c r="L2080" s="104"/>
      <c r="M2080" s="104"/>
      <c r="N2080" s="104"/>
      <c r="O2080" s="104"/>
      <c r="P2080" s="104"/>
      <c r="Q2080" s="104"/>
      <c r="R2080" s="104"/>
      <c r="S2080" s="104"/>
    </row>
    <row r="2081" spans="4:19">
      <c r="D2081" s="104"/>
      <c r="E2081" s="104"/>
      <c r="F2081" s="104"/>
      <c r="G2081" s="104"/>
      <c r="H2081" s="104"/>
      <c r="I2081" s="104"/>
      <c r="J2081" s="104"/>
      <c r="K2081" s="104"/>
      <c r="L2081" s="104"/>
      <c r="M2081" s="104"/>
      <c r="N2081" s="104"/>
      <c r="O2081" s="104"/>
      <c r="P2081" s="104"/>
      <c r="Q2081" s="104"/>
      <c r="R2081" s="104"/>
      <c r="S2081" s="104"/>
    </row>
    <row r="2082" spans="4:19">
      <c r="D2082" s="104"/>
      <c r="E2082" s="104"/>
      <c r="F2082" s="104"/>
      <c r="G2082" s="104"/>
      <c r="H2082" s="104"/>
      <c r="I2082" s="104"/>
      <c r="J2082" s="104"/>
      <c r="K2082" s="104"/>
      <c r="L2082" s="104"/>
      <c r="M2082" s="104"/>
      <c r="N2082" s="104"/>
      <c r="O2082" s="104"/>
      <c r="P2082" s="104"/>
      <c r="Q2082" s="104"/>
      <c r="R2082" s="104"/>
      <c r="S2082" s="104"/>
    </row>
    <row r="2083" spans="4:19">
      <c r="D2083" s="104"/>
      <c r="E2083" s="104"/>
      <c r="F2083" s="104"/>
      <c r="G2083" s="104"/>
      <c r="H2083" s="104"/>
      <c r="I2083" s="104"/>
      <c r="J2083" s="104"/>
      <c r="K2083" s="104"/>
      <c r="L2083" s="104"/>
      <c r="M2083" s="104"/>
      <c r="N2083" s="104"/>
      <c r="O2083" s="104"/>
      <c r="P2083" s="104"/>
      <c r="Q2083" s="104"/>
      <c r="R2083" s="104"/>
      <c r="S2083" s="104"/>
    </row>
    <row r="2084" spans="4:19">
      <c r="D2084" s="104"/>
      <c r="E2084" s="104"/>
      <c r="F2084" s="104"/>
      <c r="G2084" s="104"/>
      <c r="H2084" s="104"/>
      <c r="I2084" s="104"/>
      <c r="J2084" s="104"/>
      <c r="K2084" s="104"/>
      <c r="L2084" s="104"/>
      <c r="M2084" s="104"/>
      <c r="N2084" s="104"/>
      <c r="O2084" s="104"/>
      <c r="P2084" s="104"/>
      <c r="Q2084" s="104"/>
      <c r="R2084" s="104"/>
      <c r="S2084" s="104"/>
    </row>
    <row r="2085" spans="4:19">
      <c r="D2085" s="104"/>
      <c r="E2085" s="104"/>
      <c r="F2085" s="104"/>
      <c r="G2085" s="104"/>
      <c r="H2085" s="104"/>
      <c r="I2085" s="104"/>
      <c r="J2085" s="104"/>
      <c r="K2085" s="104"/>
      <c r="L2085" s="104"/>
      <c r="M2085" s="104"/>
      <c r="N2085" s="104"/>
      <c r="O2085" s="104"/>
      <c r="P2085" s="104"/>
      <c r="Q2085" s="104"/>
      <c r="R2085" s="104"/>
      <c r="S2085" s="104"/>
    </row>
    <row r="2086" spans="4:19">
      <c r="D2086" s="104"/>
      <c r="E2086" s="104"/>
      <c r="F2086" s="104"/>
      <c r="G2086" s="104"/>
      <c r="H2086" s="104"/>
      <c r="I2086" s="104"/>
      <c r="J2086" s="104"/>
      <c r="K2086" s="104"/>
      <c r="L2086" s="104"/>
      <c r="M2086" s="104"/>
      <c r="N2086" s="104"/>
      <c r="O2086" s="104"/>
      <c r="P2086" s="104"/>
      <c r="Q2086" s="104"/>
      <c r="R2086" s="104"/>
      <c r="S2086" s="104"/>
    </row>
    <row r="2087" spans="4:19">
      <c r="D2087" s="104"/>
      <c r="E2087" s="104"/>
      <c r="F2087" s="104"/>
      <c r="G2087" s="104"/>
      <c r="H2087" s="104"/>
      <c r="I2087" s="104"/>
      <c r="J2087" s="104"/>
      <c r="K2087" s="104"/>
      <c r="L2087" s="104"/>
      <c r="M2087" s="104"/>
      <c r="N2087" s="104"/>
      <c r="O2087" s="104"/>
      <c r="P2087" s="104"/>
      <c r="Q2087" s="104"/>
      <c r="R2087" s="104"/>
      <c r="S2087" s="104"/>
    </row>
    <row r="2088" spans="4:19">
      <c r="D2088" s="104"/>
      <c r="E2088" s="104"/>
      <c r="F2088" s="104"/>
      <c r="G2088" s="104"/>
      <c r="H2088" s="104"/>
      <c r="I2088" s="104"/>
      <c r="J2088" s="104"/>
      <c r="K2088" s="104"/>
      <c r="L2088" s="104"/>
      <c r="M2088" s="104"/>
      <c r="N2088" s="104"/>
      <c r="O2088" s="104"/>
      <c r="P2088" s="104"/>
      <c r="Q2088" s="104"/>
      <c r="R2088" s="104"/>
      <c r="S2088" s="104"/>
    </row>
    <row r="2089" spans="4:19">
      <c r="D2089" s="104"/>
      <c r="E2089" s="104"/>
      <c r="F2089" s="104"/>
      <c r="G2089" s="104"/>
      <c r="H2089" s="104"/>
      <c r="I2089" s="104"/>
      <c r="J2089" s="104"/>
      <c r="K2089" s="104"/>
      <c r="L2089" s="104"/>
      <c r="M2089" s="104"/>
      <c r="N2089" s="104"/>
      <c r="O2089" s="104"/>
      <c r="P2089" s="104"/>
      <c r="Q2089" s="104"/>
      <c r="R2089" s="104"/>
      <c r="S2089" s="104"/>
    </row>
    <row r="2090" spans="4:19">
      <c r="D2090" s="104"/>
      <c r="E2090" s="104"/>
      <c r="F2090" s="104"/>
      <c r="G2090" s="104"/>
      <c r="H2090" s="104"/>
      <c r="I2090" s="104"/>
      <c r="J2090" s="104"/>
      <c r="K2090" s="104"/>
      <c r="L2090" s="104"/>
      <c r="M2090" s="104"/>
      <c r="N2090" s="104"/>
      <c r="O2090" s="104"/>
      <c r="P2090" s="104"/>
      <c r="Q2090" s="104"/>
      <c r="R2090" s="104"/>
      <c r="S2090" s="104"/>
    </row>
    <row r="2091" spans="4:19">
      <c r="D2091" s="104"/>
      <c r="E2091" s="104"/>
      <c r="F2091" s="104"/>
      <c r="G2091" s="104"/>
      <c r="H2091" s="104"/>
      <c r="I2091" s="104"/>
      <c r="J2091" s="104"/>
      <c r="K2091" s="104"/>
      <c r="L2091" s="104"/>
      <c r="M2091" s="104"/>
      <c r="N2091" s="104"/>
      <c r="O2091" s="104"/>
      <c r="P2091" s="104"/>
      <c r="Q2091" s="104"/>
      <c r="R2091" s="104"/>
      <c r="S2091" s="104"/>
    </row>
    <row r="2092" spans="4:19">
      <c r="D2092" s="104"/>
      <c r="E2092" s="104"/>
      <c r="F2092" s="104"/>
      <c r="G2092" s="104"/>
      <c r="H2092" s="104"/>
      <c r="I2092" s="104"/>
      <c r="J2092" s="104"/>
      <c r="K2092" s="104"/>
      <c r="L2092" s="104"/>
      <c r="M2092" s="104"/>
      <c r="N2092" s="104"/>
      <c r="O2092" s="104"/>
      <c r="P2092" s="104"/>
      <c r="Q2092" s="104"/>
      <c r="R2092" s="104"/>
      <c r="S2092" s="104"/>
    </row>
    <row r="2093" spans="4:19">
      <c r="D2093" s="104"/>
      <c r="E2093" s="104"/>
      <c r="F2093" s="104"/>
      <c r="G2093" s="104"/>
      <c r="H2093" s="104"/>
      <c r="I2093" s="104"/>
      <c r="J2093" s="104"/>
      <c r="K2093" s="104"/>
      <c r="L2093" s="104"/>
      <c r="M2093" s="104"/>
      <c r="N2093" s="104"/>
      <c r="O2093" s="104"/>
      <c r="P2093" s="104"/>
      <c r="Q2093" s="104"/>
      <c r="R2093" s="104"/>
      <c r="S2093" s="104"/>
    </row>
    <row r="2094" spans="4:19">
      <c r="D2094" s="104"/>
      <c r="E2094" s="104"/>
      <c r="F2094" s="104"/>
      <c r="G2094" s="104"/>
      <c r="H2094" s="104"/>
      <c r="I2094" s="104"/>
      <c r="J2094" s="104"/>
      <c r="K2094" s="104"/>
      <c r="L2094" s="104"/>
      <c r="M2094" s="104"/>
      <c r="N2094" s="104"/>
      <c r="O2094" s="104"/>
      <c r="P2094" s="104"/>
      <c r="Q2094" s="104"/>
      <c r="R2094" s="104"/>
      <c r="S2094" s="104"/>
    </row>
    <row r="2095" spans="4:19">
      <c r="D2095" s="104"/>
      <c r="E2095" s="104"/>
      <c r="F2095" s="104"/>
      <c r="G2095" s="104"/>
      <c r="H2095" s="104"/>
      <c r="I2095" s="104"/>
      <c r="J2095" s="104"/>
      <c r="K2095" s="104"/>
      <c r="L2095" s="104"/>
      <c r="M2095" s="104"/>
      <c r="N2095" s="104"/>
      <c r="O2095" s="104"/>
      <c r="P2095" s="104"/>
      <c r="Q2095" s="104"/>
      <c r="R2095" s="104"/>
      <c r="S2095" s="104"/>
    </row>
    <row r="2096" spans="4:19">
      <c r="D2096" s="104"/>
      <c r="E2096" s="104"/>
      <c r="F2096" s="104"/>
      <c r="G2096" s="104"/>
      <c r="H2096" s="104"/>
      <c r="I2096" s="104"/>
      <c r="J2096" s="104"/>
      <c r="K2096" s="104"/>
      <c r="L2096" s="104"/>
      <c r="M2096" s="104"/>
      <c r="N2096" s="104"/>
      <c r="O2096" s="104"/>
      <c r="P2096" s="104"/>
      <c r="Q2096" s="104"/>
      <c r="R2096" s="104"/>
      <c r="S2096" s="104"/>
    </row>
    <row r="2097" spans="4:19">
      <c r="D2097" s="104"/>
      <c r="E2097" s="104"/>
      <c r="F2097" s="104"/>
      <c r="G2097" s="104"/>
      <c r="H2097" s="104"/>
      <c r="I2097" s="104"/>
      <c r="J2097" s="104"/>
      <c r="K2097" s="104"/>
      <c r="L2097" s="104"/>
      <c r="M2097" s="104"/>
      <c r="N2097" s="104"/>
      <c r="O2097" s="104"/>
      <c r="P2097" s="104"/>
      <c r="Q2097" s="104"/>
      <c r="R2097" s="104"/>
      <c r="S2097" s="104"/>
    </row>
    <row r="2098" spans="4:19">
      <c r="D2098" s="104"/>
      <c r="E2098" s="104"/>
      <c r="F2098" s="104"/>
      <c r="G2098" s="104"/>
      <c r="H2098" s="104"/>
      <c r="I2098" s="104"/>
      <c r="J2098" s="104"/>
      <c r="K2098" s="104"/>
      <c r="L2098" s="104"/>
      <c r="M2098" s="104"/>
      <c r="N2098" s="104"/>
      <c r="O2098" s="104"/>
      <c r="P2098" s="104"/>
      <c r="Q2098" s="104"/>
      <c r="R2098" s="104"/>
      <c r="S2098" s="104"/>
    </row>
    <row r="2099" spans="4:19">
      <c r="D2099" s="104"/>
      <c r="E2099" s="104"/>
      <c r="F2099" s="104"/>
      <c r="G2099" s="104"/>
      <c r="H2099" s="104"/>
      <c r="I2099" s="104"/>
      <c r="J2099" s="104"/>
      <c r="K2099" s="104"/>
      <c r="L2099" s="104"/>
      <c r="M2099" s="104"/>
      <c r="N2099" s="104"/>
      <c r="O2099" s="104"/>
      <c r="P2099" s="104"/>
      <c r="Q2099" s="104"/>
      <c r="R2099" s="104"/>
      <c r="S2099" s="104"/>
    </row>
    <row r="2100" spans="4:19">
      <c r="D2100" s="104"/>
      <c r="E2100" s="104"/>
      <c r="F2100" s="104"/>
      <c r="G2100" s="104"/>
      <c r="H2100" s="104"/>
      <c r="I2100" s="104"/>
      <c r="J2100" s="104"/>
      <c r="K2100" s="104"/>
      <c r="L2100" s="104"/>
      <c r="M2100" s="104"/>
      <c r="N2100" s="104"/>
      <c r="O2100" s="104"/>
      <c r="P2100" s="104"/>
      <c r="Q2100" s="104"/>
      <c r="R2100" s="104"/>
      <c r="S2100" s="104"/>
    </row>
    <row r="2101" spans="4:19">
      <c r="D2101" s="104"/>
      <c r="E2101" s="104"/>
      <c r="F2101" s="104"/>
      <c r="G2101" s="104"/>
      <c r="H2101" s="104"/>
      <c r="I2101" s="104"/>
      <c r="J2101" s="104"/>
      <c r="K2101" s="104"/>
      <c r="L2101" s="104"/>
      <c r="M2101" s="104"/>
      <c r="N2101" s="104"/>
      <c r="O2101" s="104"/>
      <c r="P2101" s="104"/>
      <c r="Q2101" s="104"/>
      <c r="R2101" s="104"/>
      <c r="S2101" s="104"/>
    </row>
    <row r="2102" spans="4:19">
      <c r="D2102" s="104"/>
      <c r="E2102" s="104"/>
      <c r="F2102" s="104"/>
      <c r="G2102" s="104"/>
      <c r="H2102" s="104"/>
      <c r="I2102" s="104"/>
      <c r="J2102" s="104"/>
      <c r="K2102" s="104"/>
      <c r="L2102" s="104"/>
      <c r="M2102" s="104"/>
      <c r="N2102" s="104"/>
      <c r="O2102" s="104"/>
      <c r="P2102" s="104"/>
      <c r="Q2102" s="104"/>
      <c r="R2102" s="104"/>
      <c r="S2102" s="104"/>
    </row>
    <row r="2103" spans="4:19">
      <c r="D2103" s="104"/>
      <c r="E2103" s="104"/>
      <c r="F2103" s="104"/>
      <c r="G2103" s="104"/>
      <c r="H2103" s="104"/>
      <c r="I2103" s="104"/>
      <c r="J2103" s="104"/>
      <c r="K2103" s="104"/>
      <c r="L2103" s="104"/>
      <c r="M2103" s="104"/>
      <c r="N2103" s="104"/>
      <c r="O2103" s="104"/>
      <c r="P2103" s="104"/>
      <c r="Q2103" s="104"/>
      <c r="R2103" s="104"/>
      <c r="S2103" s="104"/>
    </row>
    <row r="2104" spans="4:19">
      <c r="D2104" s="104"/>
      <c r="E2104" s="104"/>
      <c r="F2104" s="104"/>
      <c r="G2104" s="104"/>
      <c r="H2104" s="104"/>
      <c r="I2104" s="104"/>
      <c r="J2104" s="104"/>
      <c r="K2104" s="104"/>
      <c r="L2104" s="104"/>
      <c r="M2104" s="104"/>
      <c r="N2104" s="104"/>
      <c r="O2104" s="104"/>
      <c r="P2104" s="104"/>
      <c r="Q2104" s="104"/>
      <c r="R2104" s="104"/>
      <c r="S2104" s="104"/>
    </row>
    <row r="2105" spans="4:19">
      <c r="D2105" s="104"/>
      <c r="E2105" s="104"/>
      <c r="F2105" s="104"/>
      <c r="G2105" s="104"/>
      <c r="H2105" s="104"/>
      <c r="I2105" s="104"/>
      <c r="J2105" s="104"/>
      <c r="K2105" s="104"/>
      <c r="L2105" s="104"/>
      <c r="M2105" s="104"/>
      <c r="N2105" s="104"/>
      <c r="O2105" s="104"/>
      <c r="P2105" s="104"/>
      <c r="Q2105" s="104"/>
      <c r="R2105" s="104"/>
      <c r="S2105" s="104"/>
    </row>
    <row r="2106" spans="4:19">
      <c r="D2106" s="104"/>
      <c r="E2106" s="104"/>
      <c r="F2106" s="104"/>
      <c r="G2106" s="104"/>
      <c r="H2106" s="104"/>
      <c r="I2106" s="104"/>
      <c r="J2106" s="104"/>
      <c r="K2106" s="104"/>
      <c r="L2106" s="104"/>
      <c r="M2106" s="104"/>
      <c r="N2106" s="104"/>
      <c r="O2106" s="104"/>
      <c r="P2106" s="104"/>
      <c r="Q2106" s="104"/>
      <c r="R2106" s="104"/>
      <c r="S2106" s="104"/>
    </row>
    <row r="2107" spans="4:19">
      <c r="D2107" s="104"/>
      <c r="E2107" s="104"/>
      <c r="F2107" s="104"/>
      <c r="G2107" s="104"/>
      <c r="H2107" s="104"/>
      <c r="I2107" s="104"/>
      <c r="J2107" s="104"/>
      <c r="K2107" s="104"/>
      <c r="L2107" s="104"/>
      <c r="M2107" s="104"/>
      <c r="N2107" s="104"/>
      <c r="O2107" s="104"/>
      <c r="P2107" s="104"/>
      <c r="Q2107" s="104"/>
      <c r="R2107" s="104"/>
      <c r="S2107" s="104"/>
    </row>
    <row r="2108" spans="4:19">
      <c r="D2108" s="104"/>
      <c r="E2108" s="104"/>
      <c r="F2108" s="104"/>
      <c r="G2108" s="104"/>
      <c r="H2108" s="104"/>
      <c r="I2108" s="104"/>
      <c r="J2108" s="104"/>
      <c r="K2108" s="104"/>
      <c r="L2108" s="104"/>
      <c r="M2108" s="104"/>
      <c r="N2108" s="104"/>
      <c r="O2108" s="104"/>
      <c r="P2108" s="104"/>
      <c r="Q2108" s="104"/>
      <c r="R2108" s="104"/>
      <c r="S2108" s="104"/>
    </row>
    <row r="2109" spans="4:19">
      <c r="D2109" s="104"/>
      <c r="E2109" s="104"/>
      <c r="F2109" s="104"/>
      <c r="G2109" s="104"/>
      <c r="H2109" s="104"/>
      <c r="I2109" s="104"/>
      <c r="J2109" s="104"/>
      <c r="K2109" s="104"/>
      <c r="L2109" s="104"/>
      <c r="M2109" s="104"/>
      <c r="N2109" s="104"/>
      <c r="O2109" s="104"/>
      <c r="P2109" s="104"/>
      <c r="Q2109" s="104"/>
      <c r="R2109" s="104"/>
      <c r="S2109" s="104"/>
    </row>
    <row r="2110" spans="4:19">
      <c r="D2110" s="104"/>
      <c r="E2110" s="104"/>
      <c r="F2110" s="104"/>
      <c r="G2110" s="104"/>
      <c r="H2110" s="104"/>
      <c r="I2110" s="104"/>
      <c r="J2110" s="104"/>
      <c r="K2110" s="104"/>
      <c r="L2110" s="104"/>
      <c r="M2110" s="104"/>
      <c r="N2110" s="104"/>
      <c r="O2110" s="104"/>
      <c r="P2110" s="104"/>
      <c r="Q2110" s="104"/>
      <c r="R2110" s="104"/>
      <c r="S2110" s="104"/>
    </row>
    <row r="2111" spans="4:19">
      <c r="D2111" s="104"/>
      <c r="E2111" s="104"/>
      <c r="F2111" s="104"/>
      <c r="G2111" s="104"/>
      <c r="H2111" s="104"/>
      <c r="I2111" s="104"/>
      <c r="J2111" s="104"/>
      <c r="K2111" s="104"/>
      <c r="L2111" s="104"/>
      <c r="M2111" s="104"/>
      <c r="N2111" s="104"/>
      <c r="O2111" s="104"/>
      <c r="P2111" s="104"/>
      <c r="Q2111" s="104"/>
      <c r="R2111" s="104"/>
      <c r="S2111" s="104"/>
    </row>
    <row r="2112" spans="4:19">
      <c r="D2112" s="104"/>
      <c r="E2112" s="104"/>
      <c r="F2112" s="104"/>
      <c r="G2112" s="104"/>
      <c r="H2112" s="104"/>
      <c r="I2112" s="104"/>
      <c r="J2112" s="104"/>
      <c r="K2112" s="104"/>
      <c r="L2112" s="104"/>
      <c r="M2112" s="104"/>
      <c r="N2112" s="104"/>
      <c r="O2112" s="104"/>
      <c r="P2112" s="104"/>
      <c r="Q2112" s="104"/>
      <c r="R2112" s="104"/>
      <c r="S2112" s="104"/>
    </row>
    <row r="2113" spans="4:19">
      <c r="D2113" s="104"/>
      <c r="E2113" s="104"/>
      <c r="F2113" s="104"/>
      <c r="G2113" s="104"/>
      <c r="H2113" s="104"/>
      <c r="I2113" s="104"/>
      <c r="J2113" s="104"/>
      <c r="K2113" s="104"/>
      <c r="L2113" s="104"/>
      <c r="M2113" s="104"/>
      <c r="N2113" s="104"/>
      <c r="O2113" s="104"/>
      <c r="P2113" s="104"/>
      <c r="Q2113" s="104"/>
      <c r="R2113" s="104"/>
      <c r="S2113" s="104"/>
    </row>
    <row r="2114" spans="4:19">
      <c r="D2114" s="104"/>
      <c r="E2114" s="104"/>
      <c r="F2114" s="104"/>
      <c r="G2114" s="104"/>
      <c r="H2114" s="104"/>
      <c r="I2114" s="104"/>
      <c r="J2114" s="104"/>
      <c r="K2114" s="104"/>
      <c r="L2114" s="104"/>
      <c r="M2114" s="104"/>
      <c r="N2114" s="104"/>
      <c r="O2114" s="104"/>
      <c r="P2114" s="104"/>
      <c r="Q2114" s="104"/>
      <c r="R2114" s="104"/>
      <c r="S2114" s="104"/>
    </row>
    <row r="2115" spans="4:19">
      <c r="D2115" s="104"/>
      <c r="E2115" s="104"/>
      <c r="F2115" s="104"/>
      <c r="G2115" s="104"/>
      <c r="H2115" s="104"/>
      <c r="I2115" s="104"/>
      <c r="J2115" s="104"/>
      <c r="K2115" s="104"/>
      <c r="L2115" s="104"/>
      <c r="M2115" s="104"/>
      <c r="N2115" s="104"/>
      <c r="O2115" s="104"/>
      <c r="P2115" s="104"/>
      <c r="Q2115" s="104"/>
      <c r="R2115" s="104"/>
      <c r="S2115" s="104"/>
    </row>
    <row r="2116" spans="4:19">
      <c r="D2116" s="104"/>
      <c r="E2116" s="104"/>
      <c r="F2116" s="104"/>
      <c r="G2116" s="104"/>
      <c r="H2116" s="104"/>
      <c r="I2116" s="104"/>
      <c r="J2116" s="104"/>
      <c r="K2116" s="104"/>
      <c r="L2116" s="104"/>
      <c r="M2116" s="104"/>
      <c r="N2116" s="104"/>
      <c r="O2116" s="104"/>
      <c r="P2116" s="104"/>
      <c r="Q2116" s="104"/>
      <c r="R2116" s="104"/>
      <c r="S2116" s="104"/>
    </row>
    <row r="2117" spans="4:19">
      <c r="D2117" s="104"/>
      <c r="E2117" s="104"/>
      <c r="F2117" s="104"/>
      <c r="G2117" s="104"/>
      <c r="H2117" s="104"/>
      <c r="I2117" s="104"/>
      <c r="J2117" s="104"/>
      <c r="K2117" s="104"/>
      <c r="L2117" s="104"/>
      <c r="M2117" s="104"/>
      <c r="N2117" s="104"/>
      <c r="O2117" s="104"/>
      <c r="P2117" s="104"/>
      <c r="Q2117" s="104"/>
      <c r="R2117" s="104"/>
      <c r="S2117" s="104"/>
    </row>
    <row r="2118" spans="4:19">
      <c r="D2118" s="104"/>
      <c r="E2118" s="104"/>
      <c r="F2118" s="104"/>
      <c r="G2118" s="104"/>
      <c r="H2118" s="104"/>
      <c r="I2118" s="104"/>
      <c r="J2118" s="104"/>
      <c r="K2118" s="104"/>
      <c r="L2118" s="104"/>
      <c r="M2118" s="104"/>
      <c r="N2118" s="104"/>
      <c r="O2118" s="104"/>
      <c r="P2118" s="104"/>
      <c r="Q2118" s="104"/>
      <c r="R2118" s="104"/>
      <c r="S2118" s="104"/>
    </row>
    <row r="2119" spans="4:19">
      <c r="D2119" s="104"/>
      <c r="E2119" s="104"/>
      <c r="F2119" s="104"/>
      <c r="G2119" s="104"/>
      <c r="H2119" s="104"/>
      <c r="I2119" s="104"/>
      <c r="J2119" s="104"/>
      <c r="K2119" s="104"/>
      <c r="L2119" s="104"/>
      <c r="M2119" s="104"/>
      <c r="N2119" s="104"/>
      <c r="O2119" s="104"/>
      <c r="P2119" s="104"/>
      <c r="Q2119" s="104"/>
      <c r="R2119" s="104"/>
      <c r="S2119" s="104"/>
    </row>
    <row r="2120" spans="4:19">
      <c r="D2120" s="104"/>
      <c r="E2120" s="104"/>
      <c r="F2120" s="104"/>
      <c r="G2120" s="104"/>
      <c r="H2120" s="104"/>
      <c r="I2120" s="104"/>
      <c r="J2120" s="104"/>
      <c r="K2120" s="104"/>
      <c r="L2120" s="104"/>
      <c r="M2120" s="104"/>
      <c r="N2120" s="104"/>
      <c r="O2120" s="104"/>
      <c r="P2120" s="104"/>
      <c r="Q2120" s="104"/>
      <c r="R2120" s="104"/>
      <c r="S2120" s="104"/>
    </row>
    <row r="2121" spans="4:19">
      <c r="D2121" s="104"/>
      <c r="E2121" s="104"/>
      <c r="F2121" s="104"/>
      <c r="G2121" s="104"/>
      <c r="H2121" s="104"/>
      <c r="I2121" s="104"/>
      <c r="J2121" s="104"/>
      <c r="K2121" s="104"/>
      <c r="L2121" s="104"/>
      <c r="M2121" s="104"/>
      <c r="N2121" s="104"/>
      <c r="O2121" s="104"/>
      <c r="P2121" s="104"/>
      <c r="Q2121" s="104"/>
      <c r="R2121" s="104"/>
      <c r="S2121" s="104"/>
    </row>
    <row r="2122" spans="4:19">
      <c r="D2122" s="104"/>
      <c r="E2122" s="104"/>
      <c r="F2122" s="104"/>
      <c r="G2122" s="104"/>
      <c r="H2122" s="104"/>
      <c r="I2122" s="104"/>
      <c r="J2122" s="104"/>
      <c r="K2122" s="104"/>
      <c r="L2122" s="104"/>
      <c r="M2122" s="104"/>
      <c r="N2122" s="104"/>
      <c r="O2122" s="104"/>
      <c r="P2122" s="104"/>
      <c r="Q2122" s="104"/>
      <c r="R2122" s="104"/>
      <c r="S2122" s="104"/>
    </row>
    <row r="2123" spans="4:19">
      <c r="D2123" s="104"/>
      <c r="E2123" s="104"/>
      <c r="F2123" s="104"/>
      <c r="G2123" s="104"/>
      <c r="H2123" s="104"/>
      <c r="I2123" s="104"/>
      <c r="J2123" s="104"/>
      <c r="K2123" s="104"/>
      <c r="L2123" s="104"/>
      <c r="M2123" s="104"/>
      <c r="N2123" s="104"/>
      <c r="O2123" s="104"/>
      <c r="P2123" s="104"/>
      <c r="Q2123" s="104"/>
      <c r="R2123" s="104"/>
      <c r="S2123" s="104"/>
    </row>
    <row r="2124" spans="4:19">
      <c r="D2124" s="104"/>
      <c r="E2124" s="104"/>
      <c r="F2124" s="104"/>
      <c r="G2124" s="104"/>
      <c r="H2124" s="104"/>
      <c r="I2124" s="104"/>
      <c r="J2124" s="104"/>
      <c r="K2124" s="104"/>
      <c r="L2124" s="104"/>
      <c r="M2124" s="104"/>
      <c r="N2124" s="104"/>
      <c r="O2124" s="104"/>
      <c r="P2124" s="104"/>
      <c r="Q2124" s="104"/>
      <c r="R2124" s="104"/>
      <c r="S2124" s="104"/>
    </row>
    <row r="2125" spans="4:19">
      <c r="D2125" s="104"/>
      <c r="E2125" s="104"/>
      <c r="F2125" s="104"/>
      <c r="G2125" s="104"/>
      <c r="H2125" s="104"/>
      <c r="I2125" s="104"/>
      <c r="J2125" s="104"/>
      <c r="K2125" s="104"/>
      <c r="L2125" s="104"/>
      <c r="M2125" s="104"/>
      <c r="N2125" s="104"/>
      <c r="O2125" s="104"/>
      <c r="P2125" s="104"/>
      <c r="Q2125" s="104"/>
      <c r="R2125" s="104"/>
      <c r="S2125" s="104"/>
    </row>
    <row r="2126" spans="4:19">
      <c r="D2126" s="104"/>
      <c r="E2126" s="104"/>
      <c r="F2126" s="104"/>
      <c r="G2126" s="104"/>
      <c r="H2126" s="104"/>
      <c r="I2126" s="104"/>
      <c r="J2126" s="104"/>
      <c r="K2126" s="104"/>
      <c r="L2126" s="104"/>
      <c r="M2126" s="104"/>
      <c r="N2126" s="104"/>
      <c r="O2126" s="104"/>
      <c r="P2126" s="104"/>
      <c r="Q2126" s="104"/>
      <c r="R2126" s="104"/>
      <c r="S2126" s="104"/>
    </row>
    <row r="2127" spans="4:19">
      <c r="D2127" s="104"/>
      <c r="E2127" s="104"/>
      <c r="F2127" s="104"/>
      <c r="G2127" s="104"/>
      <c r="H2127" s="104"/>
      <c r="I2127" s="104"/>
      <c r="J2127" s="104"/>
      <c r="K2127" s="104"/>
      <c r="L2127" s="104"/>
      <c r="M2127" s="104"/>
      <c r="N2127" s="104"/>
      <c r="O2127" s="104"/>
      <c r="P2127" s="104"/>
      <c r="Q2127" s="104"/>
      <c r="R2127" s="104"/>
      <c r="S2127" s="104"/>
    </row>
    <row r="2128" spans="4:19">
      <c r="D2128" s="104"/>
      <c r="E2128" s="104"/>
      <c r="F2128" s="104"/>
      <c r="G2128" s="104"/>
      <c r="H2128" s="104"/>
      <c r="I2128" s="104"/>
      <c r="J2128" s="104"/>
      <c r="K2128" s="104"/>
      <c r="L2128" s="104"/>
      <c r="M2128" s="104"/>
      <c r="N2128" s="104"/>
      <c r="O2128" s="104"/>
      <c r="P2128" s="104"/>
      <c r="Q2128" s="104"/>
      <c r="R2128" s="104"/>
      <c r="S2128" s="104"/>
    </row>
    <row r="2129" spans="4:19">
      <c r="D2129" s="104"/>
      <c r="E2129" s="104"/>
      <c r="F2129" s="104"/>
      <c r="G2129" s="104"/>
      <c r="H2129" s="104"/>
      <c r="I2129" s="104"/>
      <c r="J2129" s="104"/>
      <c r="K2129" s="104"/>
      <c r="L2129" s="104"/>
      <c r="M2129" s="104"/>
      <c r="N2129" s="104"/>
      <c r="O2129" s="104"/>
      <c r="P2129" s="104"/>
      <c r="Q2129" s="104"/>
      <c r="R2129" s="104"/>
      <c r="S2129" s="104"/>
    </row>
    <row r="2130" spans="4:19">
      <c r="D2130" s="104"/>
      <c r="E2130" s="104"/>
      <c r="F2130" s="104"/>
      <c r="G2130" s="104"/>
      <c r="H2130" s="104"/>
      <c r="I2130" s="104"/>
      <c r="J2130" s="104"/>
      <c r="K2130" s="104"/>
      <c r="L2130" s="104"/>
      <c r="M2130" s="104"/>
      <c r="N2130" s="104"/>
      <c r="O2130" s="104"/>
      <c r="P2130" s="104"/>
      <c r="Q2130" s="104"/>
      <c r="R2130" s="104"/>
      <c r="S2130" s="104"/>
    </row>
    <row r="2131" spans="4:19">
      <c r="D2131" s="104"/>
      <c r="E2131" s="104"/>
      <c r="F2131" s="104"/>
      <c r="G2131" s="104"/>
      <c r="H2131" s="104"/>
      <c r="I2131" s="104"/>
      <c r="J2131" s="104"/>
      <c r="K2131" s="104"/>
      <c r="L2131" s="104"/>
      <c r="M2131" s="104"/>
      <c r="N2131" s="104"/>
      <c r="O2131" s="104"/>
      <c r="P2131" s="104"/>
      <c r="Q2131" s="104"/>
      <c r="R2131" s="104"/>
      <c r="S2131" s="104"/>
    </row>
    <row r="2132" spans="4:19">
      <c r="D2132" s="104"/>
      <c r="E2132" s="104"/>
      <c r="F2132" s="104"/>
      <c r="G2132" s="104"/>
      <c r="H2132" s="104"/>
      <c r="I2132" s="104"/>
      <c r="J2132" s="104"/>
      <c r="K2132" s="104"/>
      <c r="L2132" s="104"/>
      <c r="M2132" s="104"/>
      <c r="N2132" s="104"/>
      <c r="O2132" s="104"/>
      <c r="P2132" s="104"/>
      <c r="Q2132" s="104"/>
      <c r="R2132" s="104"/>
      <c r="S2132" s="104"/>
    </row>
    <row r="2133" spans="4:19">
      <c r="D2133" s="104"/>
      <c r="E2133" s="104"/>
      <c r="F2133" s="104"/>
      <c r="G2133" s="104"/>
      <c r="H2133" s="104"/>
      <c r="I2133" s="104"/>
      <c r="J2133" s="104"/>
      <c r="K2133" s="104"/>
      <c r="L2133" s="104"/>
      <c r="M2133" s="104"/>
      <c r="N2133" s="104"/>
      <c r="O2133" s="104"/>
      <c r="P2133" s="104"/>
      <c r="Q2133" s="104"/>
      <c r="R2133" s="104"/>
      <c r="S2133" s="104"/>
    </row>
    <row r="2134" spans="4:19">
      <c r="D2134" s="104"/>
      <c r="E2134" s="104"/>
      <c r="F2134" s="104"/>
      <c r="G2134" s="104"/>
      <c r="H2134" s="104"/>
      <c r="I2134" s="104"/>
      <c r="J2134" s="104"/>
      <c r="K2134" s="104"/>
      <c r="L2134" s="104"/>
      <c r="M2134" s="104"/>
      <c r="N2134" s="104"/>
      <c r="O2134" s="104"/>
      <c r="P2134" s="104"/>
      <c r="Q2134" s="104"/>
      <c r="R2134" s="104"/>
      <c r="S2134" s="104"/>
    </row>
    <row r="2135" spans="4:19">
      <c r="D2135" s="104"/>
      <c r="E2135" s="104"/>
      <c r="F2135" s="104"/>
      <c r="G2135" s="104"/>
      <c r="H2135" s="104"/>
      <c r="I2135" s="104"/>
      <c r="J2135" s="104"/>
      <c r="K2135" s="104"/>
      <c r="L2135" s="104"/>
      <c r="M2135" s="104"/>
      <c r="N2135" s="104"/>
      <c r="O2135" s="104"/>
      <c r="P2135" s="104"/>
      <c r="Q2135" s="104"/>
      <c r="R2135" s="104"/>
      <c r="S2135" s="104"/>
    </row>
    <row r="2136" spans="4:19">
      <c r="D2136" s="104"/>
      <c r="E2136" s="104"/>
      <c r="F2136" s="104"/>
      <c r="G2136" s="104"/>
      <c r="H2136" s="104"/>
      <c r="I2136" s="104"/>
      <c r="J2136" s="104"/>
      <c r="K2136" s="104"/>
      <c r="L2136" s="104"/>
      <c r="M2136" s="104"/>
      <c r="N2136" s="104"/>
      <c r="O2136" s="104"/>
      <c r="P2136" s="104"/>
      <c r="Q2136" s="104"/>
      <c r="R2136" s="104"/>
      <c r="S2136" s="104"/>
    </row>
    <row r="2137" spans="4:19">
      <c r="D2137" s="104"/>
      <c r="E2137" s="104"/>
      <c r="F2137" s="104"/>
      <c r="G2137" s="104"/>
      <c r="H2137" s="104"/>
      <c r="I2137" s="104"/>
      <c r="J2137" s="104"/>
      <c r="K2137" s="104"/>
      <c r="L2137" s="104"/>
      <c r="M2137" s="104"/>
      <c r="N2137" s="104"/>
      <c r="O2137" s="104"/>
      <c r="P2137" s="104"/>
      <c r="Q2137" s="104"/>
      <c r="R2137" s="104"/>
      <c r="S2137" s="104"/>
    </row>
    <row r="2138" spans="4:19">
      <c r="D2138" s="104"/>
      <c r="E2138" s="104"/>
      <c r="F2138" s="104"/>
      <c r="G2138" s="104"/>
      <c r="H2138" s="104"/>
      <c r="I2138" s="104"/>
      <c r="J2138" s="104"/>
      <c r="K2138" s="104"/>
      <c r="L2138" s="104"/>
      <c r="M2138" s="104"/>
      <c r="N2138" s="104"/>
      <c r="O2138" s="104"/>
      <c r="P2138" s="104"/>
      <c r="Q2138" s="104"/>
      <c r="R2138" s="104"/>
      <c r="S2138" s="104"/>
    </row>
    <row r="2139" spans="4:19">
      <c r="D2139" s="104"/>
      <c r="E2139" s="104"/>
      <c r="F2139" s="104"/>
      <c r="G2139" s="104"/>
      <c r="H2139" s="104"/>
      <c r="I2139" s="104"/>
      <c r="J2139" s="104"/>
      <c r="K2139" s="104"/>
      <c r="L2139" s="104"/>
      <c r="M2139" s="104"/>
      <c r="N2139" s="104"/>
      <c r="O2139" s="104"/>
      <c r="P2139" s="104"/>
      <c r="Q2139" s="104"/>
      <c r="R2139" s="104"/>
      <c r="S2139" s="104"/>
    </row>
    <row r="2140" spans="4:19">
      <c r="D2140" s="104"/>
      <c r="E2140" s="104"/>
      <c r="F2140" s="104"/>
      <c r="G2140" s="104"/>
      <c r="H2140" s="104"/>
      <c r="I2140" s="104"/>
      <c r="J2140" s="104"/>
      <c r="K2140" s="104"/>
      <c r="L2140" s="104"/>
      <c r="M2140" s="104"/>
      <c r="N2140" s="104"/>
      <c r="O2140" s="104"/>
      <c r="P2140" s="104"/>
      <c r="Q2140" s="104"/>
      <c r="R2140" s="104"/>
      <c r="S2140" s="104"/>
    </row>
    <row r="2141" spans="4:19">
      <c r="D2141" s="104"/>
      <c r="E2141" s="104"/>
      <c r="F2141" s="104"/>
      <c r="G2141" s="104"/>
      <c r="H2141" s="104"/>
      <c r="I2141" s="104"/>
      <c r="J2141" s="104"/>
      <c r="K2141" s="104"/>
      <c r="L2141" s="104"/>
      <c r="M2141" s="104"/>
      <c r="N2141" s="104"/>
      <c r="O2141" s="104"/>
      <c r="P2141" s="104"/>
      <c r="Q2141" s="104"/>
      <c r="R2141" s="104"/>
      <c r="S2141" s="104"/>
    </row>
    <row r="2142" spans="4:19">
      <c r="D2142" s="104"/>
      <c r="E2142" s="104"/>
      <c r="F2142" s="104"/>
      <c r="G2142" s="104"/>
      <c r="H2142" s="104"/>
      <c r="I2142" s="104"/>
      <c r="J2142" s="104"/>
      <c r="K2142" s="104"/>
      <c r="L2142" s="104"/>
      <c r="M2142" s="104"/>
      <c r="N2142" s="104"/>
      <c r="O2142" s="104"/>
      <c r="P2142" s="104"/>
      <c r="Q2142" s="104"/>
      <c r="R2142" s="104"/>
      <c r="S2142" s="104"/>
    </row>
    <row r="2143" spans="4:19">
      <c r="D2143" s="104"/>
      <c r="E2143" s="104"/>
      <c r="F2143" s="104"/>
      <c r="G2143" s="104"/>
      <c r="H2143" s="104"/>
      <c r="I2143" s="104"/>
      <c r="J2143" s="104"/>
      <c r="K2143" s="104"/>
      <c r="L2143" s="104"/>
      <c r="M2143" s="104"/>
      <c r="N2143" s="104"/>
      <c r="O2143" s="104"/>
      <c r="P2143" s="104"/>
      <c r="Q2143" s="104"/>
      <c r="R2143" s="104"/>
      <c r="S2143" s="104"/>
    </row>
    <row r="2144" spans="4:19">
      <c r="D2144" s="104"/>
      <c r="E2144" s="104"/>
      <c r="F2144" s="104"/>
      <c r="G2144" s="104"/>
      <c r="H2144" s="104"/>
      <c r="I2144" s="104"/>
      <c r="J2144" s="104"/>
      <c r="K2144" s="104"/>
      <c r="L2144" s="104"/>
      <c r="M2144" s="104"/>
      <c r="N2144" s="104"/>
      <c r="O2144" s="104"/>
      <c r="P2144" s="104"/>
      <c r="Q2144" s="104"/>
      <c r="R2144" s="104"/>
      <c r="S2144" s="104"/>
    </row>
    <row r="2145" spans="4:19">
      <c r="D2145" s="104"/>
      <c r="E2145" s="104"/>
      <c r="F2145" s="104"/>
      <c r="G2145" s="104"/>
      <c r="H2145" s="104"/>
      <c r="I2145" s="104"/>
      <c r="J2145" s="104"/>
      <c r="K2145" s="104"/>
      <c r="L2145" s="104"/>
      <c r="M2145" s="104"/>
      <c r="N2145" s="104"/>
      <c r="O2145" s="104"/>
      <c r="P2145" s="104"/>
      <c r="Q2145" s="104"/>
      <c r="R2145" s="104"/>
      <c r="S2145" s="104"/>
    </row>
    <row r="2146" spans="4:19">
      <c r="D2146" s="104"/>
      <c r="E2146" s="104"/>
      <c r="F2146" s="104"/>
      <c r="G2146" s="104"/>
      <c r="H2146" s="104"/>
      <c r="I2146" s="104"/>
      <c r="J2146" s="104"/>
      <c r="K2146" s="104"/>
      <c r="L2146" s="104"/>
      <c r="M2146" s="104"/>
      <c r="N2146" s="104"/>
      <c r="O2146" s="104"/>
      <c r="P2146" s="104"/>
      <c r="Q2146" s="104"/>
      <c r="R2146" s="104"/>
      <c r="S2146" s="104"/>
    </row>
    <row r="2147" spans="4:19">
      <c r="D2147" s="104"/>
      <c r="E2147" s="104"/>
      <c r="F2147" s="104"/>
      <c r="G2147" s="104"/>
      <c r="H2147" s="104"/>
      <c r="I2147" s="104"/>
      <c r="J2147" s="104"/>
      <c r="K2147" s="104"/>
      <c r="L2147" s="104"/>
      <c r="M2147" s="104"/>
      <c r="N2147" s="104"/>
      <c r="O2147" s="104"/>
      <c r="P2147" s="104"/>
      <c r="Q2147" s="104"/>
      <c r="R2147" s="104"/>
      <c r="S2147" s="104"/>
    </row>
    <row r="2148" spans="4:19">
      <c r="D2148" s="104"/>
      <c r="E2148" s="104"/>
      <c r="F2148" s="104"/>
      <c r="G2148" s="104"/>
      <c r="H2148" s="104"/>
      <c r="I2148" s="104"/>
      <c r="J2148" s="104"/>
      <c r="K2148" s="104"/>
      <c r="L2148" s="104"/>
      <c r="M2148" s="104"/>
      <c r="N2148" s="104"/>
      <c r="O2148" s="104"/>
      <c r="P2148" s="104"/>
      <c r="Q2148" s="104"/>
      <c r="R2148" s="104"/>
      <c r="S2148" s="104"/>
    </row>
    <row r="2149" spans="4:19">
      <c r="D2149" s="104"/>
      <c r="E2149" s="104"/>
      <c r="F2149" s="104"/>
      <c r="G2149" s="104"/>
      <c r="H2149" s="104"/>
      <c r="I2149" s="104"/>
      <c r="J2149" s="104"/>
      <c r="K2149" s="104"/>
      <c r="L2149" s="104"/>
      <c r="M2149" s="104"/>
      <c r="N2149" s="104"/>
      <c r="O2149" s="104"/>
      <c r="P2149" s="104"/>
      <c r="Q2149" s="104"/>
      <c r="R2149" s="104"/>
      <c r="S2149" s="104"/>
    </row>
    <row r="2150" spans="4:19">
      <c r="D2150" s="104"/>
      <c r="E2150" s="104"/>
      <c r="F2150" s="104"/>
      <c r="G2150" s="104"/>
      <c r="H2150" s="104"/>
      <c r="I2150" s="104"/>
      <c r="J2150" s="104"/>
      <c r="K2150" s="104"/>
      <c r="L2150" s="104"/>
      <c r="M2150" s="104"/>
      <c r="N2150" s="104"/>
      <c r="O2150" s="104"/>
      <c r="P2150" s="104"/>
      <c r="Q2150" s="104"/>
      <c r="R2150" s="104"/>
      <c r="S2150" s="104"/>
    </row>
    <row r="2151" spans="4:19">
      <c r="D2151" s="104"/>
      <c r="E2151" s="104"/>
      <c r="F2151" s="104"/>
      <c r="G2151" s="104"/>
      <c r="H2151" s="104"/>
      <c r="I2151" s="104"/>
      <c r="J2151" s="104"/>
      <c r="K2151" s="104"/>
      <c r="L2151" s="104"/>
      <c r="M2151" s="104"/>
      <c r="N2151" s="104"/>
      <c r="O2151" s="104"/>
      <c r="P2151" s="104"/>
      <c r="Q2151" s="104"/>
      <c r="R2151" s="104"/>
      <c r="S2151" s="104"/>
    </row>
    <row r="2152" spans="4:19">
      <c r="D2152" s="104"/>
      <c r="E2152" s="104"/>
      <c r="F2152" s="104"/>
      <c r="G2152" s="104"/>
      <c r="H2152" s="104"/>
      <c r="I2152" s="104"/>
      <c r="J2152" s="104"/>
      <c r="K2152" s="104"/>
      <c r="L2152" s="104"/>
      <c r="M2152" s="104"/>
      <c r="N2152" s="104"/>
      <c r="O2152" s="104"/>
      <c r="P2152" s="104"/>
      <c r="Q2152" s="104"/>
      <c r="R2152" s="104"/>
      <c r="S2152" s="104"/>
    </row>
    <row r="2153" spans="4:19">
      <c r="D2153" s="104"/>
      <c r="E2153" s="104"/>
      <c r="F2153" s="104"/>
      <c r="G2153" s="104"/>
      <c r="H2153" s="104"/>
      <c r="I2153" s="104"/>
      <c r="J2153" s="104"/>
      <c r="K2153" s="104"/>
      <c r="L2153" s="104"/>
      <c r="M2153" s="104"/>
      <c r="N2153" s="104"/>
      <c r="O2153" s="104"/>
      <c r="P2153" s="104"/>
      <c r="Q2153" s="104"/>
      <c r="R2153" s="104"/>
      <c r="S2153" s="104"/>
    </row>
    <row r="2154" spans="4:19">
      <c r="D2154" s="104"/>
      <c r="E2154" s="104"/>
      <c r="F2154" s="104"/>
      <c r="G2154" s="104"/>
      <c r="H2154" s="104"/>
      <c r="I2154" s="104"/>
      <c r="J2154" s="104"/>
      <c r="K2154" s="104"/>
      <c r="L2154" s="104"/>
      <c r="M2154" s="104"/>
      <c r="N2154" s="104"/>
      <c r="O2154" s="104"/>
      <c r="P2154" s="104"/>
      <c r="Q2154" s="104"/>
      <c r="R2154" s="104"/>
      <c r="S2154" s="104"/>
    </row>
    <row r="2155" spans="4:19">
      <c r="D2155" s="104"/>
      <c r="E2155" s="104"/>
      <c r="F2155" s="104"/>
      <c r="G2155" s="104"/>
      <c r="H2155" s="104"/>
      <c r="I2155" s="104"/>
      <c r="J2155" s="104"/>
      <c r="K2155" s="104"/>
      <c r="L2155" s="104"/>
      <c r="M2155" s="104"/>
      <c r="N2155" s="104"/>
      <c r="O2155" s="104"/>
      <c r="P2155" s="104"/>
      <c r="Q2155" s="104"/>
      <c r="R2155" s="104"/>
      <c r="S2155" s="104"/>
    </row>
    <row r="2156" spans="4:19">
      <c r="D2156" s="104"/>
      <c r="E2156" s="104"/>
      <c r="F2156" s="104"/>
      <c r="G2156" s="104"/>
      <c r="H2156" s="104"/>
      <c r="I2156" s="104"/>
      <c r="J2156" s="104"/>
      <c r="K2156" s="104"/>
      <c r="L2156" s="104"/>
      <c r="M2156" s="104"/>
      <c r="N2156" s="104"/>
      <c r="O2156" s="104"/>
      <c r="P2156" s="104"/>
      <c r="Q2156" s="104"/>
      <c r="R2156" s="104"/>
      <c r="S2156" s="104"/>
    </row>
    <row r="2157" spans="4:19">
      <c r="D2157" s="104"/>
      <c r="E2157" s="104"/>
      <c r="F2157" s="104"/>
      <c r="G2157" s="104"/>
      <c r="H2157" s="104"/>
      <c r="I2157" s="104"/>
      <c r="J2157" s="104"/>
      <c r="K2157" s="104"/>
      <c r="L2157" s="104"/>
      <c r="M2157" s="104"/>
      <c r="N2157" s="104"/>
      <c r="O2157" s="104"/>
      <c r="P2157" s="104"/>
      <c r="Q2157" s="104"/>
      <c r="R2157" s="104"/>
      <c r="S2157" s="104"/>
    </row>
    <row r="2158" spans="4:19">
      <c r="D2158" s="104"/>
      <c r="E2158" s="104"/>
      <c r="F2158" s="104"/>
      <c r="G2158" s="104"/>
      <c r="H2158" s="104"/>
      <c r="I2158" s="104"/>
      <c r="J2158" s="104"/>
      <c r="K2158" s="104"/>
      <c r="L2158" s="104"/>
      <c r="M2158" s="104"/>
      <c r="N2158" s="104"/>
      <c r="O2158" s="104"/>
      <c r="P2158" s="104"/>
      <c r="Q2158" s="104"/>
      <c r="R2158" s="104"/>
      <c r="S2158" s="104"/>
    </row>
    <row r="2159" spans="4:19">
      <c r="D2159" s="104"/>
      <c r="E2159" s="104"/>
      <c r="F2159" s="104"/>
      <c r="G2159" s="104"/>
      <c r="H2159" s="104"/>
      <c r="I2159" s="104"/>
      <c r="J2159" s="104"/>
      <c r="K2159" s="104"/>
      <c r="L2159" s="104"/>
      <c r="M2159" s="104"/>
      <c r="N2159" s="104"/>
      <c r="O2159" s="104"/>
      <c r="P2159" s="104"/>
      <c r="Q2159" s="104"/>
      <c r="R2159" s="104"/>
      <c r="S2159" s="104"/>
    </row>
    <row r="2160" spans="4:19">
      <c r="D2160" s="104"/>
      <c r="E2160" s="104"/>
      <c r="F2160" s="104"/>
      <c r="G2160" s="104"/>
      <c r="H2160" s="104"/>
      <c r="I2160" s="104"/>
      <c r="J2160" s="104"/>
      <c r="K2160" s="104"/>
      <c r="L2160" s="104"/>
      <c r="M2160" s="104"/>
      <c r="N2160" s="104"/>
      <c r="O2160" s="104"/>
      <c r="P2160" s="104"/>
      <c r="Q2160" s="104"/>
      <c r="R2160" s="104"/>
      <c r="S2160" s="104"/>
    </row>
    <row r="2161" spans="4:19">
      <c r="D2161" s="104"/>
      <c r="E2161" s="104"/>
      <c r="F2161" s="104"/>
      <c r="G2161" s="104"/>
      <c r="H2161" s="104"/>
      <c r="I2161" s="104"/>
      <c r="J2161" s="104"/>
      <c r="K2161" s="104"/>
      <c r="L2161" s="104"/>
      <c r="M2161" s="104"/>
      <c r="N2161" s="104"/>
      <c r="O2161" s="104"/>
      <c r="P2161" s="104"/>
      <c r="Q2161" s="104"/>
      <c r="R2161" s="104"/>
      <c r="S2161" s="104"/>
    </row>
    <row r="2162" spans="4:19">
      <c r="D2162" s="104"/>
      <c r="E2162" s="104"/>
      <c r="F2162" s="104"/>
      <c r="G2162" s="104"/>
      <c r="H2162" s="104"/>
      <c r="I2162" s="104"/>
      <c r="J2162" s="104"/>
      <c r="K2162" s="104"/>
      <c r="L2162" s="104"/>
      <c r="M2162" s="104"/>
      <c r="N2162" s="104"/>
      <c r="O2162" s="104"/>
      <c r="P2162" s="104"/>
      <c r="Q2162" s="104"/>
      <c r="R2162" s="104"/>
      <c r="S2162" s="104"/>
    </row>
    <row r="2163" spans="4:19">
      <c r="D2163" s="104"/>
      <c r="E2163" s="104"/>
      <c r="F2163" s="104"/>
      <c r="G2163" s="104"/>
      <c r="H2163" s="104"/>
      <c r="I2163" s="104"/>
      <c r="J2163" s="104"/>
      <c r="K2163" s="104"/>
      <c r="L2163" s="104"/>
      <c r="M2163" s="104"/>
      <c r="N2163" s="104"/>
      <c r="O2163" s="104"/>
      <c r="P2163" s="104"/>
      <c r="Q2163" s="104"/>
      <c r="R2163" s="104"/>
      <c r="S2163" s="104"/>
    </row>
    <row r="2164" spans="4:19">
      <c r="D2164" s="104"/>
      <c r="E2164" s="104"/>
      <c r="F2164" s="104"/>
      <c r="G2164" s="104"/>
      <c r="H2164" s="104"/>
      <c r="I2164" s="104"/>
      <c r="J2164" s="104"/>
      <c r="K2164" s="104"/>
      <c r="L2164" s="104"/>
      <c r="M2164" s="104"/>
      <c r="N2164" s="104"/>
      <c r="O2164" s="104"/>
      <c r="P2164" s="104"/>
      <c r="Q2164" s="104"/>
      <c r="R2164" s="104"/>
      <c r="S2164" s="104"/>
    </row>
    <row r="2165" spans="4:19">
      <c r="D2165" s="104"/>
      <c r="E2165" s="104"/>
      <c r="F2165" s="104"/>
      <c r="G2165" s="104"/>
      <c r="H2165" s="104"/>
      <c r="I2165" s="104"/>
      <c r="J2165" s="104"/>
      <c r="K2165" s="104"/>
      <c r="L2165" s="104"/>
      <c r="M2165" s="104"/>
      <c r="N2165" s="104"/>
      <c r="O2165" s="104"/>
      <c r="P2165" s="104"/>
      <c r="Q2165" s="104"/>
      <c r="R2165" s="104"/>
      <c r="S2165" s="104"/>
    </row>
    <row r="2166" spans="4:19">
      <c r="D2166" s="104"/>
      <c r="E2166" s="104"/>
      <c r="F2166" s="104"/>
      <c r="G2166" s="104"/>
      <c r="H2166" s="104"/>
      <c r="I2166" s="104"/>
      <c r="J2166" s="104"/>
      <c r="K2166" s="104"/>
      <c r="L2166" s="104"/>
      <c r="M2166" s="104"/>
      <c r="N2166" s="104"/>
      <c r="O2166" s="104"/>
      <c r="P2166" s="104"/>
      <c r="Q2166" s="104"/>
      <c r="R2166" s="104"/>
      <c r="S2166" s="104"/>
    </row>
    <row r="2167" spans="4:19">
      <c r="D2167" s="104"/>
      <c r="E2167" s="104"/>
      <c r="F2167" s="104"/>
      <c r="G2167" s="104"/>
      <c r="H2167" s="104"/>
      <c r="I2167" s="104"/>
      <c r="J2167" s="104"/>
      <c r="K2167" s="104"/>
      <c r="L2167" s="104"/>
      <c r="M2167" s="104"/>
      <c r="N2167" s="104"/>
      <c r="O2167" s="104"/>
      <c r="P2167" s="104"/>
      <c r="Q2167" s="104"/>
      <c r="R2167" s="104"/>
      <c r="S2167" s="104"/>
    </row>
    <row r="2168" spans="4:19">
      <c r="D2168" s="104"/>
      <c r="E2168" s="104"/>
      <c r="F2168" s="104"/>
      <c r="G2168" s="104"/>
      <c r="H2168" s="104"/>
      <c r="I2168" s="104"/>
      <c r="J2168" s="104"/>
      <c r="K2168" s="104"/>
      <c r="L2168" s="104"/>
      <c r="M2168" s="104"/>
      <c r="N2168" s="104"/>
      <c r="O2168" s="104"/>
      <c r="P2168" s="104"/>
      <c r="Q2168" s="104"/>
      <c r="R2168" s="104"/>
      <c r="S2168" s="104"/>
    </row>
    <row r="2169" spans="4:19">
      <c r="D2169" s="104"/>
      <c r="E2169" s="104"/>
      <c r="F2169" s="104"/>
      <c r="G2169" s="104"/>
      <c r="H2169" s="104"/>
      <c r="I2169" s="104"/>
      <c r="J2169" s="104"/>
      <c r="K2169" s="104"/>
      <c r="L2169" s="104"/>
      <c r="M2169" s="104"/>
      <c r="N2169" s="104"/>
      <c r="O2169" s="104"/>
      <c r="P2169" s="104"/>
      <c r="Q2169" s="104"/>
      <c r="R2169" s="104"/>
      <c r="S2169" s="104"/>
    </row>
    <row r="2170" spans="4:19">
      <c r="D2170" s="104"/>
      <c r="E2170" s="104"/>
      <c r="F2170" s="104"/>
      <c r="G2170" s="104"/>
      <c r="H2170" s="104"/>
      <c r="I2170" s="104"/>
      <c r="J2170" s="104"/>
      <c r="K2170" s="104"/>
      <c r="L2170" s="104"/>
      <c r="M2170" s="104"/>
      <c r="N2170" s="104"/>
      <c r="O2170" s="104"/>
      <c r="P2170" s="104"/>
      <c r="Q2170" s="104"/>
      <c r="R2170" s="104"/>
      <c r="S2170" s="104"/>
    </row>
    <row r="2171" spans="4:19">
      <c r="D2171" s="104"/>
      <c r="E2171" s="104"/>
      <c r="F2171" s="104"/>
      <c r="G2171" s="104"/>
      <c r="H2171" s="104"/>
      <c r="I2171" s="104"/>
      <c r="J2171" s="104"/>
      <c r="K2171" s="104"/>
      <c r="L2171" s="104"/>
      <c r="M2171" s="104"/>
      <c r="N2171" s="104"/>
      <c r="O2171" s="104"/>
      <c r="P2171" s="104"/>
      <c r="Q2171" s="104"/>
      <c r="R2171" s="104"/>
      <c r="S2171" s="104"/>
    </row>
    <row r="2172" spans="4:19">
      <c r="D2172" s="104"/>
      <c r="E2172" s="104"/>
      <c r="F2172" s="104"/>
      <c r="G2172" s="104"/>
      <c r="H2172" s="104"/>
      <c r="I2172" s="104"/>
      <c r="J2172" s="104"/>
      <c r="K2172" s="104"/>
      <c r="L2172" s="104"/>
      <c r="M2172" s="104"/>
      <c r="N2172" s="104"/>
      <c r="O2172" s="104"/>
      <c r="P2172" s="104"/>
      <c r="Q2172" s="104"/>
      <c r="R2172" s="104"/>
      <c r="S2172" s="104"/>
    </row>
    <row r="2173" spans="4:19">
      <c r="D2173" s="104"/>
      <c r="E2173" s="104"/>
      <c r="F2173" s="104"/>
      <c r="G2173" s="104"/>
      <c r="H2173" s="104"/>
      <c r="I2173" s="104"/>
      <c r="J2173" s="104"/>
      <c r="K2173" s="104"/>
      <c r="L2173" s="104"/>
      <c r="M2173" s="104"/>
      <c r="N2173" s="104"/>
      <c r="O2173" s="104"/>
      <c r="P2173" s="104"/>
      <c r="Q2173" s="104"/>
      <c r="R2173" s="104"/>
      <c r="S2173" s="104"/>
    </row>
    <row r="2174" spans="4:19">
      <c r="D2174" s="104"/>
      <c r="E2174" s="104"/>
      <c r="F2174" s="104"/>
      <c r="G2174" s="104"/>
      <c r="H2174" s="104"/>
      <c r="I2174" s="104"/>
      <c r="J2174" s="104"/>
      <c r="K2174" s="104"/>
      <c r="L2174" s="104"/>
      <c r="M2174" s="104"/>
      <c r="N2174" s="104"/>
      <c r="O2174" s="104"/>
      <c r="P2174" s="104"/>
      <c r="Q2174" s="104"/>
      <c r="R2174" s="104"/>
      <c r="S2174" s="104"/>
    </row>
    <row r="2175" spans="4:19">
      <c r="D2175" s="104"/>
      <c r="E2175" s="104"/>
      <c r="F2175" s="104"/>
      <c r="G2175" s="104"/>
      <c r="H2175" s="104"/>
      <c r="I2175" s="104"/>
      <c r="J2175" s="104"/>
      <c r="K2175" s="104"/>
      <c r="L2175" s="104"/>
      <c r="M2175" s="104"/>
      <c r="N2175" s="104"/>
      <c r="O2175" s="104"/>
      <c r="P2175" s="104"/>
      <c r="Q2175" s="104"/>
      <c r="R2175" s="104"/>
      <c r="S2175" s="104"/>
    </row>
    <row r="2176" spans="4:19">
      <c r="D2176" s="104"/>
      <c r="E2176" s="104"/>
      <c r="F2176" s="104"/>
      <c r="G2176" s="104"/>
      <c r="H2176" s="104"/>
      <c r="I2176" s="104"/>
      <c r="J2176" s="104"/>
      <c r="K2176" s="104"/>
      <c r="L2176" s="104"/>
      <c r="M2176" s="104"/>
      <c r="N2176" s="104"/>
      <c r="O2176" s="104"/>
      <c r="P2176" s="104"/>
      <c r="Q2176" s="104"/>
      <c r="R2176" s="104"/>
      <c r="S2176" s="104"/>
    </row>
    <row r="2177" spans="4:19">
      <c r="D2177" s="104"/>
      <c r="E2177" s="104"/>
      <c r="F2177" s="104"/>
      <c r="G2177" s="104"/>
      <c r="H2177" s="104"/>
      <c r="I2177" s="104"/>
      <c r="J2177" s="104"/>
      <c r="K2177" s="104"/>
      <c r="L2177" s="104"/>
      <c r="M2177" s="104"/>
      <c r="N2177" s="104"/>
      <c r="O2177" s="104"/>
      <c r="P2177" s="104"/>
      <c r="Q2177" s="104"/>
      <c r="R2177" s="104"/>
      <c r="S2177" s="104"/>
    </row>
    <row r="2178" spans="4:19">
      <c r="D2178" s="104"/>
      <c r="E2178" s="104"/>
      <c r="F2178" s="104"/>
      <c r="G2178" s="104"/>
      <c r="H2178" s="104"/>
      <c r="I2178" s="104"/>
      <c r="J2178" s="104"/>
      <c r="K2178" s="104"/>
      <c r="L2178" s="104"/>
      <c r="M2178" s="104"/>
      <c r="N2178" s="104"/>
      <c r="O2178" s="104"/>
      <c r="P2178" s="104"/>
      <c r="Q2178" s="104"/>
      <c r="R2178" s="104"/>
      <c r="S2178" s="104"/>
    </row>
    <row r="2179" spans="4:19">
      <c r="D2179" s="104"/>
      <c r="E2179" s="104"/>
      <c r="F2179" s="104"/>
      <c r="G2179" s="104"/>
      <c r="H2179" s="104"/>
      <c r="I2179" s="104"/>
      <c r="J2179" s="104"/>
      <c r="K2179" s="104"/>
      <c r="L2179" s="104"/>
      <c r="M2179" s="104"/>
      <c r="N2179" s="104"/>
      <c r="O2179" s="104"/>
      <c r="P2179" s="104"/>
      <c r="Q2179" s="104"/>
      <c r="R2179" s="104"/>
      <c r="S2179" s="104"/>
    </row>
    <row r="2180" spans="4:19">
      <c r="D2180" s="104"/>
      <c r="E2180" s="104"/>
      <c r="F2180" s="104"/>
      <c r="G2180" s="104"/>
      <c r="H2180" s="104"/>
      <c r="I2180" s="104"/>
      <c r="J2180" s="104"/>
      <c r="K2180" s="104"/>
      <c r="L2180" s="104"/>
      <c r="M2180" s="104"/>
      <c r="N2180" s="104"/>
      <c r="O2180" s="104"/>
      <c r="P2180" s="104"/>
      <c r="Q2180" s="104"/>
      <c r="R2180" s="104"/>
      <c r="S2180" s="104"/>
    </row>
    <row r="2181" spans="4:19">
      <c r="D2181" s="104"/>
      <c r="E2181" s="104"/>
      <c r="F2181" s="104"/>
      <c r="G2181" s="104"/>
      <c r="H2181" s="104"/>
      <c r="I2181" s="104"/>
      <c r="J2181" s="104"/>
      <c r="K2181" s="104"/>
      <c r="L2181" s="104"/>
      <c r="M2181" s="104"/>
      <c r="N2181" s="104"/>
      <c r="O2181" s="104"/>
      <c r="P2181" s="104"/>
      <c r="Q2181" s="104"/>
      <c r="R2181" s="104"/>
      <c r="S2181" s="104"/>
    </row>
    <row r="2182" spans="4:19">
      <c r="D2182" s="104"/>
      <c r="E2182" s="104"/>
      <c r="F2182" s="104"/>
      <c r="G2182" s="104"/>
      <c r="H2182" s="104"/>
      <c r="I2182" s="104"/>
      <c r="J2182" s="104"/>
      <c r="K2182" s="104"/>
      <c r="L2182" s="104"/>
      <c r="M2182" s="104"/>
      <c r="N2182" s="104"/>
      <c r="O2182" s="104"/>
      <c r="P2182" s="104"/>
      <c r="Q2182" s="104"/>
      <c r="R2182" s="104"/>
      <c r="S2182" s="104"/>
    </row>
    <row r="2183" spans="4:19">
      <c r="D2183" s="104"/>
      <c r="E2183" s="104"/>
      <c r="F2183" s="104"/>
      <c r="G2183" s="104"/>
      <c r="H2183" s="104"/>
      <c r="I2183" s="104"/>
      <c r="J2183" s="104"/>
      <c r="K2183" s="104"/>
      <c r="L2183" s="104"/>
      <c r="M2183" s="104"/>
      <c r="N2183" s="104"/>
      <c r="O2183" s="104"/>
      <c r="P2183" s="104"/>
      <c r="Q2183" s="104"/>
      <c r="R2183" s="104"/>
      <c r="S2183" s="104"/>
    </row>
    <row r="2184" spans="4:19">
      <c r="D2184" s="104"/>
      <c r="E2184" s="104"/>
      <c r="F2184" s="104"/>
      <c r="G2184" s="104"/>
      <c r="H2184" s="104"/>
      <c r="I2184" s="104"/>
      <c r="J2184" s="104"/>
      <c r="K2184" s="104"/>
      <c r="L2184" s="104"/>
      <c r="M2184" s="104"/>
      <c r="N2184" s="104"/>
      <c r="O2184" s="104"/>
      <c r="P2184" s="104"/>
      <c r="Q2184" s="104"/>
      <c r="R2184" s="104"/>
      <c r="S2184" s="104"/>
    </row>
    <row r="2185" spans="4:19">
      <c r="D2185" s="104"/>
      <c r="E2185" s="104"/>
      <c r="F2185" s="104"/>
      <c r="G2185" s="104"/>
      <c r="H2185" s="104"/>
      <c r="I2185" s="104"/>
      <c r="J2185" s="104"/>
      <c r="K2185" s="104"/>
      <c r="L2185" s="104"/>
      <c r="M2185" s="104"/>
      <c r="N2185" s="104"/>
      <c r="O2185" s="104"/>
      <c r="P2185" s="104"/>
      <c r="Q2185" s="104"/>
      <c r="R2185" s="104"/>
      <c r="S2185" s="104"/>
    </row>
    <row r="2186" spans="4:19">
      <c r="D2186" s="104"/>
      <c r="E2186" s="104"/>
      <c r="F2186" s="104"/>
      <c r="G2186" s="104"/>
      <c r="H2186" s="104"/>
      <c r="I2186" s="104"/>
      <c r="J2186" s="104"/>
      <c r="K2186" s="104"/>
      <c r="L2186" s="104"/>
      <c r="M2186" s="104"/>
      <c r="N2186" s="104"/>
      <c r="O2186" s="104"/>
      <c r="P2186" s="104"/>
      <c r="Q2186" s="104"/>
      <c r="R2186" s="104"/>
      <c r="S2186" s="104"/>
    </row>
    <row r="2187" spans="4:19">
      <c r="D2187" s="104"/>
      <c r="E2187" s="104"/>
      <c r="F2187" s="104"/>
      <c r="G2187" s="104"/>
      <c r="H2187" s="104"/>
      <c r="I2187" s="104"/>
      <c r="J2187" s="104"/>
      <c r="K2187" s="104"/>
      <c r="L2187" s="104"/>
      <c r="M2187" s="104"/>
      <c r="N2187" s="104"/>
      <c r="O2187" s="104"/>
      <c r="P2187" s="104"/>
      <c r="Q2187" s="104"/>
      <c r="R2187" s="104"/>
      <c r="S2187" s="104"/>
    </row>
    <row r="2188" spans="4:19">
      <c r="D2188" s="104"/>
      <c r="E2188" s="104"/>
      <c r="F2188" s="104"/>
      <c r="G2188" s="104"/>
      <c r="H2188" s="104"/>
      <c r="I2188" s="104"/>
      <c r="J2188" s="104"/>
      <c r="K2188" s="104"/>
      <c r="L2188" s="104"/>
      <c r="M2188" s="104"/>
      <c r="N2188" s="104"/>
      <c r="O2188" s="104"/>
      <c r="P2188" s="104"/>
      <c r="Q2188" s="104"/>
      <c r="R2188" s="104"/>
      <c r="S2188" s="104"/>
    </row>
    <row r="2189" spans="4:19">
      <c r="D2189" s="104"/>
      <c r="E2189" s="104"/>
      <c r="F2189" s="104"/>
      <c r="G2189" s="104"/>
      <c r="H2189" s="104"/>
      <c r="I2189" s="104"/>
      <c r="J2189" s="104"/>
      <c r="K2189" s="104"/>
      <c r="L2189" s="104"/>
      <c r="M2189" s="104"/>
      <c r="N2189" s="104"/>
      <c r="O2189" s="104"/>
      <c r="P2189" s="104"/>
      <c r="Q2189" s="104"/>
      <c r="R2189" s="104"/>
      <c r="S2189" s="104"/>
    </row>
    <row r="2190" spans="4:19">
      <c r="D2190" s="104"/>
      <c r="E2190" s="104"/>
      <c r="F2190" s="104"/>
      <c r="G2190" s="104"/>
      <c r="H2190" s="104"/>
      <c r="I2190" s="104"/>
      <c r="J2190" s="104"/>
      <c r="K2190" s="104"/>
      <c r="L2190" s="104"/>
      <c r="M2190" s="104"/>
      <c r="N2190" s="104"/>
      <c r="O2190" s="104"/>
      <c r="P2190" s="104"/>
      <c r="Q2190" s="104"/>
      <c r="R2190" s="104"/>
      <c r="S2190" s="104"/>
    </row>
    <row r="2191" spans="4:19">
      <c r="D2191" s="104"/>
      <c r="E2191" s="104"/>
      <c r="F2191" s="104"/>
      <c r="G2191" s="104"/>
      <c r="H2191" s="104"/>
      <c r="I2191" s="104"/>
      <c r="J2191" s="104"/>
      <c r="K2191" s="104"/>
      <c r="L2191" s="104"/>
      <c r="M2191" s="104"/>
      <c r="N2191" s="104"/>
      <c r="O2191" s="104"/>
      <c r="P2191" s="104"/>
      <c r="Q2191" s="104"/>
      <c r="R2191" s="104"/>
      <c r="S2191" s="104"/>
    </row>
    <row r="2192" spans="4:19">
      <c r="D2192" s="104"/>
      <c r="E2192" s="104"/>
      <c r="F2192" s="104"/>
      <c r="G2192" s="104"/>
      <c r="H2192" s="104"/>
      <c r="I2192" s="104"/>
      <c r="J2192" s="104"/>
      <c r="K2192" s="104"/>
      <c r="L2192" s="104"/>
      <c r="M2192" s="104"/>
      <c r="N2192" s="104"/>
      <c r="O2192" s="104"/>
      <c r="P2192" s="104"/>
      <c r="Q2192" s="104"/>
      <c r="R2192" s="104"/>
      <c r="S2192" s="104"/>
    </row>
    <row r="2193" spans="4:19">
      <c r="D2193" s="104"/>
      <c r="E2193" s="104"/>
      <c r="F2193" s="104"/>
      <c r="G2193" s="104"/>
      <c r="H2193" s="104"/>
      <c r="I2193" s="104"/>
      <c r="J2193" s="104"/>
      <c r="K2193" s="104"/>
      <c r="L2193" s="104"/>
      <c r="M2193" s="104"/>
      <c r="N2193" s="104"/>
      <c r="O2193" s="104"/>
      <c r="P2193" s="104"/>
      <c r="Q2193" s="104"/>
      <c r="R2193" s="104"/>
      <c r="S2193" s="104"/>
    </row>
    <row r="2194" spans="4:19">
      <c r="D2194" s="104"/>
      <c r="E2194" s="104"/>
      <c r="F2194" s="104"/>
      <c r="G2194" s="104"/>
      <c r="H2194" s="104"/>
      <c r="I2194" s="104"/>
      <c r="J2194" s="104"/>
      <c r="K2194" s="104"/>
      <c r="L2194" s="104"/>
      <c r="M2194" s="104"/>
      <c r="N2194" s="104"/>
      <c r="O2194" s="104"/>
      <c r="P2194" s="104"/>
      <c r="Q2194" s="104"/>
      <c r="R2194" s="104"/>
      <c r="S2194" s="104"/>
    </row>
    <row r="2195" spans="4:19">
      <c r="D2195" s="104"/>
      <c r="E2195" s="104"/>
      <c r="F2195" s="104"/>
      <c r="G2195" s="104"/>
      <c r="H2195" s="104"/>
      <c r="I2195" s="104"/>
      <c r="J2195" s="104"/>
      <c r="K2195" s="104"/>
      <c r="L2195" s="104"/>
      <c r="M2195" s="104"/>
      <c r="N2195" s="104"/>
      <c r="O2195" s="104"/>
      <c r="P2195" s="104"/>
      <c r="Q2195" s="104"/>
      <c r="R2195" s="104"/>
      <c r="S2195" s="104"/>
    </row>
    <row r="2196" spans="4:19">
      <c r="D2196" s="104"/>
      <c r="E2196" s="104"/>
      <c r="F2196" s="104"/>
      <c r="G2196" s="104"/>
      <c r="H2196" s="104"/>
      <c r="I2196" s="104"/>
      <c r="J2196" s="104"/>
      <c r="K2196" s="104"/>
      <c r="L2196" s="104"/>
      <c r="M2196" s="104"/>
      <c r="N2196" s="104"/>
      <c r="O2196" s="104"/>
      <c r="P2196" s="104"/>
      <c r="Q2196" s="104"/>
      <c r="R2196" s="104"/>
      <c r="S2196" s="104"/>
    </row>
    <row r="2197" spans="4:19">
      <c r="D2197" s="104"/>
      <c r="E2197" s="104"/>
      <c r="F2197" s="104"/>
      <c r="G2197" s="104"/>
      <c r="H2197" s="104"/>
      <c r="I2197" s="104"/>
      <c r="J2197" s="104"/>
      <c r="K2197" s="104"/>
      <c r="L2197" s="104"/>
      <c r="M2197" s="104"/>
      <c r="N2197" s="104"/>
      <c r="O2197" s="104"/>
      <c r="P2197" s="104"/>
      <c r="Q2197" s="104"/>
      <c r="R2197" s="104"/>
      <c r="S2197" s="104"/>
    </row>
    <row r="2198" spans="4:19">
      <c r="D2198" s="104"/>
      <c r="E2198" s="104"/>
      <c r="F2198" s="104"/>
      <c r="G2198" s="104"/>
      <c r="H2198" s="104"/>
      <c r="I2198" s="104"/>
      <c r="J2198" s="104"/>
      <c r="K2198" s="104"/>
      <c r="L2198" s="104"/>
      <c r="M2198" s="104"/>
      <c r="N2198" s="104"/>
      <c r="O2198" s="104"/>
      <c r="P2198" s="104"/>
      <c r="Q2198" s="104"/>
      <c r="R2198" s="104"/>
      <c r="S2198" s="104"/>
    </row>
    <row r="2199" spans="4:19">
      <c r="D2199" s="104"/>
      <c r="E2199" s="104"/>
      <c r="F2199" s="104"/>
      <c r="G2199" s="104"/>
      <c r="H2199" s="104"/>
      <c r="I2199" s="104"/>
      <c r="J2199" s="104"/>
      <c r="K2199" s="104"/>
      <c r="L2199" s="104"/>
      <c r="M2199" s="104"/>
      <c r="N2199" s="104"/>
      <c r="O2199" s="104"/>
      <c r="P2199" s="104"/>
      <c r="Q2199" s="104"/>
      <c r="R2199" s="104"/>
      <c r="S2199" s="104"/>
    </row>
    <row r="2200" spans="4:19">
      <c r="D2200" s="104"/>
      <c r="E2200" s="104"/>
      <c r="F2200" s="104"/>
      <c r="G2200" s="104"/>
      <c r="H2200" s="104"/>
      <c r="I2200" s="104"/>
      <c r="J2200" s="104"/>
      <c r="K2200" s="104"/>
      <c r="L2200" s="104"/>
      <c r="M2200" s="104"/>
      <c r="N2200" s="104"/>
      <c r="O2200" s="104"/>
      <c r="P2200" s="104"/>
      <c r="Q2200" s="104"/>
      <c r="R2200" s="104"/>
      <c r="S2200" s="104"/>
    </row>
    <row r="2201" spans="4:19">
      <c r="D2201" s="104"/>
      <c r="E2201" s="104"/>
      <c r="F2201" s="104"/>
      <c r="G2201" s="104"/>
      <c r="H2201" s="104"/>
      <c r="I2201" s="104"/>
      <c r="J2201" s="104"/>
      <c r="K2201" s="104"/>
      <c r="L2201" s="104"/>
      <c r="M2201" s="104"/>
      <c r="N2201" s="104"/>
      <c r="O2201" s="104"/>
      <c r="P2201" s="104"/>
      <c r="Q2201" s="104"/>
      <c r="R2201" s="104"/>
      <c r="S2201" s="104"/>
    </row>
    <row r="2202" spans="4:19">
      <c r="D2202" s="104"/>
      <c r="E2202" s="104"/>
      <c r="F2202" s="104"/>
      <c r="G2202" s="104"/>
      <c r="H2202" s="104"/>
      <c r="I2202" s="104"/>
      <c r="J2202" s="104"/>
      <c r="K2202" s="104"/>
      <c r="L2202" s="104"/>
      <c r="M2202" s="104"/>
      <c r="N2202" s="104"/>
      <c r="O2202" s="104"/>
      <c r="P2202" s="104"/>
      <c r="Q2202" s="104"/>
      <c r="R2202" s="104"/>
      <c r="S2202" s="104"/>
    </row>
    <row r="2203" spans="4:19">
      <c r="D2203" s="104"/>
      <c r="E2203" s="104"/>
      <c r="F2203" s="104"/>
      <c r="G2203" s="104"/>
      <c r="H2203" s="104"/>
      <c r="I2203" s="104"/>
      <c r="J2203" s="104"/>
      <c r="K2203" s="104"/>
      <c r="L2203" s="104"/>
      <c r="M2203" s="104"/>
      <c r="N2203" s="104"/>
      <c r="O2203" s="104"/>
      <c r="P2203" s="104"/>
      <c r="Q2203" s="104"/>
      <c r="R2203" s="104"/>
      <c r="S2203" s="104"/>
    </row>
    <row r="2204" spans="4:19">
      <c r="D2204" s="104"/>
      <c r="E2204" s="104"/>
      <c r="F2204" s="104"/>
      <c r="G2204" s="104"/>
      <c r="H2204" s="104"/>
      <c r="I2204" s="104"/>
      <c r="J2204" s="104"/>
      <c r="K2204" s="104"/>
      <c r="L2204" s="104"/>
      <c r="M2204" s="104"/>
      <c r="N2204" s="104"/>
      <c r="O2204" s="104"/>
      <c r="P2204" s="104"/>
      <c r="Q2204" s="104"/>
      <c r="R2204" s="104"/>
      <c r="S2204" s="104"/>
    </row>
    <row r="2205" spans="4:19">
      <c r="D2205" s="104"/>
      <c r="E2205" s="104"/>
      <c r="F2205" s="104"/>
      <c r="G2205" s="104"/>
      <c r="H2205" s="104"/>
      <c r="I2205" s="104"/>
      <c r="J2205" s="104"/>
      <c r="K2205" s="104"/>
      <c r="L2205" s="104"/>
      <c r="M2205" s="104"/>
      <c r="N2205" s="104"/>
      <c r="O2205" s="104"/>
      <c r="P2205" s="104"/>
      <c r="Q2205" s="104"/>
      <c r="R2205" s="104"/>
      <c r="S2205" s="104"/>
    </row>
    <row r="2206" spans="4:19">
      <c r="D2206" s="104"/>
      <c r="E2206" s="104"/>
      <c r="F2206" s="104"/>
      <c r="G2206" s="104"/>
      <c r="H2206" s="104"/>
      <c r="I2206" s="104"/>
      <c r="J2206" s="104"/>
      <c r="K2206" s="104"/>
      <c r="L2206" s="104"/>
      <c r="M2206" s="104"/>
      <c r="N2206" s="104"/>
      <c r="O2206" s="104"/>
      <c r="P2206" s="104"/>
      <c r="Q2206" s="104"/>
      <c r="R2206" s="104"/>
      <c r="S2206" s="104"/>
    </row>
    <row r="2207" spans="4:19">
      <c r="D2207" s="104"/>
      <c r="E2207" s="104"/>
      <c r="F2207" s="104"/>
      <c r="G2207" s="104"/>
      <c r="H2207" s="104"/>
      <c r="I2207" s="104"/>
      <c r="J2207" s="104"/>
      <c r="K2207" s="104"/>
      <c r="L2207" s="104"/>
      <c r="M2207" s="104"/>
      <c r="N2207" s="104"/>
      <c r="O2207" s="104"/>
      <c r="P2207" s="104"/>
      <c r="Q2207" s="104"/>
      <c r="R2207" s="104"/>
      <c r="S2207" s="104"/>
    </row>
    <row r="2208" spans="4:19">
      <c r="D2208" s="104"/>
      <c r="E2208" s="104"/>
      <c r="F2208" s="104"/>
      <c r="G2208" s="104"/>
      <c r="H2208" s="104"/>
      <c r="I2208" s="104"/>
      <c r="J2208" s="104"/>
      <c r="K2208" s="104"/>
      <c r="L2208" s="104"/>
      <c r="M2208" s="104"/>
      <c r="N2208" s="104"/>
      <c r="O2208" s="104"/>
      <c r="P2208" s="104"/>
      <c r="Q2208" s="104"/>
      <c r="R2208" s="104"/>
      <c r="S2208" s="104"/>
    </row>
    <row r="2209" spans="4:19">
      <c r="D2209" s="104"/>
      <c r="E2209" s="104"/>
      <c r="F2209" s="104"/>
      <c r="G2209" s="104"/>
      <c r="H2209" s="104"/>
      <c r="I2209" s="104"/>
      <c r="J2209" s="104"/>
      <c r="K2209" s="104"/>
      <c r="L2209" s="104"/>
      <c r="M2209" s="104"/>
      <c r="N2209" s="104"/>
      <c r="O2209" s="104"/>
      <c r="P2209" s="104"/>
      <c r="Q2209" s="104"/>
      <c r="R2209" s="104"/>
      <c r="S2209" s="104"/>
    </row>
    <row r="2210" spans="4:19">
      <c r="D2210" s="104"/>
      <c r="E2210" s="104"/>
      <c r="F2210" s="104"/>
      <c r="G2210" s="104"/>
      <c r="H2210" s="104"/>
      <c r="I2210" s="104"/>
      <c r="J2210" s="104"/>
      <c r="K2210" s="104"/>
      <c r="L2210" s="104"/>
      <c r="M2210" s="104"/>
      <c r="N2210" s="104"/>
      <c r="O2210" s="104"/>
      <c r="P2210" s="104"/>
      <c r="Q2210" s="104"/>
      <c r="R2210" s="104"/>
      <c r="S2210" s="104"/>
    </row>
    <row r="2211" spans="4:19">
      <c r="D2211" s="104"/>
      <c r="E2211" s="104"/>
      <c r="F2211" s="104"/>
      <c r="G2211" s="104"/>
      <c r="H2211" s="104"/>
      <c r="I2211" s="104"/>
      <c r="J2211" s="104"/>
      <c r="K2211" s="104"/>
      <c r="L2211" s="104"/>
      <c r="M2211" s="104"/>
      <c r="N2211" s="104"/>
      <c r="O2211" s="104"/>
      <c r="P2211" s="104"/>
      <c r="Q2211" s="104"/>
      <c r="R2211" s="104"/>
      <c r="S2211" s="104"/>
    </row>
    <row r="2212" spans="4:19">
      <c r="D2212" s="104"/>
      <c r="E2212" s="104"/>
      <c r="F2212" s="104"/>
      <c r="G2212" s="104"/>
      <c r="H2212" s="104"/>
      <c r="I2212" s="104"/>
      <c r="J2212" s="104"/>
      <c r="K2212" s="104"/>
      <c r="L2212" s="104"/>
      <c r="M2212" s="104"/>
      <c r="N2212" s="104"/>
      <c r="O2212" s="104"/>
      <c r="P2212" s="104"/>
      <c r="Q2212" s="104"/>
      <c r="R2212" s="104"/>
      <c r="S2212" s="104"/>
    </row>
    <row r="2213" spans="4:19">
      <c r="D2213" s="104"/>
      <c r="E2213" s="104"/>
      <c r="F2213" s="104"/>
      <c r="G2213" s="104"/>
      <c r="H2213" s="104"/>
      <c r="I2213" s="104"/>
      <c r="J2213" s="104"/>
      <c r="K2213" s="104"/>
      <c r="L2213" s="104"/>
      <c r="M2213" s="104"/>
      <c r="N2213" s="104"/>
      <c r="O2213" s="104"/>
      <c r="P2213" s="104"/>
      <c r="Q2213" s="104"/>
      <c r="R2213" s="104"/>
      <c r="S2213" s="104"/>
    </row>
    <row r="2214" spans="4:19">
      <c r="D2214" s="104"/>
      <c r="E2214" s="104"/>
      <c r="F2214" s="104"/>
      <c r="G2214" s="104"/>
      <c r="H2214" s="104"/>
      <c r="I2214" s="104"/>
      <c r="J2214" s="104"/>
      <c r="K2214" s="104"/>
      <c r="L2214" s="104"/>
      <c r="M2214" s="104"/>
      <c r="N2214" s="104"/>
      <c r="O2214" s="104"/>
      <c r="P2214" s="104"/>
      <c r="Q2214" s="104"/>
      <c r="R2214" s="104"/>
      <c r="S2214" s="104"/>
    </row>
    <row r="2215" spans="4:19">
      <c r="D2215" s="104"/>
      <c r="E2215" s="104"/>
      <c r="F2215" s="104"/>
      <c r="G2215" s="104"/>
      <c r="H2215" s="104"/>
      <c r="I2215" s="104"/>
      <c r="J2215" s="104"/>
      <c r="K2215" s="104"/>
      <c r="L2215" s="104"/>
      <c r="M2215" s="104"/>
      <c r="N2215" s="104"/>
      <c r="O2215" s="104"/>
      <c r="P2215" s="104"/>
      <c r="Q2215" s="104"/>
      <c r="R2215" s="104"/>
      <c r="S2215" s="104"/>
    </row>
    <row r="2216" spans="4:19">
      <c r="D2216" s="104"/>
      <c r="E2216" s="104"/>
      <c r="F2216" s="104"/>
      <c r="G2216" s="104"/>
      <c r="H2216" s="104"/>
      <c r="I2216" s="104"/>
      <c r="J2216" s="104"/>
      <c r="K2216" s="104"/>
      <c r="L2216" s="104"/>
      <c r="M2216" s="104"/>
      <c r="N2216" s="104"/>
      <c r="O2216" s="104"/>
      <c r="P2216" s="104"/>
      <c r="Q2216" s="104"/>
      <c r="R2216" s="104"/>
      <c r="S2216" s="104"/>
    </row>
    <row r="2217" spans="4:19">
      <c r="D2217" s="104"/>
      <c r="E2217" s="104"/>
      <c r="F2217" s="104"/>
      <c r="G2217" s="104"/>
      <c r="H2217" s="104"/>
      <c r="I2217" s="104"/>
      <c r="J2217" s="104"/>
      <c r="K2217" s="104"/>
      <c r="L2217" s="104"/>
      <c r="M2217" s="104"/>
      <c r="N2217" s="104"/>
      <c r="O2217" s="104"/>
      <c r="P2217" s="104"/>
      <c r="Q2217" s="104"/>
      <c r="R2217" s="104"/>
      <c r="S2217" s="104"/>
    </row>
    <row r="2218" spans="4:19">
      <c r="D2218" s="104"/>
      <c r="E2218" s="104"/>
      <c r="F2218" s="104"/>
      <c r="G2218" s="104"/>
      <c r="H2218" s="104"/>
      <c r="I2218" s="104"/>
      <c r="J2218" s="104"/>
      <c r="K2218" s="104"/>
      <c r="L2218" s="104"/>
      <c r="M2218" s="104"/>
      <c r="N2218" s="104"/>
      <c r="O2218" s="104"/>
      <c r="P2218" s="104"/>
      <c r="Q2218" s="104"/>
      <c r="R2218" s="104"/>
      <c r="S2218" s="104"/>
    </row>
    <row r="2219" spans="4:19">
      <c r="D2219" s="104"/>
      <c r="E2219" s="104"/>
      <c r="F2219" s="104"/>
      <c r="G2219" s="104"/>
      <c r="H2219" s="104"/>
      <c r="I2219" s="104"/>
      <c r="J2219" s="104"/>
      <c r="K2219" s="104"/>
      <c r="L2219" s="104"/>
      <c r="M2219" s="104"/>
      <c r="N2219" s="104"/>
      <c r="O2219" s="104"/>
      <c r="P2219" s="104"/>
      <c r="Q2219" s="104"/>
      <c r="R2219" s="104"/>
      <c r="S2219" s="104"/>
    </row>
    <row r="2220" spans="4:19">
      <c r="D2220" s="104"/>
      <c r="E2220" s="104"/>
      <c r="F2220" s="104"/>
      <c r="G2220" s="104"/>
      <c r="H2220" s="104"/>
      <c r="I2220" s="104"/>
      <c r="J2220" s="104"/>
      <c r="K2220" s="104"/>
      <c r="L2220" s="104"/>
      <c r="M2220" s="104"/>
      <c r="N2220" s="104"/>
      <c r="O2220" s="104"/>
      <c r="P2220" s="104"/>
      <c r="Q2220" s="104"/>
      <c r="R2220" s="104"/>
      <c r="S2220" s="104"/>
    </row>
    <row r="2221" spans="4:19">
      <c r="D2221" s="104"/>
      <c r="E2221" s="104"/>
      <c r="F2221" s="104"/>
      <c r="G2221" s="104"/>
      <c r="H2221" s="104"/>
      <c r="I2221" s="104"/>
      <c r="J2221" s="104"/>
      <c r="K2221" s="104"/>
      <c r="L2221" s="104"/>
      <c r="M2221" s="104"/>
      <c r="N2221" s="104"/>
      <c r="O2221" s="104"/>
      <c r="P2221" s="104"/>
      <c r="Q2221" s="104"/>
      <c r="R2221" s="104"/>
      <c r="S2221" s="104"/>
    </row>
    <row r="2222" spans="4:19">
      <c r="D2222" s="104"/>
      <c r="E2222" s="104"/>
      <c r="F2222" s="104"/>
      <c r="G2222" s="104"/>
      <c r="H2222" s="104"/>
      <c r="I2222" s="104"/>
      <c r="J2222" s="104"/>
      <c r="K2222" s="104"/>
      <c r="L2222" s="104"/>
      <c r="M2222" s="104"/>
      <c r="N2222" s="104"/>
      <c r="O2222" s="104"/>
      <c r="P2222" s="104"/>
      <c r="Q2222" s="104"/>
      <c r="R2222" s="104"/>
      <c r="S2222" s="104"/>
    </row>
    <row r="2223" spans="4:19">
      <c r="D2223" s="104"/>
      <c r="E2223" s="104"/>
      <c r="F2223" s="104"/>
      <c r="G2223" s="104"/>
      <c r="H2223" s="104"/>
      <c r="I2223" s="104"/>
      <c r="J2223" s="104"/>
      <c r="K2223" s="104"/>
      <c r="L2223" s="104"/>
      <c r="M2223" s="104"/>
      <c r="N2223" s="104"/>
      <c r="O2223" s="104"/>
      <c r="P2223" s="104"/>
      <c r="Q2223" s="104"/>
      <c r="R2223" s="104"/>
      <c r="S2223" s="104"/>
    </row>
    <row r="2224" spans="4:19">
      <c r="D2224" s="104"/>
      <c r="E2224" s="104"/>
      <c r="F2224" s="104"/>
      <c r="G2224" s="104"/>
      <c r="H2224" s="104"/>
      <c r="I2224" s="104"/>
      <c r="J2224" s="104"/>
      <c r="K2224" s="104"/>
      <c r="L2224" s="104"/>
      <c r="M2224" s="104"/>
      <c r="N2224" s="104"/>
      <c r="O2224" s="104"/>
      <c r="P2224" s="104"/>
      <c r="Q2224" s="104"/>
      <c r="R2224" s="104"/>
      <c r="S2224" s="104"/>
    </row>
    <row r="2225" spans="4:19">
      <c r="D2225" s="104"/>
      <c r="E2225" s="104"/>
      <c r="F2225" s="104"/>
      <c r="G2225" s="104"/>
      <c r="H2225" s="104"/>
      <c r="I2225" s="104"/>
      <c r="J2225" s="104"/>
      <c r="K2225" s="104"/>
      <c r="L2225" s="104"/>
      <c r="M2225" s="104"/>
      <c r="N2225" s="104"/>
      <c r="O2225" s="104"/>
      <c r="P2225" s="104"/>
      <c r="Q2225" s="104"/>
      <c r="R2225" s="104"/>
      <c r="S2225" s="104"/>
    </row>
    <row r="2226" spans="4:19">
      <c r="D2226" s="104"/>
      <c r="E2226" s="104"/>
      <c r="F2226" s="104"/>
      <c r="G2226" s="104"/>
      <c r="H2226" s="104"/>
      <c r="I2226" s="104"/>
      <c r="J2226" s="104"/>
      <c r="K2226" s="104"/>
      <c r="L2226" s="104"/>
      <c r="M2226" s="104"/>
      <c r="N2226" s="104"/>
      <c r="O2226" s="104"/>
      <c r="P2226" s="104"/>
      <c r="Q2226" s="104"/>
      <c r="R2226" s="104"/>
      <c r="S2226" s="104"/>
    </row>
    <row r="2227" spans="4:19">
      <c r="D2227" s="104"/>
      <c r="E2227" s="104"/>
      <c r="F2227" s="104"/>
      <c r="G2227" s="104"/>
      <c r="H2227" s="104"/>
      <c r="I2227" s="104"/>
      <c r="J2227" s="104"/>
      <c r="K2227" s="104"/>
      <c r="L2227" s="104"/>
      <c r="M2227" s="104"/>
      <c r="N2227" s="104"/>
      <c r="O2227" s="104"/>
      <c r="P2227" s="104"/>
      <c r="Q2227" s="104"/>
      <c r="R2227" s="104"/>
      <c r="S2227" s="104"/>
    </row>
    <row r="2228" spans="4:19">
      <c r="D2228" s="104"/>
      <c r="E2228" s="104"/>
      <c r="F2228" s="104"/>
      <c r="G2228" s="104"/>
      <c r="H2228" s="104"/>
      <c r="I2228" s="104"/>
      <c r="J2228" s="104"/>
      <c r="K2228" s="104"/>
      <c r="L2228" s="104"/>
      <c r="M2228" s="104"/>
      <c r="N2228" s="104"/>
      <c r="O2228" s="104"/>
      <c r="P2228" s="104"/>
      <c r="Q2228" s="104"/>
      <c r="R2228" s="104"/>
      <c r="S2228" s="104"/>
    </row>
    <row r="2229" spans="4:19">
      <c r="D2229" s="104"/>
      <c r="E2229" s="104"/>
      <c r="F2229" s="104"/>
      <c r="G2229" s="104"/>
      <c r="H2229" s="104"/>
      <c r="I2229" s="104"/>
      <c r="J2229" s="104"/>
      <c r="K2229" s="104"/>
      <c r="L2229" s="104"/>
      <c r="M2229" s="104"/>
      <c r="N2229" s="104"/>
      <c r="O2229" s="104"/>
      <c r="P2229" s="104"/>
      <c r="Q2229" s="104"/>
      <c r="R2229" s="104"/>
      <c r="S2229" s="104"/>
    </row>
    <row r="2230" spans="4:19">
      <c r="D2230" s="104"/>
      <c r="E2230" s="104"/>
      <c r="F2230" s="104"/>
      <c r="G2230" s="104"/>
      <c r="H2230" s="104"/>
      <c r="I2230" s="104"/>
      <c r="J2230" s="104"/>
      <c r="K2230" s="104"/>
      <c r="L2230" s="104"/>
      <c r="M2230" s="104"/>
      <c r="N2230" s="104"/>
      <c r="O2230" s="104"/>
      <c r="P2230" s="104"/>
      <c r="Q2230" s="104"/>
      <c r="R2230" s="104"/>
      <c r="S2230" s="104"/>
    </row>
    <row r="2231" spans="4:19">
      <c r="D2231" s="104"/>
      <c r="E2231" s="104"/>
      <c r="F2231" s="104"/>
      <c r="G2231" s="104"/>
      <c r="H2231" s="104"/>
      <c r="I2231" s="104"/>
      <c r="J2231" s="104"/>
      <c r="K2231" s="104"/>
      <c r="L2231" s="104"/>
      <c r="M2231" s="104"/>
      <c r="N2231" s="104"/>
      <c r="O2231" s="104"/>
      <c r="P2231" s="104"/>
      <c r="Q2231" s="104"/>
      <c r="R2231" s="104"/>
      <c r="S2231" s="104"/>
    </row>
    <row r="2232" spans="4:19">
      <c r="D2232" s="104"/>
      <c r="E2232" s="104"/>
      <c r="F2232" s="104"/>
      <c r="G2232" s="104"/>
      <c r="H2232" s="104"/>
      <c r="I2232" s="104"/>
      <c r="J2232" s="104"/>
      <c r="K2232" s="104"/>
      <c r="L2232" s="104"/>
      <c r="M2232" s="104"/>
      <c r="N2232" s="104"/>
      <c r="O2232" s="104"/>
      <c r="P2232" s="104"/>
      <c r="Q2232" s="104"/>
      <c r="R2232" s="104"/>
      <c r="S2232" s="104"/>
    </row>
    <row r="2233" spans="4:19">
      <c r="D2233" s="104"/>
      <c r="E2233" s="104"/>
      <c r="F2233" s="104"/>
      <c r="G2233" s="104"/>
      <c r="H2233" s="104"/>
      <c r="I2233" s="104"/>
      <c r="J2233" s="104"/>
      <c r="K2233" s="104"/>
      <c r="L2233" s="104"/>
      <c r="M2233" s="104"/>
      <c r="N2233" s="104"/>
      <c r="O2233" s="104"/>
      <c r="P2233" s="104"/>
      <c r="Q2233" s="104"/>
      <c r="R2233" s="104"/>
      <c r="S2233" s="104"/>
    </row>
    <row r="2234" spans="4:19">
      <c r="D2234" s="104"/>
      <c r="E2234" s="104"/>
      <c r="F2234" s="104"/>
      <c r="G2234" s="104"/>
      <c r="H2234" s="104"/>
      <c r="I2234" s="104"/>
      <c r="J2234" s="104"/>
      <c r="K2234" s="104"/>
      <c r="L2234" s="104"/>
      <c r="M2234" s="104"/>
      <c r="N2234" s="104"/>
      <c r="O2234" s="104"/>
      <c r="P2234" s="104"/>
      <c r="Q2234" s="104"/>
      <c r="R2234" s="104"/>
      <c r="S2234" s="104"/>
    </row>
    <row r="2235" spans="4:19">
      <c r="D2235" s="104"/>
      <c r="E2235" s="104"/>
      <c r="F2235" s="104"/>
      <c r="G2235" s="104"/>
      <c r="H2235" s="104"/>
      <c r="I2235" s="104"/>
      <c r="J2235" s="104"/>
      <c r="K2235" s="104"/>
      <c r="L2235" s="104"/>
      <c r="M2235" s="104"/>
      <c r="N2235" s="104"/>
      <c r="O2235" s="104"/>
      <c r="P2235" s="104"/>
      <c r="Q2235" s="104"/>
      <c r="R2235" s="104"/>
      <c r="S2235" s="104"/>
    </row>
    <row r="2236" spans="4:19">
      <c r="D2236" s="104"/>
      <c r="E2236" s="104"/>
      <c r="F2236" s="104"/>
      <c r="G2236" s="104"/>
      <c r="H2236" s="104"/>
      <c r="I2236" s="104"/>
      <c r="J2236" s="104"/>
      <c r="K2236" s="104"/>
      <c r="L2236" s="104"/>
      <c r="M2236" s="104"/>
      <c r="N2236" s="104"/>
      <c r="O2236" s="104"/>
      <c r="P2236" s="104"/>
      <c r="Q2236" s="104"/>
      <c r="R2236" s="104"/>
      <c r="S2236" s="104"/>
    </row>
    <row r="2237" spans="4:19">
      <c r="D2237" s="104"/>
      <c r="E2237" s="104"/>
      <c r="F2237" s="104"/>
      <c r="G2237" s="104"/>
      <c r="H2237" s="104"/>
      <c r="I2237" s="104"/>
      <c r="J2237" s="104"/>
      <c r="K2237" s="104"/>
      <c r="L2237" s="104"/>
      <c r="M2237" s="104"/>
      <c r="N2237" s="104"/>
      <c r="O2237" s="104"/>
      <c r="P2237" s="104"/>
      <c r="Q2237" s="104"/>
      <c r="R2237" s="104"/>
      <c r="S2237" s="104"/>
    </row>
    <row r="2238" spans="4:19">
      <c r="D2238" s="104"/>
      <c r="E2238" s="104"/>
      <c r="F2238" s="104"/>
      <c r="G2238" s="104"/>
      <c r="H2238" s="104"/>
      <c r="I2238" s="104"/>
      <c r="J2238" s="104"/>
      <c r="K2238" s="104"/>
      <c r="L2238" s="104"/>
      <c r="M2238" s="104"/>
      <c r="N2238" s="104"/>
      <c r="O2238" s="104"/>
      <c r="P2238" s="104"/>
      <c r="Q2238" s="104"/>
      <c r="R2238" s="104"/>
      <c r="S2238" s="104"/>
    </row>
    <row r="2239" spans="4:19">
      <c r="D2239" s="104"/>
      <c r="E2239" s="104"/>
      <c r="F2239" s="104"/>
      <c r="G2239" s="104"/>
      <c r="H2239" s="104"/>
      <c r="I2239" s="104"/>
      <c r="J2239" s="104"/>
      <c r="K2239" s="104"/>
      <c r="L2239" s="104"/>
      <c r="M2239" s="104"/>
      <c r="N2239" s="104"/>
      <c r="O2239" s="104"/>
      <c r="P2239" s="104"/>
      <c r="Q2239" s="104"/>
      <c r="R2239" s="104"/>
      <c r="S2239" s="104"/>
    </row>
    <row r="2240" spans="4:19">
      <c r="D2240" s="104"/>
      <c r="E2240" s="104"/>
      <c r="F2240" s="104"/>
      <c r="G2240" s="104"/>
      <c r="H2240" s="104"/>
      <c r="I2240" s="104"/>
      <c r="J2240" s="104"/>
      <c r="K2240" s="104"/>
      <c r="L2240" s="104"/>
      <c r="M2240" s="104"/>
      <c r="N2240" s="104"/>
      <c r="O2240" s="104"/>
      <c r="P2240" s="104"/>
      <c r="Q2240" s="104"/>
      <c r="R2240" s="104"/>
      <c r="S2240" s="104"/>
    </row>
    <row r="2241" spans="4:19">
      <c r="D2241" s="104"/>
      <c r="E2241" s="104"/>
      <c r="F2241" s="104"/>
      <c r="G2241" s="104"/>
      <c r="H2241" s="104"/>
      <c r="I2241" s="104"/>
      <c r="J2241" s="104"/>
      <c r="K2241" s="104"/>
      <c r="L2241" s="104"/>
      <c r="M2241" s="104"/>
      <c r="N2241" s="104"/>
      <c r="O2241" s="104"/>
      <c r="P2241" s="104"/>
      <c r="Q2241" s="104"/>
      <c r="R2241" s="104"/>
      <c r="S2241" s="104"/>
    </row>
    <row r="2242" spans="4:19">
      <c r="D2242" s="104"/>
      <c r="E2242" s="104"/>
      <c r="F2242" s="104"/>
      <c r="G2242" s="104"/>
      <c r="H2242" s="104"/>
      <c r="I2242" s="104"/>
      <c r="J2242" s="104"/>
      <c r="K2242" s="104"/>
      <c r="L2242" s="104"/>
      <c r="M2242" s="104"/>
      <c r="N2242" s="104"/>
      <c r="O2242" s="104"/>
      <c r="P2242" s="104"/>
      <c r="Q2242" s="104"/>
      <c r="R2242" s="104"/>
      <c r="S2242" s="104"/>
    </row>
    <row r="2243" spans="4:19">
      <c r="D2243" s="104"/>
      <c r="E2243" s="104"/>
      <c r="F2243" s="104"/>
      <c r="G2243" s="104"/>
      <c r="H2243" s="104"/>
      <c r="I2243" s="104"/>
      <c r="J2243" s="104"/>
      <c r="K2243" s="104"/>
      <c r="L2243" s="104"/>
      <c r="M2243" s="104"/>
      <c r="N2243" s="104"/>
      <c r="O2243" s="104"/>
      <c r="P2243" s="104"/>
      <c r="Q2243" s="104"/>
      <c r="R2243" s="104"/>
      <c r="S2243" s="104"/>
    </row>
    <row r="2244" spans="4:19">
      <c r="D2244" s="104"/>
      <c r="E2244" s="104"/>
      <c r="F2244" s="104"/>
      <c r="G2244" s="104"/>
      <c r="H2244" s="104"/>
      <c r="I2244" s="104"/>
      <c r="J2244" s="104"/>
      <c r="K2244" s="104"/>
      <c r="L2244" s="104"/>
      <c r="M2244" s="104"/>
      <c r="N2244" s="104"/>
      <c r="O2244" s="104"/>
      <c r="P2244" s="104"/>
      <c r="Q2244" s="104"/>
      <c r="R2244" s="104"/>
      <c r="S2244" s="104"/>
    </row>
    <row r="2245" spans="4:19">
      <c r="D2245" s="104"/>
      <c r="E2245" s="104"/>
      <c r="F2245" s="104"/>
      <c r="G2245" s="104"/>
      <c r="H2245" s="104"/>
      <c r="I2245" s="104"/>
      <c r="J2245" s="104"/>
      <c r="K2245" s="104"/>
      <c r="L2245" s="104"/>
      <c r="M2245" s="104"/>
      <c r="N2245" s="104"/>
      <c r="O2245" s="104"/>
      <c r="P2245" s="104"/>
      <c r="Q2245" s="104"/>
      <c r="R2245" s="104"/>
      <c r="S2245" s="104"/>
    </row>
    <row r="2246" spans="4:19">
      <c r="D2246" s="104"/>
      <c r="E2246" s="104"/>
      <c r="F2246" s="104"/>
      <c r="G2246" s="104"/>
      <c r="H2246" s="104"/>
      <c r="I2246" s="104"/>
      <c r="J2246" s="104"/>
      <c r="K2246" s="104"/>
      <c r="L2246" s="104"/>
      <c r="M2246" s="104"/>
      <c r="N2246" s="104"/>
      <c r="O2246" s="104"/>
      <c r="P2246" s="104"/>
      <c r="Q2246" s="104"/>
      <c r="R2246" s="104"/>
      <c r="S2246" s="104"/>
    </row>
    <row r="2247" spans="4:19">
      <c r="D2247" s="104"/>
      <c r="E2247" s="104"/>
      <c r="F2247" s="104"/>
      <c r="G2247" s="104"/>
      <c r="H2247" s="104"/>
      <c r="I2247" s="104"/>
      <c r="J2247" s="104"/>
      <c r="K2247" s="104"/>
      <c r="L2247" s="104"/>
      <c r="M2247" s="104"/>
      <c r="N2247" s="104"/>
      <c r="O2247" s="104"/>
      <c r="P2247" s="104"/>
      <c r="Q2247" s="104"/>
      <c r="R2247" s="104"/>
      <c r="S2247" s="104"/>
    </row>
    <row r="2248" spans="4:19">
      <c r="D2248" s="104"/>
      <c r="E2248" s="104"/>
      <c r="F2248" s="104"/>
      <c r="G2248" s="104"/>
      <c r="H2248" s="104"/>
      <c r="I2248" s="104"/>
      <c r="J2248" s="104"/>
      <c r="K2248" s="104"/>
      <c r="L2248" s="104"/>
      <c r="M2248" s="104"/>
      <c r="N2248" s="104"/>
      <c r="O2248" s="104"/>
      <c r="P2248" s="104"/>
      <c r="Q2248" s="104"/>
      <c r="R2248" s="104"/>
      <c r="S2248" s="104"/>
    </row>
    <row r="2249" spans="4:19">
      <c r="D2249" s="104"/>
      <c r="E2249" s="104"/>
      <c r="F2249" s="104"/>
      <c r="G2249" s="104"/>
      <c r="H2249" s="104"/>
      <c r="I2249" s="104"/>
      <c r="J2249" s="104"/>
      <c r="K2249" s="104"/>
      <c r="L2249" s="104"/>
      <c r="M2249" s="104"/>
      <c r="N2249" s="104"/>
      <c r="O2249" s="104"/>
      <c r="P2249" s="104"/>
      <c r="Q2249" s="104"/>
      <c r="R2249" s="104"/>
      <c r="S2249" s="104"/>
    </row>
    <row r="2250" spans="4:19">
      <c r="D2250" s="104"/>
      <c r="E2250" s="104"/>
      <c r="F2250" s="104"/>
      <c r="G2250" s="104"/>
      <c r="H2250" s="104"/>
      <c r="I2250" s="104"/>
      <c r="J2250" s="104"/>
      <c r="K2250" s="104"/>
      <c r="L2250" s="104"/>
      <c r="M2250" s="104"/>
      <c r="N2250" s="104"/>
      <c r="O2250" s="104"/>
      <c r="P2250" s="104"/>
      <c r="Q2250" s="104"/>
      <c r="R2250" s="104"/>
      <c r="S2250" s="104"/>
    </row>
    <row r="2251" spans="4:19">
      <c r="D2251" s="104"/>
      <c r="E2251" s="104"/>
      <c r="F2251" s="104"/>
      <c r="G2251" s="104"/>
      <c r="H2251" s="104"/>
      <c r="I2251" s="104"/>
      <c r="J2251" s="104"/>
      <c r="K2251" s="104"/>
      <c r="L2251" s="104"/>
      <c r="M2251" s="104"/>
      <c r="N2251" s="104"/>
      <c r="O2251" s="104"/>
      <c r="P2251" s="104"/>
      <c r="Q2251" s="104"/>
      <c r="R2251" s="104"/>
      <c r="S2251" s="104"/>
    </row>
    <row r="2252" spans="4:19">
      <c r="D2252" s="104"/>
      <c r="E2252" s="104"/>
      <c r="F2252" s="104"/>
      <c r="G2252" s="104"/>
      <c r="H2252" s="104"/>
      <c r="I2252" s="104"/>
      <c r="J2252" s="104"/>
      <c r="K2252" s="104"/>
      <c r="L2252" s="104"/>
      <c r="M2252" s="104"/>
      <c r="N2252" s="104"/>
      <c r="O2252" s="104"/>
      <c r="P2252" s="104"/>
      <c r="Q2252" s="104"/>
      <c r="R2252" s="104"/>
      <c r="S2252" s="104"/>
    </row>
    <row r="2253" spans="4:19">
      <c r="D2253" s="104"/>
      <c r="E2253" s="104"/>
      <c r="F2253" s="104"/>
      <c r="G2253" s="104"/>
      <c r="H2253" s="104"/>
      <c r="I2253" s="104"/>
      <c r="J2253" s="104"/>
      <c r="K2253" s="104"/>
      <c r="L2253" s="104"/>
      <c r="M2253" s="104"/>
      <c r="N2253" s="104"/>
      <c r="O2253" s="104"/>
      <c r="P2253" s="104"/>
      <c r="Q2253" s="104"/>
      <c r="R2253" s="104"/>
      <c r="S2253" s="104"/>
    </row>
    <row r="2254" spans="4:19">
      <c r="D2254" s="104"/>
      <c r="E2254" s="104"/>
      <c r="F2254" s="104"/>
      <c r="G2254" s="104"/>
      <c r="H2254" s="104"/>
      <c r="I2254" s="104"/>
      <c r="J2254" s="104"/>
      <c r="K2254" s="104"/>
      <c r="L2254" s="104"/>
      <c r="M2254" s="104"/>
      <c r="N2254" s="104"/>
      <c r="O2254" s="104"/>
      <c r="P2254" s="104"/>
      <c r="Q2254" s="104"/>
      <c r="R2254" s="104"/>
      <c r="S2254" s="104"/>
    </row>
    <row r="2255" spans="4:19">
      <c r="D2255" s="104"/>
      <c r="E2255" s="104"/>
      <c r="F2255" s="104"/>
      <c r="G2255" s="104"/>
      <c r="H2255" s="104"/>
      <c r="I2255" s="104"/>
      <c r="J2255" s="104"/>
      <c r="K2255" s="104"/>
      <c r="L2255" s="104"/>
      <c r="M2255" s="104"/>
      <c r="N2255" s="104"/>
      <c r="O2255" s="104"/>
      <c r="P2255" s="104"/>
      <c r="Q2255" s="104"/>
      <c r="R2255" s="104"/>
      <c r="S2255" s="104"/>
    </row>
    <row r="2256" spans="4:19">
      <c r="D2256" s="104"/>
      <c r="E2256" s="104"/>
      <c r="F2256" s="104"/>
      <c r="G2256" s="104"/>
      <c r="H2256" s="104"/>
      <c r="I2256" s="104"/>
      <c r="J2256" s="104"/>
      <c r="K2256" s="104"/>
      <c r="L2256" s="104"/>
      <c r="M2256" s="104"/>
      <c r="N2256" s="104"/>
      <c r="O2256" s="104"/>
      <c r="P2256" s="104"/>
      <c r="Q2256" s="104"/>
      <c r="R2256" s="104"/>
      <c r="S2256" s="104"/>
    </row>
    <row r="2257" spans="4:19">
      <c r="D2257" s="104"/>
      <c r="E2257" s="104"/>
      <c r="F2257" s="104"/>
      <c r="G2257" s="104"/>
      <c r="H2257" s="104"/>
      <c r="I2257" s="104"/>
      <c r="J2257" s="104"/>
      <c r="K2257" s="104"/>
      <c r="L2257" s="104"/>
      <c r="M2257" s="104"/>
      <c r="N2257" s="104"/>
      <c r="O2257" s="104"/>
      <c r="P2257" s="104"/>
      <c r="Q2257" s="104"/>
      <c r="R2257" s="104"/>
      <c r="S2257" s="104"/>
    </row>
    <row r="2258" spans="4:19">
      <c r="D2258" s="104"/>
      <c r="E2258" s="104"/>
      <c r="F2258" s="104"/>
      <c r="G2258" s="104"/>
      <c r="H2258" s="104"/>
      <c r="I2258" s="104"/>
      <c r="J2258" s="104"/>
      <c r="K2258" s="104"/>
      <c r="L2258" s="104"/>
      <c r="M2258" s="104"/>
      <c r="N2258" s="104"/>
      <c r="O2258" s="104"/>
      <c r="P2258" s="104"/>
      <c r="Q2258" s="104"/>
      <c r="R2258" s="104"/>
      <c r="S2258" s="104"/>
    </row>
    <row r="2259" spans="4:19">
      <c r="D2259" s="104"/>
      <c r="E2259" s="104"/>
      <c r="F2259" s="104"/>
      <c r="G2259" s="104"/>
      <c r="H2259" s="104"/>
      <c r="I2259" s="104"/>
      <c r="J2259" s="104"/>
      <c r="K2259" s="104"/>
      <c r="L2259" s="104"/>
      <c r="M2259" s="104"/>
      <c r="N2259" s="104"/>
      <c r="O2259" s="104"/>
      <c r="P2259" s="104"/>
      <c r="Q2259" s="104"/>
      <c r="R2259" s="104"/>
      <c r="S2259" s="104"/>
    </row>
    <row r="2260" spans="4:19">
      <c r="D2260" s="104"/>
      <c r="E2260" s="104"/>
      <c r="F2260" s="104"/>
      <c r="G2260" s="104"/>
      <c r="H2260" s="104"/>
      <c r="I2260" s="104"/>
      <c r="J2260" s="104"/>
      <c r="K2260" s="104"/>
      <c r="L2260" s="104"/>
      <c r="M2260" s="104"/>
      <c r="N2260" s="104"/>
      <c r="O2260" s="104"/>
      <c r="P2260" s="104"/>
      <c r="Q2260" s="104"/>
      <c r="R2260" s="104"/>
      <c r="S2260" s="104"/>
    </row>
    <row r="2261" spans="4:19">
      <c r="D2261" s="104"/>
      <c r="E2261" s="104"/>
      <c r="F2261" s="104"/>
      <c r="G2261" s="104"/>
      <c r="H2261" s="104"/>
      <c r="I2261" s="104"/>
      <c r="J2261" s="104"/>
      <c r="K2261" s="104"/>
      <c r="L2261" s="104"/>
      <c r="M2261" s="104"/>
      <c r="N2261" s="104"/>
      <c r="O2261" s="104"/>
      <c r="P2261" s="104"/>
      <c r="Q2261" s="104"/>
      <c r="R2261" s="104"/>
      <c r="S2261" s="104"/>
    </row>
    <row r="2262" spans="4:19">
      <c r="D2262" s="104"/>
      <c r="E2262" s="104"/>
      <c r="F2262" s="104"/>
      <c r="G2262" s="104"/>
      <c r="H2262" s="104"/>
      <c r="I2262" s="104"/>
      <c r="J2262" s="104"/>
      <c r="K2262" s="104"/>
      <c r="L2262" s="104"/>
      <c r="M2262" s="104"/>
      <c r="N2262" s="104"/>
      <c r="O2262" s="104"/>
      <c r="P2262" s="104"/>
      <c r="Q2262" s="104"/>
      <c r="R2262" s="104"/>
      <c r="S2262" s="104"/>
    </row>
    <row r="2263" spans="4:19">
      <c r="D2263" s="104"/>
      <c r="E2263" s="104"/>
      <c r="F2263" s="104"/>
      <c r="G2263" s="104"/>
      <c r="H2263" s="104"/>
      <c r="I2263" s="104"/>
      <c r="J2263" s="104"/>
      <c r="K2263" s="104"/>
      <c r="L2263" s="104"/>
      <c r="M2263" s="104"/>
      <c r="N2263" s="104"/>
      <c r="O2263" s="104"/>
      <c r="P2263" s="104"/>
      <c r="Q2263" s="104"/>
      <c r="R2263" s="104"/>
      <c r="S2263" s="104"/>
    </row>
    <row r="2264" spans="4:19">
      <c r="D2264" s="104"/>
      <c r="E2264" s="104"/>
      <c r="F2264" s="104"/>
      <c r="G2264" s="104"/>
      <c r="H2264" s="104"/>
      <c r="I2264" s="104"/>
      <c r="J2264" s="104"/>
      <c r="K2264" s="104"/>
      <c r="L2264" s="104"/>
      <c r="M2264" s="104"/>
      <c r="N2264" s="104"/>
      <c r="O2264" s="104"/>
      <c r="P2264" s="104"/>
      <c r="Q2264" s="104"/>
      <c r="R2264" s="104"/>
      <c r="S2264" s="104"/>
    </row>
    <row r="2265" spans="4:19">
      <c r="D2265" s="104"/>
      <c r="E2265" s="104"/>
      <c r="F2265" s="104"/>
      <c r="G2265" s="104"/>
      <c r="H2265" s="104"/>
      <c r="I2265" s="104"/>
      <c r="J2265" s="104"/>
      <c r="K2265" s="104"/>
      <c r="L2265" s="104"/>
      <c r="M2265" s="104"/>
      <c r="N2265" s="104"/>
      <c r="O2265" s="104"/>
      <c r="P2265" s="104"/>
      <c r="Q2265" s="104"/>
      <c r="R2265" s="104"/>
      <c r="S2265" s="104"/>
    </row>
    <row r="2266" spans="4:19">
      <c r="D2266" s="104"/>
      <c r="E2266" s="104"/>
      <c r="F2266" s="104"/>
      <c r="G2266" s="104"/>
      <c r="H2266" s="104"/>
      <c r="I2266" s="104"/>
      <c r="J2266" s="104"/>
      <c r="K2266" s="104"/>
      <c r="L2266" s="104"/>
      <c r="M2266" s="104"/>
      <c r="N2266" s="104"/>
      <c r="O2266" s="104"/>
      <c r="P2266" s="104"/>
      <c r="Q2266" s="104"/>
      <c r="R2266" s="104"/>
      <c r="S2266" s="104"/>
    </row>
    <row r="2267" spans="4:19">
      <c r="D2267" s="104"/>
      <c r="E2267" s="104"/>
      <c r="F2267" s="104"/>
      <c r="G2267" s="104"/>
      <c r="H2267" s="104"/>
      <c r="I2267" s="104"/>
      <c r="J2267" s="104"/>
      <c r="K2267" s="104"/>
      <c r="L2267" s="104"/>
      <c r="M2267" s="104"/>
      <c r="N2267" s="104"/>
      <c r="O2267" s="104"/>
      <c r="P2267" s="104"/>
      <c r="Q2267" s="104"/>
      <c r="R2267" s="104"/>
      <c r="S2267" s="104"/>
    </row>
    <row r="2268" spans="4:19">
      <c r="D2268" s="104"/>
      <c r="E2268" s="104"/>
      <c r="F2268" s="104"/>
      <c r="G2268" s="104"/>
      <c r="H2268" s="104"/>
      <c r="I2268" s="104"/>
      <c r="J2268" s="104"/>
      <c r="K2268" s="104"/>
      <c r="L2268" s="104"/>
      <c r="M2268" s="104"/>
      <c r="N2268" s="104"/>
      <c r="O2268" s="104"/>
      <c r="P2268" s="104"/>
      <c r="Q2268" s="104"/>
      <c r="R2268" s="104"/>
      <c r="S2268" s="104"/>
    </row>
    <row r="2269" spans="4:19">
      <c r="D2269" s="104"/>
      <c r="E2269" s="104"/>
      <c r="F2269" s="104"/>
      <c r="G2269" s="104"/>
      <c r="H2269" s="104"/>
      <c r="I2269" s="104"/>
      <c r="J2269" s="104"/>
      <c r="K2269" s="104"/>
      <c r="L2269" s="104"/>
      <c r="M2269" s="104"/>
      <c r="N2269" s="104"/>
      <c r="O2269" s="104"/>
      <c r="P2269" s="104"/>
      <c r="Q2269" s="104"/>
      <c r="R2269" s="104"/>
      <c r="S2269" s="104"/>
    </row>
    <row r="2270" spans="4:19">
      <c r="D2270" s="104"/>
      <c r="E2270" s="104"/>
      <c r="F2270" s="104"/>
      <c r="G2270" s="104"/>
      <c r="H2270" s="104"/>
      <c r="I2270" s="104"/>
      <c r="J2270" s="104"/>
      <c r="K2270" s="104"/>
      <c r="L2270" s="104"/>
      <c r="M2270" s="104"/>
      <c r="N2270" s="104"/>
      <c r="O2270" s="104"/>
      <c r="P2270" s="104"/>
      <c r="Q2270" s="104"/>
      <c r="R2270" s="104"/>
      <c r="S2270" s="104"/>
    </row>
    <row r="2271" spans="4:19">
      <c r="D2271" s="104"/>
      <c r="E2271" s="104"/>
      <c r="F2271" s="104"/>
      <c r="G2271" s="104"/>
      <c r="H2271" s="104"/>
      <c r="I2271" s="104"/>
      <c r="J2271" s="104"/>
      <c r="K2271" s="104"/>
      <c r="L2271" s="104"/>
      <c r="M2271" s="104"/>
      <c r="N2271" s="104"/>
      <c r="O2271" s="104"/>
      <c r="P2271" s="104"/>
      <c r="Q2271" s="104"/>
      <c r="R2271" s="104"/>
      <c r="S2271" s="104"/>
    </row>
    <row r="2272" spans="4:19">
      <c r="D2272" s="104"/>
      <c r="E2272" s="104"/>
      <c r="F2272" s="104"/>
      <c r="G2272" s="104"/>
      <c r="H2272" s="104"/>
      <c r="I2272" s="104"/>
      <c r="J2272" s="104"/>
      <c r="K2272" s="104"/>
      <c r="L2272" s="104"/>
      <c r="M2272" s="104"/>
      <c r="N2272" s="104"/>
      <c r="O2272" s="104"/>
      <c r="P2272" s="104"/>
      <c r="Q2272" s="104"/>
      <c r="R2272" s="104"/>
      <c r="S2272" s="104"/>
    </row>
    <row r="2273" spans="4:19">
      <c r="D2273" s="104"/>
      <c r="E2273" s="104"/>
      <c r="F2273" s="104"/>
      <c r="G2273" s="104"/>
      <c r="H2273" s="104"/>
      <c r="I2273" s="104"/>
      <c r="J2273" s="104"/>
      <c r="K2273" s="104"/>
      <c r="L2273" s="104"/>
      <c r="M2273" s="104"/>
      <c r="N2273" s="104"/>
      <c r="O2273" s="104"/>
      <c r="P2273" s="104"/>
      <c r="Q2273" s="104"/>
      <c r="R2273" s="104"/>
      <c r="S2273" s="104"/>
    </row>
    <row r="2274" spans="4:19">
      <c r="D2274" s="104"/>
      <c r="E2274" s="104"/>
      <c r="F2274" s="104"/>
      <c r="G2274" s="104"/>
      <c r="H2274" s="104"/>
      <c r="I2274" s="104"/>
      <c r="J2274" s="104"/>
      <c r="K2274" s="104"/>
      <c r="L2274" s="104"/>
      <c r="M2274" s="104"/>
      <c r="N2274" s="104"/>
      <c r="O2274" s="104"/>
      <c r="P2274" s="104"/>
      <c r="Q2274" s="104"/>
      <c r="R2274" s="104"/>
      <c r="S2274" s="104"/>
    </row>
    <row r="2275" spans="4:19">
      <c r="D2275" s="104"/>
      <c r="E2275" s="104"/>
      <c r="F2275" s="104"/>
      <c r="G2275" s="104"/>
      <c r="H2275" s="104"/>
      <c r="I2275" s="104"/>
      <c r="J2275" s="104"/>
      <c r="K2275" s="104"/>
      <c r="L2275" s="104"/>
      <c r="M2275" s="104"/>
      <c r="N2275" s="104"/>
      <c r="O2275" s="104"/>
      <c r="P2275" s="104"/>
      <c r="Q2275" s="104"/>
      <c r="R2275" s="104"/>
      <c r="S2275" s="104"/>
    </row>
    <row r="2276" spans="4:19">
      <c r="D2276" s="104"/>
      <c r="E2276" s="104"/>
      <c r="F2276" s="104"/>
      <c r="G2276" s="104"/>
      <c r="H2276" s="104"/>
      <c r="I2276" s="104"/>
      <c r="J2276" s="104"/>
      <c r="K2276" s="104"/>
      <c r="L2276" s="104"/>
      <c r="M2276" s="104"/>
      <c r="N2276" s="104"/>
      <c r="O2276" s="104"/>
      <c r="P2276" s="104"/>
      <c r="Q2276" s="104"/>
      <c r="R2276" s="104"/>
      <c r="S2276" s="104"/>
    </row>
    <row r="2277" spans="4:19">
      <c r="D2277" s="104"/>
      <c r="E2277" s="104"/>
      <c r="F2277" s="104"/>
      <c r="G2277" s="104"/>
      <c r="H2277" s="104"/>
      <c r="I2277" s="104"/>
      <c r="J2277" s="104"/>
      <c r="K2277" s="104"/>
      <c r="L2277" s="104"/>
      <c r="M2277" s="104"/>
      <c r="N2277" s="104"/>
      <c r="O2277" s="104"/>
      <c r="P2277" s="104"/>
      <c r="Q2277" s="104"/>
      <c r="R2277" s="104"/>
      <c r="S2277" s="104"/>
    </row>
    <row r="2278" spans="4:19">
      <c r="D2278" s="104"/>
      <c r="E2278" s="104"/>
      <c r="F2278" s="104"/>
      <c r="G2278" s="104"/>
      <c r="H2278" s="104"/>
      <c r="I2278" s="104"/>
      <c r="J2278" s="104"/>
      <c r="K2278" s="104"/>
      <c r="L2278" s="104"/>
      <c r="M2278" s="104"/>
      <c r="N2278" s="104"/>
      <c r="O2278" s="104"/>
      <c r="P2278" s="104"/>
      <c r="Q2278" s="104"/>
      <c r="R2278" s="104"/>
      <c r="S2278" s="104"/>
    </row>
    <row r="2279" spans="4:19">
      <c r="D2279" s="104"/>
      <c r="E2279" s="104"/>
      <c r="F2279" s="104"/>
      <c r="G2279" s="104"/>
      <c r="H2279" s="104"/>
      <c r="I2279" s="104"/>
      <c r="J2279" s="104"/>
      <c r="K2279" s="104"/>
      <c r="L2279" s="104"/>
      <c r="M2279" s="104"/>
      <c r="N2279" s="104"/>
      <c r="O2279" s="104"/>
      <c r="P2279" s="104"/>
      <c r="Q2279" s="104"/>
      <c r="R2279" s="104"/>
      <c r="S2279" s="104"/>
    </row>
    <row r="2280" spans="4:19">
      <c r="D2280" s="104"/>
      <c r="E2280" s="104"/>
      <c r="F2280" s="104"/>
      <c r="G2280" s="104"/>
      <c r="H2280" s="104"/>
      <c r="I2280" s="104"/>
      <c r="J2280" s="104"/>
      <c r="K2280" s="104"/>
      <c r="L2280" s="104"/>
      <c r="M2280" s="104"/>
      <c r="N2280" s="104"/>
      <c r="O2280" s="104"/>
      <c r="P2280" s="104"/>
      <c r="Q2280" s="104"/>
      <c r="R2280" s="104"/>
      <c r="S2280" s="104"/>
    </row>
    <row r="2281" spans="4:19">
      <c r="D2281" s="104"/>
      <c r="E2281" s="104"/>
      <c r="F2281" s="104"/>
      <c r="G2281" s="104"/>
      <c r="H2281" s="104"/>
      <c r="I2281" s="104"/>
      <c r="J2281" s="104"/>
      <c r="K2281" s="104"/>
      <c r="L2281" s="104"/>
      <c r="M2281" s="104"/>
      <c r="N2281" s="104"/>
      <c r="O2281" s="104"/>
      <c r="P2281" s="104"/>
      <c r="Q2281" s="104"/>
      <c r="R2281" s="104"/>
      <c r="S2281" s="104"/>
    </row>
    <row r="2282" spans="4:19">
      <c r="D2282" s="104"/>
      <c r="E2282" s="104"/>
      <c r="F2282" s="104"/>
      <c r="G2282" s="104"/>
      <c r="H2282" s="104"/>
      <c r="I2282" s="104"/>
      <c r="J2282" s="104"/>
      <c r="K2282" s="104"/>
      <c r="L2282" s="104"/>
      <c r="M2282" s="104"/>
      <c r="N2282" s="104"/>
      <c r="O2282" s="104"/>
      <c r="P2282" s="104"/>
      <c r="Q2282" s="104"/>
      <c r="R2282" s="104"/>
      <c r="S2282" s="104"/>
    </row>
    <row r="2283" spans="4:19">
      <c r="D2283" s="104"/>
      <c r="E2283" s="104"/>
      <c r="F2283" s="104"/>
      <c r="G2283" s="104"/>
      <c r="H2283" s="104"/>
      <c r="I2283" s="104"/>
      <c r="J2283" s="104"/>
      <c r="K2283" s="104"/>
      <c r="L2283" s="104"/>
      <c r="M2283" s="104"/>
      <c r="N2283" s="104"/>
      <c r="O2283" s="104"/>
      <c r="P2283" s="104"/>
      <c r="Q2283" s="104"/>
      <c r="R2283" s="104"/>
      <c r="S2283" s="104"/>
    </row>
    <row r="2284" spans="4:19">
      <c r="D2284" s="104"/>
      <c r="E2284" s="104"/>
      <c r="F2284" s="104"/>
      <c r="G2284" s="104"/>
      <c r="H2284" s="104"/>
      <c r="I2284" s="104"/>
      <c r="J2284" s="104"/>
      <c r="K2284" s="104"/>
      <c r="L2284" s="104"/>
      <c r="M2284" s="104"/>
      <c r="N2284" s="104"/>
      <c r="O2284" s="104"/>
      <c r="P2284" s="104"/>
      <c r="Q2284" s="104"/>
      <c r="R2284" s="104"/>
      <c r="S2284" s="104"/>
    </row>
    <row r="2285" spans="4:19">
      <c r="D2285" s="104"/>
      <c r="E2285" s="104"/>
      <c r="F2285" s="104"/>
      <c r="G2285" s="104"/>
      <c r="H2285" s="104"/>
      <c r="I2285" s="104"/>
      <c r="J2285" s="104"/>
      <c r="K2285" s="104"/>
      <c r="L2285" s="104"/>
      <c r="M2285" s="104"/>
      <c r="N2285" s="104"/>
      <c r="O2285" s="104"/>
      <c r="P2285" s="104"/>
      <c r="Q2285" s="104"/>
      <c r="R2285" s="104"/>
      <c r="S2285" s="104"/>
    </row>
    <row r="2286" spans="4:19">
      <c r="D2286" s="104"/>
      <c r="E2286" s="104"/>
      <c r="F2286" s="104"/>
      <c r="G2286" s="104"/>
      <c r="H2286" s="104"/>
      <c r="I2286" s="104"/>
      <c r="J2286" s="104"/>
      <c r="K2286" s="104"/>
      <c r="L2286" s="104"/>
      <c r="M2286" s="104"/>
      <c r="N2286" s="104"/>
      <c r="O2286" s="104"/>
      <c r="P2286" s="104"/>
      <c r="Q2286" s="104"/>
      <c r="R2286" s="104"/>
      <c r="S2286" s="104"/>
    </row>
    <row r="2287" spans="4:19">
      <c r="D2287" s="104"/>
      <c r="E2287" s="104"/>
      <c r="F2287" s="104"/>
      <c r="G2287" s="104"/>
      <c r="H2287" s="104"/>
      <c r="I2287" s="104"/>
      <c r="J2287" s="104"/>
      <c r="K2287" s="104"/>
      <c r="L2287" s="104"/>
      <c r="M2287" s="104"/>
      <c r="N2287" s="104"/>
      <c r="O2287" s="104"/>
      <c r="P2287" s="104"/>
      <c r="Q2287" s="104"/>
      <c r="R2287" s="104"/>
      <c r="S2287" s="104"/>
    </row>
    <row r="2288" spans="4:19">
      <c r="D2288" s="104"/>
      <c r="E2288" s="104"/>
      <c r="F2288" s="104"/>
      <c r="G2288" s="104"/>
      <c r="H2288" s="104"/>
      <c r="I2288" s="104"/>
      <c r="J2288" s="104"/>
      <c r="K2288" s="104"/>
      <c r="L2288" s="104"/>
      <c r="M2288" s="104"/>
      <c r="N2288" s="104"/>
      <c r="O2288" s="104"/>
      <c r="P2288" s="104"/>
      <c r="Q2288" s="104"/>
      <c r="R2288" s="104"/>
      <c r="S2288" s="104"/>
    </row>
    <row r="2289" spans="4:19">
      <c r="D2289" s="104"/>
      <c r="E2289" s="104"/>
      <c r="F2289" s="104"/>
      <c r="G2289" s="104"/>
      <c r="H2289" s="104"/>
      <c r="I2289" s="104"/>
      <c r="J2289" s="104"/>
      <c r="K2289" s="104"/>
      <c r="L2289" s="104"/>
      <c r="M2289" s="104"/>
      <c r="N2289" s="104"/>
      <c r="O2289" s="104"/>
      <c r="P2289" s="104"/>
      <c r="Q2289" s="104"/>
      <c r="R2289" s="104"/>
      <c r="S2289" s="104"/>
    </row>
    <row r="2290" spans="4:19">
      <c r="D2290" s="104"/>
      <c r="E2290" s="104"/>
      <c r="F2290" s="104"/>
      <c r="G2290" s="104"/>
      <c r="H2290" s="104"/>
      <c r="I2290" s="104"/>
      <c r="J2290" s="104"/>
      <c r="K2290" s="104"/>
      <c r="L2290" s="104"/>
      <c r="M2290" s="104"/>
      <c r="N2290" s="104"/>
      <c r="O2290" s="104"/>
      <c r="P2290" s="104"/>
      <c r="Q2290" s="104"/>
      <c r="R2290" s="104"/>
      <c r="S2290" s="104"/>
    </row>
    <row r="2291" spans="4:19">
      <c r="D2291" s="104"/>
      <c r="E2291" s="104"/>
      <c r="F2291" s="104"/>
      <c r="G2291" s="104"/>
      <c r="H2291" s="104"/>
      <c r="I2291" s="104"/>
      <c r="J2291" s="104"/>
      <c r="K2291" s="104"/>
      <c r="L2291" s="104"/>
      <c r="M2291" s="104"/>
      <c r="N2291" s="104"/>
      <c r="O2291" s="104"/>
      <c r="P2291" s="104"/>
      <c r="Q2291" s="104"/>
      <c r="R2291" s="104"/>
      <c r="S2291" s="104"/>
    </row>
    <row r="2292" spans="4:19">
      <c r="D2292" s="104"/>
      <c r="E2292" s="104"/>
      <c r="F2292" s="104"/>
      <c r="G2292" s="104"/>
      <c r="H2292" s="104"/>
      <c r="I2292" s="104"/>
      <c r="J2292" s="104"/>
      <c r="K2292" s="104"/>
      <c r="L2292" s="104"/>
      <c r="M2292" s="104"/>
      <c r="N2292" s="104"/>
      <c r="O2292" s="104"/>
      <c r="P2292" s="104"/>
      <c r="Q2292" s="104"/>
      <c r="R2292" s="104"/>
      <c r="S2292" s="104"/>
    </row>
    <row r="2293" spans="4:19">
      <c r="D2293" s="104"/>
      <c r="E2293" s="104"/>
      <c r="F2293" s="104"/>
      <c r="G2293" s="104"/>
      <c r="H2293" s="104"/>
      <c r="I2293" s="104"/>
      <c r="J2293" s="104"/>
      <c r="K2293" s="104"/>
      <c r="L2293" s="104"/>
      <c r="M2293" s="104"/>
      <c r="N2293" s="104"/>
      <c r="O2293" s="104"/>
      <c r="P2293" s="104"/>
      <c r="Q2293" s="104"/>
      <c r="R2293" s="104"/>
      <c r="S2293" s="104"/>
    </row>
    <row r="2294" spans="4:19">
      <c r="D2294" s="104"/>
      <c r="E2294" s="104"/>
      <c r="F2294" s="104"/>
      <c r="G2294" s="104"/>
      <c r="H2294" s="104"/>
      <c r="I2294" s="104"/>
      <c r="J2294" s="104"/>
      <c r="K2294" s="104"/>
      <c r="L2294" s="104"/>
      <c r="M2294" s="104"/>
      <c r="N2294" s="104"/>
      <c r="O2294" s="104"/>
      <c r="P2294" s="104"/>
      <c r="Q2294" s="104"/>
      <c r="R2294" s="104"/>
      <c r="S2294" s="104"/>
    </row>
    <row r="2295" spans="4:19">
      <c r="D2295" s="104"/>
      <c r="E2295" s="104"/>
      <c r="F2295" s="104"/>
      <c r="G2295" s="104"/>
      <c r="H2295" s="104"/>
      <c r="I2295" s="104"/>
      <c r="J2295" s="104"/>
      <c r="K2295" s="104"/>
      <c r="L2295" s="104"/>
      <c r="M2295" s="104"/>
      <c r="N2295" s="104"/>
      <c r="O2295" s="104"/>
      <c r="P2295" s="104"/>
      <c r="Q2295" s="104"/>
      <c r="R2295" s="104"/>
      <c r="S2295" s="104"/>
    </row>
    <row r="2296" spans="4:19">
      <c r="D2296" s="104"/>
      <c r="E2296" s="104"/>
      <c r="F2296" s="104"/>
      <c r="G2296" s="104"/>
      <c r="H2296" s="104"/>
      <c r="I2296" s="104"/>
      <c r="J2296" s="104"/>
      <c r="K2296" s="104"/>
      <c r="L2296" s="104"/>
      <c r="M2296" s="104"/>
      <c r="N2296" s="104"/>
      <c r="O2296" s="104"/>
      <c r="P2296" s="104"/>
      <c r="Q2296" s="104"/>
      <c r="R2296" s="104"/>
      <c r="S2296" s="104"/>
    </row>
    <row r="2297" spans="4:19">
      <c r="D2297" s="104"/>
      <c r="E2297" s="104"/>
      <c r="F2297" s="104"/>
      <c r="G2297" s="104"/>
      <c r="H2297" s="104"/>
      <c r="I2297" s="104"/>
      <c r="J2297" s="104"/>
      <c r="K2297" s="104"/>
      <c r="L2297" s="104"/>
      <c r="M2297" s="104"/>
      <c r="N2297" s="104"/>
      <c r="O2297" s="104"/>
      <c r="P2297" s="104"/>
      <c r="Q2297" s="104"/>
      <c r="R2297" s="104"/>
      <c r="S2297" s="104"/>
    </row>
    <row r="2298" spans="4:19">
      <c r="D2298" s="104"/>
      <c r="E2298" s="104"/>
      <c r="F2298" s="104"/>
      <c r="G2298" s="104"/>
      <c r="H2298" s="104"/>
      <c r="I2298" s="104"/>
      <c r="J2298" s="104"/>
      <c r="K2298" s="104"/>
      <c r="L2298" s="104"/>
      <c r="M2298" s="104"/>
      <c r="N2298" s="104"/>
      <c r="O2298" s="104"/>
      <c r="P2298" s="104"/>
      <c r="Q2298" s="104"/>
      <c r="R2298" s="104"/>
      <c r="S2298" s="104"/>
    </row>
    <row r="2299" spans="4:19">
      <c r="D2299" s="104"/>
      <c r="E2299" s="104"/>
      <c r="F2299" s="104"/>
      <c r="G2299" s="104"/>
      <c r="H2299" s="104"/>
      <c r="I2299" s="104"/>
      <c r="J2299" s="104"/>
      <c r="K2299" s="104"/>
      <c r="L2299" s="104"/>
      <c r="M2299" s="104"/>
      <c r="N2299" s="104"/>
      <c r="O2299" s="104"/>
      <c r="P2299" s="104"/>
      <c r="Q2299" s="104"/>
      <c r="R2299" s="104"/>
      <c r="S2299" s="104"/>
    </row>
    <row r="2300" spans="4:19">
      <c r="D2300" s="104"/>
      <c r="E2300" s="104"/>
      <c r="F2300" s="104"/>
      <c r="G2300" s="104"/>
      <c r="H2300" s="104"/>
      <c r="I2300" s="104"/>
      <c r="J2300" s="104"/>
      <c r="K2300" s="104"/>
      <c r="L2300" s="104"/>
      <c r="M2300" s="104"/>
      <c r="N2300" s="104"/>
      <c r="O2300" s="104"/>
      <c r="P2300" s="104"/>
      <c r="Q2300" s="104"/>
      <c r="R2300" s="104"/>
      <c r="S2300" s="104"/>
    </row>
    <row r="2301" spans="4:19">
      <c r="D2301" s="104"/>
      <c r="E2301" s="104"/>
      <c r="F2301" s="104"/>
      <c r="G2301" s="104"/>
      <c r="H2301" s="104"/>
      <c r="I2301" s="104"/>
      <c r="J2301" s="104"/>
      <c r="K2301" s="104"/>
      <c r="L2301" s="104"/>
      <c r="M2301" s="104"/>
      <c r="N2301" s="104"/>
      <c r="O2301" s="104"/>
      <c r="P2301" s="104"/>
      <c r="Q2301" s="104"/>
      <c r="R2301" s="104"/>
      <c r="S2301" s="104"/>
    </row>
    <row r="2302" spans="4:19">
      <c r="D2302" s="104"/>
      <c r="E2302" s="104"/>
      <c r="F2302" s="104"/>
      <c r="G2302" s="104"/>
      <c r="H2302" s="104"/>
      <c r="I2302" s="104"/>
      <c r="J2302" s="104"/>
      <c r="K2302" s="104"/>
      <c r="L2302" s="104"/>
      <c r="M2302" s="104"/>
      <c r="N2302" s="104"/>
      <c r="O2302" s="104"/>
      <c r="P2302" s="104"/>
      <c r="Q2302" s="104"/>
      <c r="R2302" s="104"/>
      <c r="S2302" s="104"/>
    </row>
    <row r="2303" spans="4:19">
      <c r="D2303" s="104"/>
      <c r="E2303" s="104"/>
      <c r="F2303" s="104"/>
      <c r="G2303" s="104"/>
      <c r="H2303" s="104"/>
      <c r="I2303" s="104"/>
      <c r="J2303" s="104"/>
      <c r="K2303" s="104"/>
      <c r="L2303" s="104"/>
      <c r="M2303" s="104"/>
      <c r="N2303" s="104"/>
      <c r="O2303" s="104"/>
      <c r="P2303" s="104"/>
      <c r="Q2303" s="104"/>
      <c r="R2303" s="104"/>
      <c r="S2303" s="104"/>
    </row>
    <row r="2304" spans="4:19">
      <c r="D2304" s="104"/>
      <c r="E2304" s="104"/>
      <c r="F2304" s="104"/>
      <c r="G2304" s="104"/>
      <c r="H2304" s="104"/>
      <c r="I2304" s="104"/>
      <c r="J2304" s="104"/>
      <c r="K2304" s="104"/>
      <c r="L2304" s="104"/>
      <c r="M2304" s="104"/>
      <c r="N2304" s="104"/>
      <c r="O2304" s="104"/>
      <c r="P2304" s="104"/>
      <c r="Q2304" s="104"/>
      <c r="R2304" s="104"/>
      <c r="S2304" s="104"/>
    </row>
    <row r="2305" spans="4:19">
      <c r="D2305" s="104"/>
      <c r="E2305" s="104"/>
      <c r="F2305" s="104"/>
      <c r="G2305" s="104"/>
      <c r="H2305" s="104"/>
      <c r="I2305" s="104"/>
      <c r="J2305" s="104"/>
      <c r="K2305" s="104"/>
      <c r="L2305" s="104"/>
      <c r="M2305" s="104"/>
      <c r="N2305" s="104"/>
      <c r="O2305" s="104"/>
      <c r="P2305" s="104"/>
      <c r="Q2305" s="104"/>
      <c r="R2305" s="104"/>
      <c r="S2305" s="104"/>
    </row>
    <row r="2306" spans="4:19">
      <c r="D2306" s="104"/>
      <c r="E2306" s="104"/>
      <c r="F2306" s="104"/>
      <c r="G2306" s="104"/>
      <c r="H2306" s="104"/>
      <c r="I2306" s="104"/>
      <c r="J2306" s="104"/>
      <c r="K2306" s="104"/>
      <c r="L2306" s="104"/>
      <c r="M2306" s="104"/>
      <c r="N2306" s="104"/>
      <c r="O2306" s="104"/>
      <c r="P2306" s="104"/>
      <c r="Q2306" s="104"/>
      <c r="R2306" s="104"/>
      <c r="S2306" s="104"/>
    </row>
    <row r="2307" spans="4:19">
      <c r="D2307" s="104"/>
      <c r="E2307" s="104"/>
      <c r="F2307" s="104"/>
      <c r="G2307" s="104"/>
      <c r="H2307" s="104"/>
      <c r="I2307" s="104"/>
      <c r="J2307" s="104"/>
      <c r="K2307" s="104"/>
      <c r="L2307" s="104"/>
      <c r="M2307" s="104"/>
      <c r="N2307" s="104"/>
      <c r="O2307" s="104"/>
      <c r="P2307" s="104"/>
      <c r="Q2307" s="104"/>
      <c r="R2307" s="104"/>
      <c r="S2307" s="104"/>
    </row>
    <row r="2308" spans="4:19">
      <c r="D2308" s="104"/>
      <c r="E2308" s="104"/>
      <c r="F2308" s="104"/>
      <c r="G2308" s="104"/>
      <c r="H2308" s="104"/>
      <c r="I2308" s="104"/>
      <c r="J2308" s="104"/>
      <c r="K2308" s="104"/>
      <c r="L2308" s="104"/>
      <c r="M2308" s="104"/>
      <c r="N2308" s="104"/>
      <c r="O2308" s="104"/>
      <c r="P2308" s="104"/>
      <c r="Q2308" s="104"/>
      <c r="R2308" s="104"/>
      <c r="S2308" s="104"/>
    </row>
    <row r="2309" spans="4:19">
      <c r="D2309" s="104"/>
      <c r="E2309" s="104"/>
      <c r="F2309" s="104"/>
      <c r="G2309" s="104"/>
      <c r="H2309" s="104"/>
      <c r="I2309" s="104"/>
      <c r="J2309" s="104"/>
      <c r="K2309" s="104"/>
      <c r="L2309" s="104"/>
      <c r="M2309" s="104"/>
      <c r="N2309" s="104"/>
      <c r="O2309" s="104"/>
      <c r="P2309" s="104"/>
      <c r="Q2309" s="104"/>
      <c r="R2309" s="104"/>
      <c r="S2309" s="104"/>
    </row>
    <row r="2310" spans="4:19">
      <c r="D2310" s="104"/>
      <c r="E2310" s="104"/>
      <c r="F2310" s="104"/>
      <c r="G2310" s="104"/>
      <c r="H2310" s="104"/>
      <c r="I2310" s="104"/>
      <c r="J2310" s="104"/>
      <c r="K2310" s="104"/>
      <c r="L2310" s="104"/>
      <c r="M2310" s="104"/>
      <c r="N2310" s="104"/>
      <c r="O2310" s="104"/>
      <c r="P2310" s="104"/>
      <c r="Q2310" s="104"/>
      <c r="R2310" s="104"/>
      <c r="S2310" s="104"/>
    </row>
    <row r="2311" spans="4:19">
      <c r="D2311" s="104"/>
      <c r="E2311" s="104"/>
      <c r="F2311" s="104"/>
      <c r="G2311" s="104"/>
      <c r="H2311" s="104"/>
      <c r="I2311" s="104"/>
      <c r="J2311" s="104"/>
      <c r="K2311" s="104"/>
      <c r="L2311" s="104"/>
      <c r="M2311" s="104"/>
      <c r="N2311" s="104"/>
      <c r="O2311" s="104"/>
      <c r="P2311" s="104"/>
      <c r="Q2311" s="104"/>
      <c r="R2311" s="104"/>
      <c r="S2311" s="104"/>
    </row>
    <row r="2312" spans="4:19">
      <c r="D2312" s="104"/>
      <c r="E2312" s="104"/>
      <c r="F2312" s="104"/>
      <c r="G2312" s="104"/>
      <c r="H2312" s="104"/>
      <c r="I2312" s="104"/>
      <c r="J2312" s="104"/>
      <c r="K2312" s="104"/>
      <c r="L2312" s="104"/>
      <c r="M2312" s="104"/>
      <c r="N2312" s="104"/>
      <c r="O2312" s="104"/>
      <c r="P2312" s="104"/>
      <c r="Q2312" s="104"/>
      <c r="R2312" s="104"/>
      <c r="S2312" s="104"/>
    </row>
    <row r="2313" spans="4:19">
      <c r="D2313" s="104"/>
      <c r="E2313" s="104"/>
      <c r="F2313" s="104"/>
      <c r="G2313" s="104"/>
      <c r="H2313" s="104"/>
      <c r="I2313" s="104"/>
      <c r="J2313" s="104"/>
      <c r="K2313" s="104"/>
      <c r="L2313" s="104"/>
      <c r="M2313" s="104"/>
      <c r="N2313" s="104"/>
      <c r="O2313" s="104"/>
      <c r="P2313" s="104"/>
      <c r="Q2313" s="104"/>
      <c r="R2313" s="104"/>
      <c r="S2313" s="104"/>
    </row>
    <row r="2314" spans="4:19">
      <c r="D2314" s="104"/>
      <c r="E2314" s="104"/>
      <c r="F2314" s="104"/>
      <c r="G2314" s="104"/>
      <c r="H2314" s="104"/>
      <c r="I2314" s="104"/>
      <c r="J2314" s="104"/>
      <c r="K2314" s="104"/>
      <c r="L2314" s="104"/>
      <c r="M2314" s="104"/>
      <c r="N2314" s="104"/>
      <c r="O2314" s="104"/>
      <c r="P2314" s="104"/>
      <c r="Q2314" s="104"/>
      <c r="R2314" s="104"/>
      <c r="S2314" s="104"/>
    </row>
    <row r="2315" spans="4:19">
      <c r="D2315" s="104"/>
      <c r="E2315" s="104"/>
      <c r="F2315" s="104"/>
      <c r="G2315" s="104"/>
      <c r="H2315" s="104"/>
      <c r="I2315" s="104"/>
      <c r="J2315" s="104"/>
      <c r="K2315" s="104"/>
      <c r="L2315" s="104"/>
      <c r="M2315" s="104"/>
      <c r="N2315" s="104"/>
      <c r="O2315" s="104"/>
      <c r="P2315" s="104"/>
      <c r="Q2315" s="104"/>
      <c r="R2315" s="104"/>
      <c r="S2315" s="104"/>
    </row>
    <row r="2316" spans="4:19">
      <c r="D2316" s="104"/>
      <c r="E2316" s="104"/>
      <c r="F2316" s="104"/>
      <c r="G2316" s="104"/>
      <c r="H2316" s="104"/>
      <c r="I2316" s="104"/>
      <c r="J2316" s="104"/>
      <c r="K2316" s="104"/>
      <c r="L2316" s="104"/>
      <c r="M2316" s="104"/>
      <c r="N2316" s="104"/>
      <c r="O2316" s="104"/>
      <c r="P2316" s="104"/>
      <c r="Q2316" s="104"/>
      <c r="R2316" s="104"/>
      <c r="S2316" s="104"/>
    </row>
    <row r="2317" spans="4:19">
      <c r="D2317" s="104"/>
      <c r="E2317" s="104"/>
      <c r="F2317" s="104"/>
      <c r="G2317" s="104"/>
      <c r="H2317" s="104"/>
      <c r="I2317" s="104"/>
      <c r="J2317" s="104"/>
      <c r="K2317" s="104"/>
      <c r="L2317" s="104"/>
      <c r="M2317" s="104"/>
      <c r="N2317" s="104"/>
      <c r="O2317" s="104"/>
      <c r="P2317" s="104"/>
      <c r="Q2317" s="104"/>
      <c r="R2317" s="104"/>
      <c r="S2317" s="104"/>
    </row>
    <row r="2318" spans="4:19">
      <c r="D2318" s="104"/>
      <c r="E2318" s="104"/>
      <c r="F2318" s="104"/>
      <c r="G2318" s="104"/>
      <c r="H2318" s="104"/>
      <c r="I2318" s="104"/>
      <c r="J2318" s="104"/>
      <c r="K2318" s="104"/>
      <c r="L2318" s="104"/>
      <c r="M2318" s="104"/>
      <c r="N2318" s="104"/>
      <c r="O2318" s="104"/>
      <c r="P2318" s="104"/>
      <c r="Q2318" s="104"/>
      <c r="R2318" s="104"/>
      <c r="S2318" s="104"/>
    </row>
    <row r="2319" spans="4:19">
      <c r="D2319" s="104"/>
      <c r="E2319" s="104"/>
      <c r="F2319" s="104"/>
      <c r="G2319" s="104"/>
      <c r="H2319" s="104"/>
      <c r="I2319" s="104"/>
      <c r="J2319" s="104"/>
      <c r="K2319" s="104"/>
      <c r="L2319" s="104"/>
      <c r="M2319" s="104"/>
      <c r="N2319" s="104"/>
      <c r="O2319" s="104"/>
      <c r="P2319" s="104"/>
      <c r="Q2319" s="104"/>
      <c r="R2319" s="104"/>
      <c r="S2319" s="104"/>
    </row>
    <row r="2320" spans="4:19">
      <c r="D2320" s="104"/>
      <c r="E2320" s="104"/>
      <c r="F2320" s="104"/>
      <c r="G2320" s="104"/>
      <c r="H2320" s="104"/>
      <c r="I2320" s="104"/>
      <c r="J2320" s="104"/>
      <c r="K2320" s="104"/>
      <c r="L2320" s="104"/>
      <c r="M2320" s="104"/>
      <c r="N2320" s="104"/>
      <c r="O2320" s="104"/>
      <c r="P2320" s="104"/>
      <c r="Q2320" s="104"/>
      <c r="R2320" s="104"/>
      <c r="S2320" s="104"/>
    </row>
    <row r="2321" spans="4:19">
      <c r="D2321" s="104"/>
      <c r="E2321" s="104"/>
      <c r="F2321" s="104"/>
      <c r="G2321" s="104"/>
      <c r="H2321" s="104"/>
      <c r="I2321" s="104"/>
      <c r="J2321" s="104"/>
      <c r="K2321" s="104"/>
      <c r="L2321" s="104"/>
      <c r="M2321" s="104"/>
      <c r="N2321" s="104"/>
      <c r="O2321" s="104"/>
      <c r="P2321" s="104"/>
      <c r="Q2321" s="104"/>
      <c r="R2321" s="104"/>
      <c r="S2321" s="104"/>
    </row>
    <row r="2322" spans="4:19">
      <c r="D2322" s="104"/>
      <c r="E2322" s="104"/>
      <c r="F2322" s="104"/>
      <c r="G2322" s="104"/>
      <c r="H2322" s="104"/>
      <c r="I2322" s="104"/>
      <c r="J2322" s="104"/>
      <c r="K2322" s="104"/>
      <c r="L2322" s="104"/>
      <c r="M2322" s="104"/>
      <c r="N2322" s="104"/>
      <c r="O2322" s="104"/>
      <c r="P2322" s="104"/>
      <c r="Q2322" s="104"/>
      <c r="R2322" s="104"/>
      <c r="S2322" s="104"/>
    </row>
    <row r="2323" spans="4:19">
      <c r="D2323" s="104"/>
      <c r="E2323" s="104"/>
      <c r="F2323" s="104"/>
      <c r="G2323" s="104"/>
      <c r="H2323" s="104"/>
      <c r="I2323" s="104"/>
      <c r="J2323" s="104"/>
      <c r="K2323" s="104"/>
      <c r="L2323" s="104"/>
      <c r="M2323" s="104"/>
      <c r="N2323" s="104"/>
      <c r="O2323" s="104"/>
      <c r="P2323" s="104"/>
      <c r="Q2323" s="104"/>
      <c r="R2323" s="104"/>
      <c r="S2323" s="104"/>
    </row>
    <row r="2324" spans="4:19">
      <c r="D2324" s="104"/>
      <c r="E2324" s="104"/>
      <c r="F2324" s="104"/>
      <c r="G2324" s="104"/>
      <c r="H2324" s="104"/>
      <c r="I2324" s="104"/>
      <c r="J2324" s="104"/>
      <c r="K2324" s="104"/>
      <c r="L2324" s="104"/>
      <c r="M2324" s="104"/>
      <c r="N2324" s="104"/>
      <c r="O2324" s="104"/>
      <c r="P2324" s="104"/>
      <c r="Q2324" s="104"/>
      <c r="R2324" s="104"/>
      <c r="S2324" s="104"/>
    </row>
    <row r="2325" spans="4:19">
      <c r="D2325" s="104"/>
      <c r="E2325" s="104"/>
      <c r="F2325" s="104"/>
      <c r="G2325" s="104"/>
      <c r="H2325" s="104"/>
      <c r="I2325" s="104"/>
      <c r="J2325" s="104"/>
      <c r="K2325" s="104"/>
      <c r="L2325" s="104"/>
      <c r="M2325" s="104"/>
      <c r="N2325" s="104"/>
      <c r="O2325" s="104"/>
      <c r="P2325" s="104"/>
      <c r="Q2325" s="104"/>
      <c r="R2325" s="104"/>
      <c r="S2325" s="104"/>
    </row>
    <row r="2326" spans="4:19">
      <c r="D2326" s="104"/>
      <c r="E2326" s="104"/>
      <c r="F2326" s="104"/>
      <c r="G2326" s="104"/>
      <c r="H2326" s="104"/>
      <c r="I2326" s="104"/>
      <c r="J2326" s="104"/>
      <c r="K2326" s="104"/>
      <c r="L2326" s="104"/>
      <c r="M2326" s="104"/>
      <c r="N2326" s="104"/>
      <c r="O2326" s="104"/>
      <c r="P2326" s="104"/>
      <c r="Q2326" s="104"/>
      <c r="R2326" s="104"/>
      <c r="S2326" s="104"/>
    </row>
    <row r="2327" spans="4:19">
      <c r="D2327" s="104"/>
      <c r="E2327" s="104"/>
      <c r="F2327" s="104"/>
      <c r="G2327" s="104"/>
      <c r="H2327" s="104"/>
      <c r="I2327" s="104"/>
      <c r="J2327" s="104"/>
      <c r="K2327" s="104"/>
      <c r="L2327" s="104"/>
      <c r="M2327" s="104"/>
      <c r="N2327" s="104"/>
      <c r="O2327" s="104"/>
      <c r="P2327" s="104"/>
      <c r="Q2327" s="104"/>
      <c r="R2327" s="104"/>
      <c r="S2327" s="104"/>
    </row>
    <row r="2328" spans="4:19">
      <c r="D2328" s="104"/>
      <c r="E2328" s="104"/>
      <c r="F2328" s="104"/>
      <c r="G2328" s="104"/>
      <c r="H2328" s="104"/>
      <c r="I2328" s="104"/>
      <c r="J2328" s="104"/>
      <c r="K2328" s="104"/>
      <c r="L2328" s="104"/>
      <c r="M2328" s="104"/>
      <c r="N2328" s="104"/>
      <c r="O2328" s="104"/>
      <c r="P2328" s="104"/>
      <c r="Q2328" s="104"/>
      <c r="R2328" s="104"/>
      <c r="S2328" s="104"/>
    </row>
    <row r="2329" spans="4:19">
      <c r="D2329" s="104"/>
      <c r="E2329" s="104"/>
      <c r="F2329" s="104"/>
      <c r="G2329" s="104"/>
      <c r="H2329" s="104"/>
      <c r="I2329" s="104"/>
      <c r="J2329" s="104"/>
      <c r="K2329" s="104"/>
      <c r="L2329" s="104"/>
      <c r="M2329" s="104"/>
      <c r="N2329" s="104"/>
      <c r="O2329" s="104"/>
      <c r="P2329" s="104"/>
      <c r="Q2329" s="104"/>
      <c r="R2329" s="104"/>
      <c r="S2329" s="104"/>
    </row>
    <row r="2330" spans="4:19">
      <c r="D2330" s="104"/>
      <c r="E2330" s="104"/>
      <c r="F2330" s="104"/>
      <c r="G2330" s="104"/>
      <c r="H2330" s="104"/>
      <c r="I2330" s="104"/>
      <c r="J2330" s="104"/>
      <c r="K2330" s="104"/>
      <c r="L2330" s="104"/>
      <c r="M2330" s="104"/>
      <c r="N2330" s="104"/>
      <c r="O2330" s="104"/>
      <c r="P2330" s="104"/>
      <c r="Q2330" s="104"/>
      <c r="R2330" s="104"/>
      <c r="S2330" s="104"/>
    </row>
    <row r="2331" spans="4:19">
      <c r="D2331" s="104"/>
      <c r="E2331" s="104"/>
      <c r="F2331" s="104"/>
      <c r="G2331" s="104"/>
      <c r="H2331" s="104"/>
      <c r="I2331" s="104"/>
      <c r="J2331" s="104"/>
      <c r="K2331" s="104"/>
      <c r="L2331" s="104"/>
      <c r="M2331" s="104"/>
      <c r="N2331" s="104"/>
      <c r="O2331" s="104"/>
      <c r="P2331" s="104"/>
      <c r="Q2331" s="104"/>
      <c r="R2331" s="104"/>
      <c r="S2331" s="104"/>
    </row>
    <row r="2332" spans="4:19">
      <c r="D2332" s="104"/>
      <c r="E2332" s="104"/>
      <c r="F2332" s="104"/>
      <c r="G2332" s="104"/>
      <c r="H2332" s="104"/>
      <c r="I2332" s="104"/>
      <c r="J2332" s="104"/>
      <c r="K2332" s="104"/>
      <c r="L2332" s="104"/>
      <c r="M2332" s="104"/>
      <c r="N2332" s="104"/>
      <c r="O2332" s="104"/>
      <c r="P2332" s="104"/>
      <c r="Q2332" s="104"/>
      <c r="R2332" s="104"/>
      <c r="S2332" s="104"/>
    </row>
    <row r="2333" spans="4:19">
      <c r="D2333" s="104"/>
      <c r="E2333" s="104"/>
      <c r="F2333" s="104"/>
      <c r="G2333" s="104"/>
      <c r="H2333" s="104"/>
      <c r="I2333" s="104"/>
      <c r="J2333" s="104"/>
      <c r="K2333" s="104"/>
      <c r="L2333" s="104"/>
      <c r="M2333" s="104"/>
      <c r="N2333" s="104"/>
      <c r="O2333" s="104"/>
      <c r="P2333" s="104"/>
      <c r="Q2333" s="104"/>
      <c r="R2333" s="104"/>
      <c r="S2333" s="104"/>
    </row>
    <row r="2334" spans="4:19">
      <c r="D2334" s="104"/>
      <c r="E2334" s="104"/>
      <c r="F2334" s="104"/>
      <c r="G2334" s="104"/>
      <c r="H2334" s="104"/>
      <c r="I2334" s="104"/>
      <c r="J2334" s="104"/>
      <c r="K2334" s="104"/>
      <c r="L2334" s="104"/>
      <c r="M2334" s="104"/>
      <c r="N2334" s="104"/>
      <c r="O2334" s="104"/>
      <c r="P2334" s="104"/>
      <c r="Q2334" s="104"/>
      <c r="R2334" s="104"/>
      <c r="S2334" s="104"/>
    </row>
    <row r="2335" spans="4:19">
      <c r="D2335" s="104"/>
      <c r="E2335" s="104"/>
      <c r="F2335" s="104"/>
      <c r="G2335" s="104"/>
      <c r="H2335" s="104"/>
      <c r="I2335" s="104"/>
      <c r="J2335" s="104"/>
      <c r="K2335" s="104"/>
      <c r="L2335" s="104"/>
      <c r="M2335" s="104"/>
      <c r="N2335" s="104"/>
      <c r="O2335" s="104"/>
      <c r="P2335" s="104"/>
      <c r="Q2335" s="104"/>
      <c r="R2335" s="104"/>
      <c r="S2335" s="104"/>
    </row>
    <row r="2336" spans="4:19">
      <c r="D2336" s="104"/>
      <c r="E2336" s="104"/>
      <c r="F2336" s="104"/>
      <c r="G2336" s="104"/>
      <c r="H2336" s="104"/>
      <c r="I2336" s="104"/>
      <c r="J2336" s="104"/>
      <c r="K2336" s="104"/>
      <c r="L2336" s="104"/>
      <c r="M2336" s="104"/>
      <c r="N2336" s="104"/>
      <c r="O2336" s="104"/>
      <c r="P2336" s="104"/>
      <c r="Q2336" s="104"/>
      <c r="R2336" s="104"/>
      <c r="S2336" s="104"/>
    </row>
    <row r="2337" spans="4:19">
      <c r="D2337" s="104"/>
      <c r="E2337" s="104"/>
      <c r="F2337" s="104"/>
      <c r="G2337" s="104"/>
      <c r="H2337" s="104"/>
      <c r="I2337" s="104"/>
      <c r="J2337" s="104"/>
      <c r="K2337" s="104"/>
      <c r="L2337" s="104"/>
      <c r="M2337" s="104"/>
      <c r="N2337" s="104"/>
      <c r="O2337" s="104"/>
      <c r="P2337" s="104"/>
      <c r="Q2337" s="104"/>
      <c r="R2337" s="104"/>
      <c r="S2337" s="104"/>
    </row>
    <row r="2338" spans="4:19">
      <c r="D2338" s="104"/>
      <c r="E2338" s="104"/>
      <c r="F2338" s="104"/>
      <c r="G2338" s="104"/>
      <c r="H2338" s="104"/>
      <c r="I2338" s="104"/>
      <c r="J2338" s="104"/>
      <c r="K2338" s="104"/>
      <c r="L2338" s="104"/>
      <c r="M2338" s="104"/>
      <c r="N2338" s="104"/>
      <c r="O2338" s="104"/>
      <c r="P2338" s="104"/>
      <c r="Q2338" s="104"/>
      <c r="R2338" s="104"/>
      <c r="S2338" s="104"/>
    </row>
    <row r="2339" spans="4:19">
      <c r="D2339" s="104"/>
      <c r="E2339" s="104"/>
      <c r="F2339" s="104"/>
      <c r="G2339" s="104"/>
      <c r="H2339" s="104"/>
      <c r="I2339" s="104"/>
      <c r="J2339" s="104"/>
      <c r="K2339" s="104"/>
      <c r="L2339" s="104"/>
      <c r="M2339" s="104"/>
      <c r="N2339" s="104"/>
      <c r="O2339" s="104"/>
      <c r="P2339" s="104"/>
      <c r="Q2339" s="104"/>
      <c r="R2339" s="104"/>
      <c r="S2339" s="104"/>
    </row>
    <row r="2340" spans="4:19">
      <c r="D2340" s="104"/>
      <c r="E2340" s="104"/>
      <c r="F2340" s="104"/>
      <c r="G2340" s="104"/>
      <c r="H2340" s="104"/>
      <c r="I2340" s="104"/>
      <c r="J2340" s="104"/>
      <c r="K2340" s="104"/>
      <c r="L2340" s="104"/>
      <c r="M2340" s="104"/>
      <c r="N2340" s="104"/>
      <c r="O2340" s="104"/>
      <c r="P2340" s="104"/>
      <c r="Q2340" s="104"/>
      <c r="R2340" s="104"/>
      <c r="S2340" s="104"/>
    </row>
    <row r="2341" spans="4:19">
      <c r="D2341" s="104"/>
      <c r="E2341" s="104"/>
      <c r="F2341" s="104"/>
      <c r="G2341" s="104"/>
      <c r="H2341" s="104"/>
      <c r="I2341" s="104"/>
      <c r="J2341" s="104"/>
      <c r="K2341" s="104"/>
      <c r="L2341" s="104"/>
      <c r="M2341" s="104"/>
      <c r="N2341" s="104"/>
      <c r="O2341" s="104"/>
      <c r="P2341" s="104"/>
      <c r="Q2341" s="104"/>
      <c r="R2341" s="104"/>
      <c r="S2341" s="104"/>
    </row>
    <row r="2342" spans="4:19">
      <c r="D2342" s="104"/>
      <c r="E2342" s="104"/>
      <c r="F2342" s="104"/>
      <c r="G2342" s="104"/>
      <c r="H2342" s="104"/>
      <c r="I2342" s="104"/>
      <c r="J2342" s="104"/>
      <c r="K2342" s="104"/>
      <c r="L2342" s="104"/>
      <c r="M2342" s="104"/>
      <c r="N2342" s="104"/>
      <c r="O2342" s="104"/>
      <c r="P2342" s="104"/>
      <c r="Q2342" s="104"/>
      <c r="R2342" s="104"/>
      <c r="S2342" s="104"/>
    </row>
    <row r="2343" spans="4:19">
      <c r="D2343" s="104"/>
      <c r="E2343" s="104"/>
      <c r="F2343" s="104"/>
      <c r="G2343" s="104"/>
      <c r="H2343" s="104"/>
      <c r="I2343" s="104"/>
      <c r="J2343" s="104"/>
      <c r="K2343" s="104"/>
      <c r="L2343" s="104"/>
      <c r="M2343" s="104"/>
      <c r="N2343" s="104"/>
      <c r="O2343" s="104"/>
      <c r="P2343" s="104"/>
      <c r="Q2343" s="104"/>
      <c r="R2343" s="104"/>
      <c r="S2343" s="104"/>
    </row>
    <row r="2344" spans="4:19">
      <c r="D2344" s="104"/>
      <c r="E2344" s="104"/>
      <c r="F2344" s="104"/>
      <c r="G2344" s="104"/>
      <c r="H2344" s="104"/>
      <c r="I2344" s="104"/>
      <c r="J2344" s="104"/>
      <c r="K2344" s="104"/>
      <c r="L2344" s="104"/>
      <c r="M2344" s="104"/>
      <c r="N2344" s="104"/>
      <c r="O2344" s="104"/>
      <c r="P2344" s="104"/>
      <c r="Q2344" s="104"/>
      <c r="R2344" s="104"/>
      <c r="S2344" s="104"/>
    </row>
    <row r="2345" spans="4:19">
      <c r="D2345" s="104"/>
      <c r="E2345" s="104"/>
      <c r="F2345" s="104"/>
      <c r="G2345" s="104"/>
      <c r="H2345" s="104"/>
      <c r="I2345" s="104"/>
      <c r="J2345" s="104"/>
      <c r="K2345" s="104"/>
      <c r="L2345" s="104"/>
      <c r="M2345" s="104"/>
      <c r="N2345" s="104"/>
      <c r="O2345" s="104"/>
      <c r="P2345" s="104"/>
      <c r="Q2345" s="104"/>
      <c r="R2345" s="104"/>
      <c r="S2345" s="104"/>
    </row>
    <row r="2346" spans="4:19">
      <c r="D2346" s="104"/>
      <c r="E2346" s="104"/>
      <c r="F2346" s="104"/>
      <c r="G2346" s="104"/>
      <c r="H2346" s="104"/>
      <c r="I2346" s="104"/>
      <c r="J2346" s="104"/>
      <c r="K2346" s="104"/>
      <c r="L2346" s="104"/>
      <c r="M2346" s="104"/>
      <c r="N2346" s="104"/>
      <c r="O2346" s="104"/>
      <c r="P2346" s="104"/>
      <c r="Q2346" s="104"/>
      <c r="R2346" s="104"/>
      <c r="S2346" s="104"/>
    </row>
    <row r="2347" spans="4:19">
      <c r="D2347" s="104"/>
      <c r="E2347" s="104"/>
      <c r="F2347" s="104"/>
      <c r="G2347" s="104"/>
      <c r="H2347" s="104"/>
      <c r="I2347" s="104"/>
      <c r="J2347" s="104"/>
      <c r="K2347" s="104"/>
      <c r="L2347" s="104"/>
      <c r="M2347" s="104"/>
      <c r="N2347" s="104"/>
      <c r="O2347" s="104"/>
      <c r="P2347" s="104"/>
      <c r="Q2347" s="104"/>
      <c r="R2347" s="104"/>
      <c r="S2347" s="104"/>
    </row>
    <row r="2348" spans="4:19">
      <c r="D2348" s="104"/>
      <c r="E2348" s="104"/>
      <c r="F2348" s="104"/>
      <c r="G2348" s="104"/>
      <c r="H2348" s="104"/>
      <c r="I2348" s="104"/>
      <c r="J2348" s="104"/>
      <c r="K2348" s="104"/>
      <c r="L2348" s="104"/>
      <c r="M2348" s="104"/>
      <c r="N2348" s="104"/>
      <c r="O2348" s="104"/>
      <c r="P2348" s="104"/>
      <c r="Q2348" s="104"/>
      <c r="R2348" s="104"/>
      <c r="S2348" s="104"/>
    </row>
    <row r="2349" spans="4:19">
      <c r="D2349" s="104"/>
      <c r="E2349" s="104"/>
      <c r="F2349" s="104"/>
      <c r="G2349" s="104"/>
      <c r="H2349" s="104"/>
      <c r="I2349" s="104"/>
      <c r="J2349" s="104"/>
      <c r="K2349" s="104"/>
      <c r="L2349" s="104"/>
      <c r="M2349" s="104"/>
      <c r="N2349" s="104"/>
      <c r="O2349" s="104"/>
      <c r="P2349" s="104"/>
      <c r="Q2349" s="104"/>
      <c r="R2349" s="104"/>
      <c r="S2349" s="104"/>
    </row>
    <row r="2350" spans="4:19">
      <c r="D2350" s="104"/>
      <c r="E2350" s="104"/>
      <c r="F2350" s="104"/>
      <c r="G2350" s="104"/>
      <c r="H2350" s="104"/>
      <c r="I2350" s="104"/>
      <c r="J2350" s="104"/>
      <c r="K2350" s="104"/>
      <c r="L2350" s="104"/>
      <c r="M2350" s="104"/>
      <c r="N2350" s="104"/>
      <c r="O2350" s="104"/>
      <c r="P2350" s="104"/>
      <c r="Q2350" s="104"/>
      <c r="R2350" s="104"/>
      <c r="S2350" s="104"/>
    </row>
    <row r="2351" spans="4:19">
      <c r="D2351" s="104"/>
      <c r="E2351" s="104"/>
      <c r="F2351" s="104"/>
      <c r="G2351" s="104"/>
      <c r="H2351" s="104"/>
      <c r="I2351" s="104"/>
      <c r="J2351" s="104"/>
      <c r="K2351" s="104"/>
      <c r="L2351" s="104"/>
      <c r="M2351" s="104"/>
      <c r="N2351" s="104"/>
      <c r="O2351" s="104"/>
      <c r="P2351" s="104"/>
      <c r="Q2351" s="104"/>
      <c r="R2351" s="104"/>
      <c r="S2351" s="104"/>
    </row>
    <row r="2352" spans="4:19">
      <c r="D2352" s="104"/>
      <c r="E2352" s="104"/>
      <c r="F2352" s="104"/>
      <c r="G2352" s="104"/>
      <c r="H2352" s="104"/>
      <c r="I2352" s="104"/>
      <c r="J2352" s="104"/>
      <c r="K2352" s="104"/>
      <c r="L2352" s="104"/>
      <c r="M2352" s="104"/>
      <c r="N2352" s="104"/>
      <c r="O2352" s="104"/>
      <c r="P2352" s="104"/>
      <c r="Q2352" s="104"/>
      <c r="R2352" s="104"/>
      <c r="S2352" s="104"/>
    </row>
    <row r="2353" spans="4:19">
      <c r="D2353" s="104"/>
      <c r="E2353" s="104"/>
      <c r="F2353" s="104"/>
      <c r="G2353" s="104"/>
      <c r="H2353" s="104"/>
      <c r="I2353" s="104"/>
      <c r="J2353" s="104"/>
      <c r="K2353" s="104"/>
      <c r="L2353" s="104"/>
      <c r="M2353" s="104"/>
      <c r="N2353" s="104"/>
      <c r="O2353" s="104"/>
      <c r="P2353" s="104"/>
      <c r="Q2353" s="104"/>
      <c r="R2353" s="104"/>
      <c r="S2353" s="104"/>
    </row>
    <row r="2354" spans="4:19">
      <c r="D2354" s="104"/>
      <c r="E2354" s="104"/>
      <c r="F2354" s="104"/>
      <c r="G2354" s="104"/>
      <c r="H2354" s="104"/>
      <c r="I2354" s="104"/>
      <c r="J2354" s="104"/>
      <c r="K2354" s="104"/>
      <c r="L2354" s="104"/>
      <c r="M2354" s="104"/>
      <c r="N2354" s="104"/>
      <c r="O2354" s="104"/>
      <c r="P2354" s="104"/>
      <c r="Q2354" s="104"/>
      <c r="R2354" s="104"/>
      <c r="S2354" s="104"/>
    </row>
    <row r="2355" spans="4:19">
      <c r="D2355" s="104"/>
      <c r="E2355" s="104"/>
      <c r="F2355" s="104"/>
      <c r="G2355" s="104"/>
      <c r="H2355" s="104"/>
      <c r="I2355" s="104"/>
      <c r="J2355" s="104"/>
      <c r="K2355" s="104"/>
      <c r="L2355" s="104"/>
      <c r="M2355" s="104"/>
      <c r="N2355" s="104"/>
      <c r="O2355" s="104"/>
      <c r="P2355" s="104"/>
      <c r="Q2355" s="104"/>
      <c r="R2355" s="104"/>
      <c r="S2355" s="104"/>
    </row>
    <row r="2356" spans="4:19">
      <c r="D2356" s="104"/>
      <c r="E2356" s="104"/>
      <c r="F2356" s="104"/>
      <c r="G2356" s="104"/>
      <c r="H2356" s="104"/>
      <c r="I2356" s="104"/>
      <c r="J2356" s="104"/>
      <c r="K2356" s="104"/>
      <c r="L2356" s="104"/>
      <c r="M2356" s="104"/>
      <c r="N2356" s="104"/>
      <c r="O2356" s="104"/>
      <c r="P2356" s="104"/>
      <c r="Q2356" s="104"/>
      <c r="R2356" s="104"/>
      <c r="S2356" s="104"/>
    </row>
    <row r="2357" spans="4:19">
      <c r="D2357" s="104"/>
      <c r="E2357" s="104"/>
      <c r="F2357" s="104"/>
      <c r="G2357" s="104"/>
      <c r="H2357" s="104"/>
      <c r="I2357" s="104"/>
      <c r="J2357" s="104"/>
      <c r="K2357" s="104"/>
      <c r="L2357" s="104"/>
      <c r="M2357" s="104"/>
      <c r="N2357" s="104"/>
      <c r="O2357" s="104"/>
      <c r="P2357" s="104"/>
      <c r="Q2357" s="104"/>
      <c r="R2357" s="104"/>
      <c r="S2357" s="104"/>
    </row>
    <row r="2358" spans="4:19">
      <c r="D2358" s="104"/>
      <c r="E2358" s="104"/>
      <c r="F2358" s="104"/>
      <c r="G2358" s="104"/>
      <c r="H2358" s="104"/>
      <c r="I2358" s="104"/>
      <c r="J2358" s="104"/>
      <c r="K2358" s="104"/>
      <c r="L2358" s="104"/>
      <c r="M2358" s="104"/>
      <c r="N2358" s="104"/>
      <c r="O2358" s="104"/>
      <c r="P2358" s="104"/>
      <c r="Q2358" s="104"/>
      <c r="R2358" s="104"/>
      <c r="S2358" s="104"/>
    </row>
    <row r="2359" spans="4:19">
      <c r="D2359" s="104"/>
      <c r="E2359" s="104"/>
      <c r="F2359" s="104"/>
      <c r="G2359" s="104"/>
      <c r="H2359" s="104"/>
      <c r="I2359" s="104"/>
      <c r="J2359" s="104"/>
      <c r="K2359" s="104"/>
      <c r="L2359" s="104"/>
      <c r="M2359" s="104"/>
      <c r="N2359" s="104"/>
      <c r="O2359" s="104"/>
      <c r="P2359" s="104"/>
      <c r="Q2359" s="104"/>
      <c r="R2359" s="104"/>
      <c r="S2359" s="104"/>
    </row>
    <row r="2360" spans="4:19">
      <c r="D2360" s="104"/>
      <c r="E2360" s="104"/>
      <c r="F2360" s="104"/>
      <c r="G2360" s="104"/>
      <c r="H2360" s="104"/>
      <c r="I2360" s="104"/>
      <c r="J2360" s="104"/>
      <c r="K2360" s="104"/>
      <c r="L2360" s="104"/>
      <c r="M2360" s="104"/>
      <c r="N2360" s="104"/>
      <c r="O2360" s="104"/>
      <c r="P2360" s="104"/>
      <c r="Q2360" s="104"/>
      <c r="R2360" s="104"/>
      <c r="S2360" s="104"/>
    </row>
    <row r="2361" spans="4:19">
      <c r="D2361" s="104"/>
      <c r="E2361" s="104"/>
      <c r="F2361" s="104"/>
      <c r="G2361" s="104"/>
      <c r="H2361" s="104"/>
      <c r="I2361" s="104"/>
      <c r="J2361" s="104"/>
      <c r="K2361" s="104"/>
      <c r="L2361" s="104"/>
      <c r="M2361" s="104"/>
      <c r="N2361" s="104"/>
      <c r="O2361" s="104"/>
      <c r="P2361" s="104"/>
      <c r="Q2361" s="104"/>
      <c r="R2361" s="104"/>
      <c r="S2361" s="104"/>
    </row>
    <row r="2362" spans="4:19">
      <c r="D2362" s="104"/>
      <c r="E2362" s="104"/>
      <c r="F2362" s="104"/>
      <c r="G2362" s="104"/>
      <c r="H2362" s="104"/>
      <c r="I2362" s="104"/>
      <c r="J2362" s="104"/>
      <c r="K2362" s="104"/>
      <c r="L2362" s="104"/>
      <c r="M2362" s="104"/>
      <c r="N2362" s="104"/>
      <c r="O2362" s="104"/>
      <c r="P2362" s="104"/>
      <c r="Q2362" s="104"/>
      <c r="R2362" s="104"/>
      <c r="S2362" s="104"/>
    </row>
    <row r="2363" spans="4:19">
      <c r="D2363" s="104"/>
      <c r="E2363" s="104"/>
      <c r="F2363" s="104"/>
      <c r="G2363" s="104"/>
      <c r="H2363" s="104"/>
      <c r="I2363" s="104"/>
      <c r="J2363" s="104"/>
      <c r="K2363" s="104"/>
      <c r="L2363" s="104"/>
      <c r="M2363" s="104"/>
      <c r="N2363" s="104"/>
      <c r="O2363" s="104"/>
      <c r="P2363" s="104"/>
      <c r="Q2363" s="104"/>
      <c r="R2363" s="104"/>
      <c r="S2363" s="104"/>
    </row>
    <row r="2364" spans="4:19">
      <c r="D2364" s="104"/>
      <c r="E2364" s="104"/>
      <c r="F2364" s="104"/>
      <c r="G2364" s="104"/>
      <c r="H2364" s="104"/>
      <c r="I2364" s="104"/>
      <c r="J2364" s="104"/>
      <c r="K2364" s="104"/>
      <c r="L2364" s="104"/>
      <c r="M2364" s="104"/>
      <c r="N2364" s="104"/>
      <c r="O2364" s="104"/>
      <c r="P2364" s="104"/>
      <c r="Q2364" s="104"/>
      <c r="R2364" s="104"/>
      <c r="S2364" s="104"/>
    </row>
    <row r="2365" spans="4:19">
      <c r="D2365" s="104"/>
      <c r="E2365" s="104"/>
      <c r="F2365" s="104"/>
      <c r="G2365" s="104"/>
      <c r="H2365" s="104"/>
      <c r="I2365" s="104"/>
      <c r="J2365" s="104"/>
      <c r="K2365" s="104"/>
      <c r="L2365" s="104"/>
      <c r="M2365" s="104"/>
      <c r="N2365" s="104"/>
      <c r="O2365" s="104"/>
      <c r="P2365" s="104"/>
      <c r="Q2365" s="104"/>
      <c r="R2365" s="104"/>
      <c r="S2365" s="104"/>
    </row>
    <row r="2366" spans="4:19">
      <c r="D2366" s="104"/>
      <c r="E2366" s="104"/>
      <c r="F2366" s="104"/>
      <c r="G2366" s="104"/>
      <c r="H2366" s="104"/>
      <c r="I2366" s="104"/>
      <c r="J2366" s="104"/>
      <c r="K2366" s="104"/>
      <c r="L2366" s="104"/>
      <c r="M2366" s="104"/>
      <c r="N2366" s="104"/>
      <c r="O2366" s="104"/>
      <c r="P2366" s="104"/>
      <c r="Q2366" s="104"/>
      <c r="R2366" s="104"/>
      <c r="S2366" s="104"/>
    </row>
    <row r="2367" spans="4:19">
      <c r="D2367" s="104"/>
      <c r="E2367" s="104"/>
      <c r="F2367" s="104"/>
      <c r="G2367" s="104"/>
      <c r="H2367" s="104"/>
      <c r="I2367" s="104"/>
      <c r="J2367" s="104"/>
      <c r="K2367" s="104"/>
      <c r="L2367" s="104"/>
      <c r="M2367" s="104"/>
      <c r="N2367" s="104"/>
      <c r="O2367" s="104"/>
      <c r="P2367" s="104"/>
      <c r="Q2367" s="104"/>
      <c r="R2367" s="104"/>
      <c r="S2367" s="104"/>
    </row>
    <row r="2368" spans="4:19">
      <c r="D2368" s="104"/>
      <c r="E2368" s="104"/>
      <c r="F2368" s="104"/>
      <c r="G2368" s="104"/>
      <c r="H2368" s="104"/>
      <c r="I2368" s="104"/>
      <c r="J2368" s="104"/>
      <c r="K2368" s="104"/>
      <c r="L2368" s="104"/>
      <c r="M2368" s="104"/>
      <c r="N2368" s="104"/>
      <c r="O2368" s="104"/>
      <c r="P2368" s="104"/>
      <c r="Q2368" s="104"/>
      <c r="R2368" s="104"/>
      <c r="S2368" s="104"/>
    </row>
    <row r="2369" spans="4:19">
      <c r="D2369" s="104"/>
      <c r="E2369" s="104"/>
      <c r="F2369" s="104"/>
      <c r="G2369" s="104"/>
      <c r="H2369" s="104"/>
      <c r="I2369" s="104"/>
      <c r="J2369" s="104"/>
      <c r="K2369" s="104"/>
      <c r="L2369" s="104"/>
      <c r="M2369" s="104"/>
      <c r="N2369" s="104"/>
      <c r="O2369" s="104"/>
      <c r="P2369" s="104"/>
      <c r="Q2369" s="104"/>
      <c r="R2369" s="104"/>
      <c r="S2369" s="104"/>
    </row>
    <row r="2370" spans="4:19">
      <c r="D2370" s="104"/>
      <c r="E2370" s="104"/>
      <c r="F2370" s="104"/>
      <c r="G2370" s="104"/>
      <c r="H2370" s="104"/>
      <c r="I2370" s="104"/>
      <c r="J2370" s="104"/>
      <c r="K2370" s="104"/>
      <c r="L2370" s="104"/>
      <c r="M2370" s="104"/>
      <c r="N2370" s="104"/>
      <c r="O2370" s="104"/>
      <c r="P2370" s="104"/>
      <c r="Q2370" s="104"/>
      <c r="R2370" s="104"/>
      <c r="S2370" s="104"/>
    </row>
    <row r="2371" spans="4:19">
      <c r="D2371" s="104"/>
      <c r="E2371" s="104"/>
      <c r="F2371" s="104"/>
      <c r="G2371" s="104"/>
      <c r="H2371" s="104"/>
      <c r="I2371" s="104"/>
      <c r="J2371" s="104"/>
      <c r="K2371" s="104"/>
      <c r="L2371" s="104"/>
      <c r="M2371" s="104"/>
      <c r="N2371" s="104"/>
      <c r="O2371" s="104"/>
      <c r="P2371" s="104"/>
      <c r="Q2371" s="104"/>
      <c r="R2371" s="104"/>
      <c r="S2371" s="104"/>
    </row>
    <row r="2372" spans="4:19">
      <c r="D2372" s="104"/>
      <c r="E2372" s="104"/>
      <c r="F2372" s="104"/>
      <c r="G2372" s="104"/>
      <c r="H2372" s="104"/>
      <c r="I2372" s="104"/>
      <c r="J2372" s="104"/>
      <c r="K2372" s="104"/>
      <c r="L2372" s="104"/>
      <c r="M2372" s="104"/>
      <c r="N2372" s="104"/>
      <c r="O2372" s="104"/>
      <c r="P2372" s="104"/>
      <c r="Q2372" s="104"/>
      <c r="R2372" s="104"/>
      <c r="S2372" s="104"/>
    </row>
    <row r="2373" spans="4:19">
      <c r="D2373" s="104"/>
      <c r="E2373" s="104"/>
      <c r="F2373" s="104"/>
      <c r="G2373" s="104"/>
      <c r="H2373" s="104"/>
      <c r="I2373" s="104"/>
      <c r="J2373" s="104"/>
      <c r="K2373" s="104"/>
      <c r="L2373" s="104"/>
      <c r="M2373" s="104"/>
      <c r="N2373" s="104"/>
      <c r="O2373" s="104"/>
      <c r="P2373" s="104"/>
      <c r="Q2373" s="104"/>
      <c r="R2373" s="104"/>
      <c r="S2373" s="104"/>
    </row>
    <row r="2374" spans="4:19">
      <c r="D2374" s="104"/>
      <c r="E2374" s="104"/>
      <c r="F2374" s="104"/>
      <c r="G2374" s="104"/>
      <c r="H2374" s="104"/>
      <c r="I2374" s="104"/>
      <c r="J2374" s="104"/>
      <c r="K2374" s="104"/>
      <c r="L2374" s="104"/>
      <c r="M2374" s="104"/>
      <c r="N2374" s="104"/>
      <c r="O2374" s="104"/>
      <c r="P2374" s="104"/>
      <c r="Q2374" s="104"/>
      <c r="R2374" s="104"/>
      <c r="S2374" s="104"/>
    </row>
    <row r="2375" spans="4:19">
      <c r="D2375" s="104"/>
      <c r="E2375" s="104"/>
      <c r="F2375" s="104"/>
      <c r="G2375" s="104"/>
      <c r="H2375" s="104"/>
      <c r="I2375" s="104"/>
      <c r="J2375" s="104"/>
      <c r="K2375" s="104"/>
      <c r="L2375" s="104"/>
      <c r="M2375" s="104"/>
      <c r="N2375" s="104"/>
      <c r="O2375" s="104"/>
      <c r="P2375" s="104"/>
      <c r="Q2375" s="104"/>
      <c r="R2375" s="104"/>
      <c r="S2375" s="104"/>
    </row>
    <row r="2376" spans="4:19">
      <c r="D2376" s="104"/>
      <c r="E2376" s="104"/>
      <c r="F2376" s="104"/>
      <c r="G2376" s="104"/>
      <c r="H2376" s="104"/>
      <c r="I2376" s="104"/>
      <c r="J2376" s="104"/>
      <c r="K2376" s="104"/>
      <c r="L2376" s="104"/>
      <c r="M2376" s="104"/>
      <c r="N2376" s="104"/>
      <c r="O2376" s="104"/>
      <c r="P2376" s="104"/>
      <c r="Q2376" s="104"/>
      <c r="R2376" s="104"/>
      <c r="S2376" s="104"/>
    </row>
    <row r="2377" spans="4:19">
      <c r="D2377" s="104"/>
      <c r="E2377" s="104"/>
      <c r="F2377" s="104"/>
      <c r="G2377" s="104"/>
      <c r="H2377" s="104"/>
      <c r="I2377" s="104"/>
      <c r="J2377" s="104"/>
      <c r="K2377" s="104"/>
      <c r="L2377" s="104"/>
      <c r="M2377" s="104"/>
      <c r="N2377" s="104"/>
      <c r="O2377" s="104"/>
      <c r="P2377" s="104"/>
      <c r="Q2377" s="104"/>
      <c r="R2377" s="104"/>
      <c r="S2377" s="104"/>
    </row>
    <row r="2378" spans="4:19">
      <c r="D2378" s="104"/>
      <c r="E2378" s="104"/>
      <c r="F2378" s="104"/>
      <c r="G2378" s="104"/>
      <c r="H2378" s="104"/>
      <c r="I2378" s="104"/>
      <c r="J2378" s="104"/>
      <c r="K2378" s="104"/>
      <c r="L2378" s="104"/>
      <c r="M2378" s="104"/>
      <c r="N2378" s="104"/>
      <c r="O2378" s="104"/>
      <c r="P2378" s="104"/>
      <c r="Q2378" s="104"/>
      <c r="R2378" s="104"/>
      <c r="S2378" s="104"/>
    </row>
    <row r="2379" spans="4:19">
      <c r="D2379" s="104"/>
      <c r="E2379" s="104"/>
      <c r="F2379" s="104"/>
      <c r="G2379" s="104"/>
      <c r="H2379" s="104"/>
      <c r="I2379" s="104"/>
      <c r="J2379" s="104"/>
      <c r="K2379" s="104"/>
      <c r="L2379" s="104"/>
      <c r="M2379" s="104"/>
      <c r="N2379" s="104"/>
      <c r="O2379" s="104"/>
      <c r="P2379" s="104"/>
      <c r="Q2379" s="104"/>
      <c r="R2379" s="104"/>
      <c r="S2379" s="104"/>
    </row>
    <row r="2380" spans="4:19">
      <c r="D2380" s="104"/>
      <c r="E2380" s="104"/>
      <c r="F2380" s="104"/>
      <c r="G2380" s="104"/>
      <c r="H2380" s="104"/>
      <c r="I2380" s="104"/>
      <c r="J2380" s="104"/>
      <c r="K2380" s="104"/>
      <c r="L2380" s="104"/>
      <c r="M2380" s="104"/>
      <c r="N2380" s="104"/>
      <c r="O2380" s="104"/>
      <c r="P2380" s="104"/>
      <c r="Q2380" s="104"/>
      <c r="R2380" s="104"/>
      <c r="S2380" s="104"/>
    </row>
    <row r="2381" spans="4:19">
      <c r="D2381" s="104"/>
      <c r="E2381" s="104"/>
      <c r="F2381" s="104"/>
      <c r="G2381" s="104"/>
      <c r="H2381" s="104"/>
      <c r="I2381" s="104"/>
      <c r="J2381" s="104"/>
      <c r="K2381" s="104"/>
      <c r="L2381" s="104"/>
      <c r="M2381" s="104"/>
      <c r="N2381" s="104"/>
      <c r="O2381" s="104"/>
      <c r="P2381" s="104"/>
      <c r="Q2381" s="104"/>
      <c r="R2381" s="104"/>
      <c r="S2381" s="104"/>
    </row>
    <row r="2382" spans="4:19">
      <c r="D2382" s="104"/>
      <c r="E2382" s="104"/>
      <c r="F2382" s="104"/>
      <c r="G2382" s="104"/>
      <c r="H2382" s="104"/>
      <c r="I2382" s="104"/>
      <c r="J2382" s="104"/>
      <c r="K2382" s="104"/>
      <c r="L2382" s="104"/>
      <c r="M2382" s="104"/>
      <c r="N2382" s="104"/>
      <c r="O2382" s="104"/>
      <c r="P2382" s="104"/>
      <c r="Q2382" s="104"/>
      <c r="R2382" s="104"/>
      <c r="S2382" s="104"/>
    </row>
    <row r="2383" spans="4:19">
      <c r="D2383" s="104"/>
      <c r="E2383" s="104"/>
      <c r="F2383" s="104"/>
      <c r="G2383" s="104"/>
      <c r="H2383" s="104"/>
      <c r="I2383" s="104"/>
      <c r="J2383" s="104"/>
      <c r="K2383" s="104"/>
      <c r="L2383" s="104"/>
      <c r="M2383" s="104"/>
      <c r="N2383" s="104"/>
      <c r="O2383" s="104"/>
      <c r="P2383" s="104"/>
      <c r="Q2383" s="104"/>
      <c r="R2383" s="104"/>
      <c r="S2383" s="104"/>
    </row>
    <row r="2384" spans="4:19">
      <c r="D2384" s="104"/>
      <c r="E2384" s="104"/>
      <c r="F2384" s="104"/>
      <c r="G2384" s="104"/>
      <c r="H2384" s="104"/>
      <c r="I2384" s="104"/>
      <c r="J2384" s="104"/>
      <c r="K2384" s="104"/>
      <c r="L2384" s="104"/>
      <c r="M2384" s="104"/>
      <c r="N2384" s="104"/>
      <c r="O2384" s="104"/>
      <c r="P2384" s="104"/>
      <c r="Q2384" s="104"/>
      <c r="R2384" s="104"/>
      <c r="S2384" s="104"/>
    </row>
    <row r="2385" spans="4:19">
      <c r="D2385" s="104"/>
      <c r="E2385" s="104"/>
      <c r="F2385" s="104"/>
      <c r="G2385" s="104"/>
      <c r="H2385" s="104"/>
      <c r="I2385" s="104"/>
      <c r="J2385" s="104"/>
      <c r="K2385" s="104"/>
      <c r="L2385" s="104"/>
      <c r="M2385" s="104"/>
      <c r="N2385" s="104"/>
      <c r="O2385" s="104"/>
      <c r="P2385" s="104"/>
      <c r="Q2385" s="104"/>
      <c r="R2385" s="104"/>
      <c r="S2385" s="104"/>
    </row>
    <row r="2386" spans="4:19">
      <c r="D2386" s="104"/>
      <c r="E2386" s="104"/>
      <c r="F2386" s="104"/>
      <c r="G2386" s="104"/>
      <c r="H2386" s="104"/>
      <c r="I2386" s="104"/>
      <c r="J2386" s="104"/>
      <c r="K2386" s="104"/>
      <c r="L2386" s="104"/>
      <c r="M2386" s="104"/>
      <c r="N2386" s="104"/>
      <c r="O2386" s="104"/>
      <c r="P2386" s="104"/>
      <c r="Q2386" s="104"/>
      <c r="R2386" s="104"/>
      <c r="S2386" s="104"/>
    </row>
    <row r="2387" spans="4:19">
      <c r="D2387" s="104"/>
      <c r="E2387" s="104"/>
      <c r="F2387" s="104"/>
      <c r="G2387" s="104"/>
      <c r="H2387" s="104"/>
      <c r="I2387" s="104"/>
      <c r="J2387" s="104"/>
      <c r="K2387" s="104"/>
      <c r="L2387" s="104"/>
      <c r="M2387" s="104"/>
      <c r="N2387" s="104"/>
      <c r="O2387" s="104"/>
      <c r="P2387" s="104"/>
      <c r="Q2387" s="104"/>
      <c r="R2387" s="104"/>
      <c r="S2387" s="104"/>
    </row>
    <row r="2388" spans="4:19">
      <c r="D2388" s="104"/>
      <c r="E2388" s="104"/>
      <c r="F2388" s="104"/>
      <c r="G2388" s="104"/>
      <c r="H2388" s="104"/>
      <c r="I2388" s="104"/>
      <c r="J2388" s="104"/>
      <c r="K2388" s="104"/>
      <c r="L2388" s="104"/>
      <c r="M2388" s="104"/>
      <c r="N2388" s="104"/>
      <c r="O2388" s="104"/>
      <c r="P2388" s="104"/>
      <c r="Q2388" s="104"/>
      <c r="R2388" s="104"/>
      <c r="S2388" s="104"/>
    </row>
    <row r="2389" spans="4:19">
      <c r="D2389" s="104"/>
      <c r="E2389" s="104"/>
      <c r="F2389" s="104"/>
      <c r="G2389" s="104"/>
      <c r="H2389" s="104"/>
      <c r="I2389" s="104"/>
      <c r="J2389" s="104"/>
      <c r="K2389" s="104"/>
      <c r="L2389" s="104"/>
      <c r="M2389" s="104"/>
      <c r="N2389" s="104"/>
      <c r="O2389" s="104"/>
      <c r="P2389" s="104"/>
      <c r="Q2389" s="104"/>
      <c r="R2389" s="104"/>
      <c r="S2389" s="104"/>
    </row>
    <row r="2390" spans="4:19">
      <c r="D2390" s="104"/>
      <c r="E2390" s="104"/>
      <c r="F2390" s="104"/>
      <c r="G2390" s="104"/>
      <c r="H2390" s="104"/>
      <c r="I2390" s="104"/>
      <c r="J2390" s="104"/>
      <c r="K2390" s="104"/>
      <c r="L2390" s="104"/>
      <c r="M2390" s="104"/>
      <c r="N2390" s="104"/>
      <c r="O2390" s="104"/>
      <c r="P2390" s="104"/>
      <c r="Q2390" s="104"/>
      <c r="R2390" s="104"/>
      <c r="S2390" s="104"/>
    </row>
    <row r="2391" spans="4:19">
      <c r="D2391" s="104"/>
      <c r="E2391" s="104"/>
      <c r="F2391" s="104"/>
      <c r="G2391" s="104"/>
      <c r="H2391" s="104"/>
      <c r="I2391" s="104"/>
      <c r="J2391" s="104"/>
      <c r="K2391" s="104"/>
      <c r="L2391" s="104"/>
      <c r="M2391" s="104"/>
      <c r="N2391" s="104"/>
      <c r="O2391" s="104"/>
      <c r="P2391" s="104"/>
      <c r="Q2391" s="104"/>
      <c r="R2391" s="104"/>
      <c r="S2391" s="104"/>
    </row>
    <row r="2392" spans="4:19">
      <c r="D2392" s="104"/>
      <c r="E2392" s="104"/>
      <c r="F2392" s="104"/>
      <c r="G2392" s="104"/>
      <c r="H2392" s="104"/>
      <c r="I2392" s="104"/>
      <c r="J2392" s="104"/>
      <c r="K2392" s="104"/>
      <c r="L2392" s="104"/>
      <c r="M2392" s="104"/>
      <c r="N2392" s="104"/>
      <c r="O2392" s="104"/>
      <c r="P2392" s="104"/>
      <c r="Q2392" s="104"/>
      <c r="R2392" s="104"/>
      <c r="S2392" s="104"/>
    </row>
    <row r="2393" spans="4:19">
      <c r="D2393" s="104"/>
      <c r="E2393" s="104"/>
      <c r="F2393" s="104"/>
      <c r="G2393" s="104"/>
      <c r="H2393" s="104"/>
      <c r="I2393" s="104"/>
      <c r="J2393" s="104"/>
      <c r="K2393" s="104"/>
      <c r="L2393" s="104"/>
      <c r="M2393" s="104"/>
      <c r="N2393" s="104"/>
      <c r="O2393" s="104"/>
      <c r="P2393" s="104"/>
      <c r="Q2393" s="104"/>
      <c r="R2393" s="104"/>
      <c r="S2393" s="104"/>
    </row>
    <row r="2394" spans="4:19">
      <c r="D2394" s="104"/>
      <c r="E2394" s="104"/>
      <c r="F2394" s="104"/>
      <c r="G2394" s="104"/>
      <c r="H2394" s="104"/>
      <c r="I2394" s="104"/>
      <c r="J2394" s="104"/>
      <c r="K2394" s="104"/>
      <c r="L2394" s="104"/>
      <c r="M2394" s="104"/>
      <c r="N2394" s="104"/>
      <c r="O2394" s="104"/>
      <c r="P2394" s="104"/>
      <c r="Q2394" s="104"/>
      <c r="R2394" s="104"/>
      <c r="S2394" s="104"/>
    </row>
    <row r="2395" spans="4:19">
      <c r="D2395" s="104"/>
      <c r="E2395" s="104"/>
      <c r="F2395" s="104"/>
      <c r="G2395" s="104"/>
      <c r="H2395" s="104"/>
      <c r="I2395" s="104"/>
      <c r="J2395" s="104"/>
      <c r="K2395" s="104"/>
      <c r="L2395" s="104"/>
      <c r="M2395" s="104"/>
      <c r="N2395" s="104"/>
      <c r="O2395" s="104"/>
      <c r="P2395" s="104"/>
      <c r="Q2395" s="104"/>
      <c r="R2395" s="104"/>
      <c r="S2395" s="104"/>
    </row>
    <row r="2396" spans="4:19">
      <c r="D2396" s="104"/>
      <c r="E2396" s="104"/>
      <c r="F2396" s="104"/>
      <c r="G2396" s="104"/>
      <c r="H2396" s="104"/>
      <c r="I2396" s="104"/>
      <c r="J2396" s="104"/>
      <c r="K2396" s="104"/>
      <c r="L2396" s="104"/>
      <c r="M2396" s="104"/>
      <c r="N2396" s="104"/>
      <c r="O2396" s="104"/>
      <c r="P2396" s="104"/>
      <c r="Q2396" s="104"/>
      <c r="R2396" s="104"/>
      <c r="S2396" s="104"/>
    </row>
    <row r="2397" spans="4:19">
      <c r="D2397" s="104"/>
      <c r="E2397" s="104"/>
      <c r="F2397" s="104"/>
      <c r="G2397" s="104"/>
      <c r="H2397" s="104"/>
      <c r="I2397" s="104"/>
      <c r="J2397" s="104"/>
      <c r="K2397" s="104"/>
      <c r="L2397" s="104"/>
      <c r="M2397" s="104"/>
      <c r="N2397" s="104"/>
      <c r="O2397" s="104"/>
      <c r="P2397" s="104"/>
      <c r="Q2397" s="104"/>
      <c r="R2397" s="104"/>
      <c r="S2397" s="104"/>
    </row>
    <row r="2398" spans="4:19">
      <c r="D2398" s="104"/>
      <c r="E2398" s="104"/>
      <c r="F2398" s="104"/>
      <c r="G2398" s="104"/>
      <c r="H2398" s="104"/>
      <c r="I2398" s="104"/>
      <c r="J2398" s="104"/>
      <c r="K2398" s="104"/>
      <c r="L2398" s="104"/>
      <c r="M2398" s="104"/>
      <c r="N2398" s="104"/>
      <c r="O2398" s="104"/>
      <c r="P2398" s="104"/>
      <c r="Q2398" s="104"/>
      <c r="R2398" s="104"/>
      <c r="S2398" s="104"/>
    </row>
    <row r="2399" spans="4:19">
      <c r="D2399" s="104"/>
      <c r="E2399" s="104"/>
      <c r="F2399" s="104"/>
      <c r="G2399" s="104"/>
      <c r="H2399" s="104"/>
      <c r="I2399" s="104"/>
      <c r="J2399" s="104"/>
      <c r="K2399" s="104"/>
      <c r="L2399" s="104"/>
      <c r="M2399" s="104"/>
      <c r="N2399" s="104"/>
      <c r="O2399" s="104"/>
      <c r="P2399" s="104"/>
      <c r="Q2399" s="104"/>
      <c r="R2399" s="104"/>
      <c r="S2399" s="104"/>
    </row>
    <row r="2400" spans="4:19">
      <c r="D2400" s="104"/>
      <c r="E2400" s="104"/>
      <c r="F2400" s="104"/>
      <c r="G2400" s="104"/>
      <c r="H2400" s="104"/>
      <c r="I2400" s="104"/>
      <c r="J2400" s="104"/>
      <c r="K2400" s="104"/>
      <c r="L2400" s="104"/>
      <c r="M2400" s="104"/>
      <c r="N2400" s="104"/>
      <c r="O2400" s="104"/>
      <c r="P2400" s="104"/>
      <c r="Q2400" s="104"/>
      <c r="R2400" s="104"/>
      <c r="S2400" s="104"/>
    </row>
    <row r="2401" spans="4:19">
      <c r="D2401" s="104"/>
      <c r="E2401" s="104"/>
      <c r="F2401" s="104"/>
      <c r="G2401" s="104"/>
      <c r="H2401" s="104"/>
      <c r="I2401" s="104"/>
      <c r="J2401" s="104"/>
      <c r="K2401" s="104"/>
      <c r="L2401" s="104"/>
      <c r="M2401" s="104"/>
      <c r="N2401" s="104"/>
      <c r="O2401" s="104"/>
      <c r="P2401" s="104"/>
      <c r="Q2401" s="104"/>
      <c r="R2401" s="104"/>
      <c r="S2401" s="104"/>
    </row>
    <row r="2402" spans="4:19">
      <c r="D2402" s="104"/>
      <c r="E2402" s="104"/>
      <c r="F2402" s="104"/>
      <c r="G2402" s="104"/>
      <c r="H2402" s="104"/>
      <c r="I2402" s="104"/>
      <c r="J2402" s="104"/>
      <c r="K2402" s="104"/>
      <c r="L2402" s="104"/>
      <c r="M2402" s="104"/>
      <c r="N2402" s="104"/>
      <c r="O2402" s="104"/>
      <c r="P2402" s="104"/>
      <c r="Q2402" s="104"/>
      <c r="R2402" s="104"/>
      <c r="S2402" s="104"/>
    </row>
    <row r="2403" spans="4:19">
      <c r="D2403" s="104"/>
      <c r="E2403" s="104"/>
      <c r="F2403" s="104"/>
      <c r="G2403" s="104"/>
      <c r="H2403" s="104"/>
      <c r="I2403" s="104"/>
      <c r="J2403" s="104"/>
      <c r="K2403" s="104"/>
      <c r="L2403" s="104"/>
      <c r="M2403" s="104"/>
      <c r="N2403" s="104"/>
      <c r="O2403" s="104"/>
      <c r="P2403" s="104"/>
      <c r="Q2403" s="104"/>
      <c r="R2403" s="104"/>
      <c r="S2403" s="104"/>
    </row>
    <row r="2404" spans="4:19">
      <c r="D2404" s="104"/>
      <c r="E2404" s="104"/>
      <c r="F2404" s="104"/>
      <c r="G2404" s="104"/>
      <c r="H2404" s="104"/>
      <c r="I2404" s="104"/>
      <c r="J2404" s="104"/>
      <c r="K2404" s="104"/>
      <c r="L2404" s="104"/>
      <c r="M2404" s="104"/>
      <c r="N2404" s="104"/>
      <c r="O2404" s="104"/>
      <c r="P2404" s="104"/>
      <c r="Q2404" s="104"/>
      <c r="R2404" s="104"/>
      <c r="S2404" s="104"/>
    </row>
    <row r="2405" spans="4:19">
      <c r="D2405" s="104"/>
      <c r="E2405" s="104"/>
      <c r="F2405" s="104"/>
      <c r="G2405" s="104"/>
      <c r="H2405" s="104"/>
      <c r="I2405" s="104"/>
      <c r="J2405" s="104"/>
      <c r="K2405" s="104"/>
      <c r="L2405" s="104"/>
      <c r="M2405" s="104"/>
      <c r="N2405" s="104"/>
      <c r="O2405" s="104"/>
      <c r="P2405" s="104"/>
      <c r="Q2405" s="104"/>
      <c r="R2405" s="104"/>
      <c r="S2405" s="104"/>
    </row>
    <row r="2406" spans="4:19">
      <c r="D2406" s="104"/>
      <c r="E2406" s="104"/>
      <c r="F2406" s="104"/>
      <c r="G2406" s="104"/>
      <c r="H2406" s="104"/>
      <c r="I2406" s="104"/>
      <c r="J2406" s="104"/>
      <c r="K2406" s="104"/>
      <c r="L2406" s="104"/>
      <c r="M2406" s="104"/>
      <c r="N2406" s="104"/>
      <c r="O2406" s="104"/>
      <c r="P2406" s="104"/>
      <c r="Q2406" s="104"/>
      <c r="R2406" s="104"/>
      <c r="S2406" s="104"/>
    </row>
    <row r="2407" spans="4:19">
      <c r="D2407" s="104"/>
      <c r="E2407" s="104"/>
      <c r="F2407" s="104"/>
      <c r="G2407" s="104"/>
      <c r="H2407" s="104"/>
      <c r="I2407" s="104"/>
      <c r="J2407" s="104"/>
      <c r="K2407" s="104"/>
      <c r="L2407" s="104"/>
      <c r="M2407" s="104"/>
      <c r="N2407" s="104"/>
      <c r="O2407" s="104"/>
      <c r="P2407" s="104"/>
      <c r="Q2407" s="104"/>
      <c r="R2407" s="104"/>
      <c r="S2407" s="104"/>
    </row>
    <row r="2408" spans="4:19">
      <c r="D2408" s="104"/>
      <c r="E2408" s="104"/>
      <c r="F2408" s="104"/>
      <c r="G2408" s="104"/>
      <c r="H2408" s="104"/>
      <c r="I2408" s="104"/>
      <c r="J2408" s="104"/>
      <c r="K2408" s="104"/>
      <c r="L2408" s="104"/>
      <c r="M2408" s="104"/>
      <c r="N2408" s="104"/>
      <c r="O2408" s="104"/>
      <c r="P2408" s="104"/>
      <c r="Q2408" s="104"/>
      <c r="R2408" s="104"/>
      <c r="S2408" s="104"/>
    </row>
    <row r="2409" spans="4:19">
      <c r="D2409" s="104"/>
      <c r="E2409" s="104"/>
      <c r="F2409" s="104"/>
      <c r="G2409" s="104"/>
      <c r="H2409" s="104"/>
      <c r="I2409" s="104"/>
      <c r="J2409" s="104"/>
      <c r="K2409" s="104"/>
      <c r="L2409" s="104"/>
      <c r="M2409" s="104"/>
      <c r="N2409" s="104"/>
      <c r="O2409" s="104"/>
      <c r="P2409" s="104"/>
      <c r="Q2409" s="104"/>
      <c r="R2409" s="104"/>
      <c r="S2409" s="104"/>
    </row>
    <row r="2410" spans="4:19">
      <c r="D2410" s="104"/>
      <c r="E2410" s="104"/>
      <c r="F2410" s="104"/>
      <c r="G2410" s="104"/>
      <c r="H2410" s="104"/>
      <c r="I2410" s="104"/>
      <c r="J2410" s="104"/>
      <c r="K2410" s="104"/>
      <c r="L2410" s="104"/>
      <c r="M2410" s="104"/>
      <c r="N2410" s="104"/>
      <c r="O2410" s="104"/>
      <c r="P2410" s="104"/>
      <c r="Q2410" s="104"/>
      <c r="R2410" s="104"/>
      <c r="S2410" s="104"/>
    </row>
    <row r="2411" spans="4:19">
      <c r="D2411" s="104"/>
      <c r="E2411" s="104"/>
      <c r="F2411" s="104"/>
      <c r="G2411" s="104"/>
      <c r="H2411" s="104"/>
      <c r="I2411" s="104"/>
      <c r="J2411" s="104"/>
      <c r="K2411" s="104"/>
      <c r="L2411" s="104"/>
      <c r="M2411" s="104"/>
      <c r="N2411" s="104"/>
      <c r="O2411" s="104"/>
      <c r="P2411" s="104"/>
      <c r="Q2411" s="104"/>
      <c r="R2411" s="104"/>
      <c r="S2411" s="104"/>
    </row>
    <row r="2412" spans="4:19">
      <c r="D2412" s="104"/>
      <c r="E2412" s="104"/>
      <c r="F2412" s="104"/>
      <c r="G2412" s="104"/>
      <c r="H2412" s="104"/>
      <c r="I2412" s="104"/>
      <c r="J2412" s="104"/>
      <c r="K2412" s="104"/>
      <c r="L2412" s="104"/>
      <c r="M2412" s="104"/>
      <c r="N2412" s="104"/>
      <c r="O2412" s="104"/>
      <c r="P2412" s="104"/>
      <c r="Q2412" s="104"/>
      <c r="R2412" s="104"/>
      <c r="S2412" s="104"/>
    </row>
    <row r="2413" spans="4:19">
      <c r="D2413" s="104"/>
      <c r="E2413" s="104"/>
      <c r="F2413" s="104"/>
      <c r="G2413" s="104"/>
      <c r="H2413" s="104"/>
      <c r="I2413" s="104"/>
      <c r="J2413" s="104"/>
      <c r="K2413" s="104"/>
      <c r="L2413" s="104"/>
      <c r="M2413" s="104"/>
      <c r="N2413" s="104"/>
      <c r="O2413" s="104"/>
      <c r="P2413" s="104"/>
      <c r="Q2413" s="104"/>
      <c r="R2413" s="104"/>
      <c r="S2413" s="104"/>
    </row>
    <row r="2414" spans="4:19">
      <c r="D2414" s="104"/>
      <c r="E2414" s="104"/>
      <c r="F2414" s="104"/>
      <c r="G2414" s="104"/>
      <c r="H2414" s="104"/>
      <c r="I2414" s="104"/>
      <c r="J2414" s="104"/>
      <c r="K2414" s="104"/>
      <c r="L2414" s="104"/>
      <c r="M2414" s="104"/>
      <c r="N2414" s="104"/>
      <c r="O2414" s="104"/>
      <c r="P2414" s="104"/>
      <c r="Q2414" s="104"/>
      <c r="R2414" s="104"/>
      <c r="S2414" s="104"/>
    </row>
    <row r="2415" spans="4:19">
      <c r="D2415" s="104"/>
      <c r="E2415" s="104"/>
      <c r="F2415" s="104"/>
      <c r="G2415" s="104"/>
      <c r="H2415" s="104"/>
      <c r="I2415" s="104"/>
      <c r="J2415" s="104"/>
      <c r="K2415" s="104"/>
      <c r="L2415" s="104"/>
      <c r="M2415" s="104"/>
      <c r="N2415" s="104"/>
      <c r="O2415" s="104"/>
      <c r="P2415" s="104"/>
      <c r="Q2415" s="104"/>
      <c r="R2415" s="104"/>
      <c r="S2415" s="104"/>
    </row>
    <row r="2416" spans="4:19">
      <c r="D2416" s="104"/>
      <c r="E2416" s="104"/>
      <c r="F2416" s="104"/>
      <c r="G2416" s="104"/>
      <c r="H2416" s="104"/>
      <c r="I2416" s="104"/>
      <c r="J2416" s="104"/>
      <c r="K2416" s="104"/>
      <c r="L2416" s="104"/>
      <c r="M2416" s="104"/>
      <c r="N2416" s="104"/>
      <c r="O2416" s="104"/>
      <c r="P2416" s="104"/>
      <c r="Q2416" s="104"/>
      <c r="R2416" s="104"/>
      <c r="S2416" s="104"/>
    </row>
    <row r="2417" spans="4:19">
      <c r="D2417" s="104"/>
      <c r="E2417" s="104"/>
      <c r="F2417" s="104"/>
      <c r="G2417" s="104"/>
      <c r="H2417" s="104"/>
      <c r="I2417" s="104"/>
      <c r="J2417" s="104"/>
      <c r="K2417" s="104"/>
      <c r="L2417" s="104"/>
      <c r="M2417" s="104"/>
      <c r="N2417" s="104"/>
      <c r="O2417" s="104"/>
      <c r="P2417" s="104"/>
      <c r="Q2417" s="104"/>
      <c r="R2417" s="104"/>
      <c r="S2417" s="104"/>
    </row>
    <row r="2418" spans="4:19">
      <c r="D2418" s="104"/>
      <c r="E2418" s="104"/>
      <c r="F2418" s="104"/>
      <c r="G2418" s="104"/>
      <c r="H2418" s="104"/>
      <c r="I2418" s="104"/>
      <c r="J2418" s="104"/>
      <c r="K2418" s="104"/>
      <c r="L2418" s="104"/>
      <c r="M2418" s="104"/>
      <c r="N2418" s="104"/>
      <c r="O2418" s="104"/>
      <c r="P2418" s="104"/>
      <c r="Q2418" s="104"/>
      <c r="R2418" s="104"/>
      <c r="S2418" s="104"/>
    </row>
    <row r="2419" spans="4:19">
      <c r="D2419" s="104"/>
      <c r="E2419" s="104"/>
      <c r="F2419" s="104"/>
      <c r="G2419" s="104"/>
      <c r="H2419" s="104"/>
      <c r="I2419" s="104"/>
      <c r="J2419" s="104"/>
      <c r="K2419" s="104"/>
      <c r="L2419" s="104"/>
      <c r="M2419" s="104"/>
      <c r="N2419" s="104"/>
      <c r="O2419" s="104"/>
      <c r="P2419" s="104"/>
      <c r="Q2419" s="104"/>
      <c r="R2419" s="104"/>
      <c r="S2419" s="104"/>
    </row>
    <row r="2420" spans="4:19">
      <c r="D2420" s="104"/>
      <c r="E2420" s="104"/>
      <c r="F2420" s="104"/>
      <c r="G2420" s="104"/>
      <c r="H2420" s="104"/>
      <c r="I2420" s="104"/>
      <c r="J2420" s="104"/>
      <c r="K2420" s="104"/>
      <c r="L2420" s="104"/>
      <c r="M2420" s="104"/>
      <c r="N2420" s="104"/>
      <c r="O2420" s="104"/>
      <c r="P2420" s="104"/>
      <c r="Q2420" s="104"/>
      <c r="R2420" s="104"/>
      <c r="S2420" s="104"/>
    </row>
    <row r="2421" spans="4:19">
      <c r="D2421" s="104"/>
      <c r="E2421" s="104"/>
      <c r="F2421" s="104"/>
      <c r="G2421" s="104"/>
      <c r="H2421" s="104"/>
      <c r="I2421" s="104"/>
      <c r="J2421" s="104"/>
      <c r="K2421" s="104"/>
      <c r="L2421" s="104"/>
      <c r="M2421" s="104"/>
      <c r="N2421" s="104"/>
      <c r="O2421" s="104"/>
      <c r="P2421" s="104"/>
      <c r="Q2421" s="104"/>
      <c r="R2421" s="104"/>
      <c r="S2421" s="104"/>
    </row>
    <row r="2422" spans="4:19">
      <c r="D2422" s="104"/>
      <c r="E2422" s="104"/>
      <c r="F2422" s="104"/>
      <c r="G2422" s="104"/>
      <c r="H2422" s="104"/>
      <c r="I2422" s="104"/>
      <c r="J2422" s="104"/>
      <c r="K2422" s="104"/>
      <c r="L2422" s="104"/>
      <c r="M2422" s="104"/>
      <c r="N2422" s="104"/>
      <c r="O2422" s="104"/>
      <c r="P2422" s="104"/>
      <c r="Q2422" s="104"/>
      <c r="R2422" s="104"/>
      <c r="S2422" s="104"/>
    </row>
    <row r="2423" spans="4:19">
      <c r="D2423" s="104"/>
      <c r="E2423" s="104"/>
      <c r="F2423" s="104"/>
      <c r="G2423" s="104"/>
      <c r="H2423" s="104"/>
      <c r="I2423" s="104"/>
      <c r="J2423" s="104"/>
      <c r="K2423" s="104"/>
      <c r="L2423" s="104"/>
      <c r="M2423" s="104"/>
      <c r="N2423" s="104"/>
      <c r="O2423" s="104"/>
      <c r="P2423" s="104"/>
      <c r="Q2423" s="104"/>
      <c r="R2423" s="104"/>
      <c r="S2423" s="104"/>
    </row>
    <row r="2424" spans="4:19">
      <c r="D2424" s="104"/>
      <c r="E2424" s="104"/>
      <c r="F2424" s="104"/>
      <c r="G2424" s="104"/>
      <c r="H2424" s="104"/>
      <c r="I2424" s="104"/>
      <c r="J2424" s="104"/>
      <c r="K2424" s="104"/>
      <c r="L2424" s="104"/>
      <c r="M2424" s="104"/>
      <c r="N2424" s="104"/>
      <c r="O2424" s="104"/>
      <c r="P2424" s="104"/>
      <c r="Q2424" s="104"/>
      <c r="R2424" s="104"/>
      <c r="S2424" s="104"/>
    </row>
    <row r="2425" spans="4:19">
      <c r="D2425" s="104"/>
      <c r="E2425" s="104"/>
      <c r="F2425" s="104"/>
      <c r="G2425" s="104"/>
      <c r="H2425" s="104"/>
      <c r="I2425" s="104"/>
      <c r="J2425" s="104"/>
      <c r="K2425" s="104"/>
      <c r="L2425" s="104"/>
      <c r="M2425" s="104"/>
      <c r="N2425" s="104"/>
      <c r="O2425" s="104"/>
      <c r="P2425" s="104"/>
      <c r="Q2425" s="104"/>
      <c r="R2425" s="104"/>
      <c r="S2425" s="104"/>
    </row>
    <row r="2426" spans="4:19">
      <c r="D2426" s="104"/>
      <c r="E2426" s="104"/>
      <c r="F2426" s="104"/>
      <c r="G2426" s="104"/>
      <c r="H2426" s="104"/>
      <c r="I2426" s="104"/>
      <c r="J2426" s="104"/>
      <c r="K2426" s="104"/>
      <c r="L2426" s="104"/>
      <c r="M2426" s="104"/>
      <c r="N2426" s="104"/>
      <c r="O2426" s="104"/>
      <c r="P2426" s="104"/>
      <c r="Q2426" s="104"/>
      <c r="R2426" s="104"/>
      <c r="S2426" s="104"/>
    </row>
    <row r="2427" spans="4:19">
      <c r="D2427" s="104"/>
      <c r="E2427" s="104"/>
      <c r="F2427" s="104"/>
      <c r="G2427" s="104"/>
      <c r="H2427" s="104"/>
      <c r="I2427" s="104"/>
      <c r="J2427" s="104"/>
      <c r="K2427" s="104"/>
      <c r="L2427" s="104"/>
      <c r="M2427" s="104"/>
      <c r="N2427" s="104"/>
      <c r="O2427" s="104"/>
      <c r="P2427" s="104"/>
      <c r="Q2427" s="104"/>
      <c r="R2427" s="104"/>
      <c r="S2427" s="104"/>
    </row>
    <row r="2428" spans="4:19">
      <c r="D2428" s="104"/>
      <c r="E2428" s="104"/>
      <c r="F2428" s="104"/>
      <c r="G2428" s="104"/>
      <c r="H2428" s="104"/>
      <c r="I2428" s="104"/>
      <c r="J2428" s="104"/>
      <c r="K2428" s="104"/>
      <c r="L2428" s="104"/>
      <c r="M2428" s="104"/>
      <c r="N2428" s="104"/>
      <c r="O2428" s="104"/>
      <c r="P2428" s="104"/>
      <c r="Q2428" s="104"/>
      <c r="R2428" s="104"/>
      <c r="S2428" s="104"/>
    </row>
    <row r="2429" spans="4:19">
      <c r="D2429" s="104"/>
      <c r="E2429" s="104"/>
      <c r="F2429" s="104"/>
      <c r="G2429" s="104"/>
      <c r="H2429" s="104"/>
      <c r="I2429" s="104"/>
      <c r="J2429" s="104"/>
      <c r="K2429" s="104"/>
      <c r="L2429" s="104"/>
      <c r="M2429" s="104"/>
      <c r="N2429" s="104"/>
      <c r="O2429" s="104"/>
      <c r="P2429" s="104"/>
      <c r="Q2429" s="104"/>
      <c r="R2429" s="104"/>
      <c r="S2429" s="104"/>
    </row>
    <row r="2430" spans="4:19">
      <c r="D2430" s="104"/>
      <c r="E2430" s="104"/>
      <c r="F2430" s="104"/>
      <c r="G2430" s="104"/>
      <c r="H2430" s="104"/>
      <c r="I2430" s="104"/>
      <c r="J2430" s="104"/>
      <c r="K2430" s="104"/>
      <c r="L2430" s="104"/>
      <c r="M2430" s="104"/>
      <c r="N2430" s="104"/>
      <c r="O2430" s="104"/>
      <c r="P2430" s="104"/>
      <c r="Q2430" s="104"/>
      <c r="R2430" s="104"/>
      <c r="S2430" s="104"/>
    </row>
    <row r="2431" spans="4:19">
      <c r="D2431" s="104"/>
      <c r="E2431" s="104"/>
      <c r="F2431" s="104"/>
      <c r="G2431" s="104"/>
      <c r="H2431" s="104"/>
      <c r="I2431" s="104"/>
      <c r="J2431" s="104"/>
      <c r="K2431" s="104"/>
      <c r="L2431" s="104"/>
      <c r="M2431" s="104"/>
      <c r="N2431" s="104"/>
      <c r="O2431" s="104"/>
      <c r="P2431" s="104"/>
      <c r="Q2431" s="104"/>
      <c r="R2431" s="104"/>
      <c r="S2431" s="104"/>
    </row>
    <row r="2432" spans="4:19">
      <c r="D2432" s="104"/>
      <c r="E2432" s="104"/>
      <c r="F2432" s="104"/>
      <c r="G2432" s="104"/>
      <c r="H2432" s="104"/>
      <c r="I2432" s="104"/>
      <c r="J2432" s="104"/>
      <c r="K2432" s="104"/>
      <c r="L2432" s="104"/>
      <c r="M2432" s="104"/>
      <c r="N2432" s="104"/>
      <c r="O2432" s="104"/>
      <c r="P2432" s="104"/>
      <c r="Q2432" s="104"/>
      <c r="R2432" s="104"/>
      <c r="S2432" s="104"/>
    </row>
    <row r="2433" spans="4:19">
      <c r="D2433" s="104"/>
      <c r="E2433" s="104"/>
      <c r="F2433" s="104"/>
      <c r="G2433" s="104"/>
      <c r="H2433" s="104"/>
      <c r="I2433" s="104"/>
      <c r="J2433" s="104"/>
      <c r="K2433" s="104"/>
      <c r="L2433" s="104"/>
      <c r="M2433" s="104"/>
      <c r="N2433" s="104"/>
      <c r="O2433" s="104"/>
      <c r="P2433" s="104"/>
      <c r="Q2433" s="104"/>
      <c r="R2433" s="104"/>
      <c r="S2433" s="104"/>
    </row>
    <row r="2434" spans="4:19">
      <c r="D2434" s="104"/>
      <c r="E2434" s="104"/>
      <c r="F2434" s="104"/>
      <c r="G2434" s="104"/>
      <c r="H2434" s="104"/>
      <c r="I2434" s="104"/>
      <c r="J2434" s="104"/>
      <c r="K2434" s="104"/>
      <c r="L2434" s="104"/>
      <c r="M2434" s="104"/>
      <c r="N2434" s="104"/>
      <c r="O2434" s="104"/>
      <c r="P2434" s="104"/>
      <c r="Q2434" s="104"/>
      <c r="R2434" s="104"/>
      <c r="S2434" s="104"/>
    </row>
    <row r="2435" spans="4:19">
      <c r="D2435" s="104"/>
      <c r="E2435" s="104"/>
      <c r="F2435" s="104"/>
      <c r="G2435" s="104"/>
      <c r="H2435" s="104"/>
      <c r="I2435" s="104"/>
      <c r="J2435" s="104"/>
      <c r="K2435" s="104"/>
      <c r="L2435" s="104"/>
      <c r="M2435" s="104"/>
      <c r="N2435" s="104"/>
      <c r="O2435" s="104"/>
      <c r="P2435" s="104"/>
      <c r="Q2435" s="104"/>
      <c r="R2435" s="104"/>
      <c r="S2435" s="104"/>
    </row>
    <row r="2436" spans="4:19">
      <c r="D2436" s="104"/>
      <c r="E2436" s="104"/>
      <c r="F2436" s="104"/>
      <c r="G2436" s="104"/>
      <c r="H2436" s="104"/>
      <c r="I2436" s="104"/>
      <c r="J2436" s="104"/>
      <c r="K2436" s="104"/>
      <c r="L2436" s="104"/>
      <c r="M2436" s="104"/>
      <c r="N2436" s="104"/>
      <c r="O2436" s="104"/>
      <c r="P2436" s="104"/>
      <c r="Q2436" s="104"/>
      <c r="R2436" s="104"/>
      <c r="S2436" s="104"/>
    </row>
    <row r="2437" spans="4:19">
      <c r="D2437" s="104"/>
      <c r="E2437" s="104"/>
      <c r="F2437" s="104"/>
      <c r="G2437" s="104"/>
      <c r="H2437" s="104"/>
      <c r="I2437" s="104"/>
      <c r="J2437" s="104"/>
      <c r="K2437" s="104"/>
      <c r="L2437" s="104"/>
      <c r="M2437" s="104"/>
      <c r="N2437" s="104"/>
      <c r="O2437" s="104"/>
      <c r="P2437" s="104"/>
      <c r="Q2437" s="104"/>
      <c r="R2437" s="104"/>
      <c r="S2437" s="104"/>
    </row>
    <row r="2438" spans="4:19">
      <c r="D2438" s="104"/>
      <c r="E2438" s="104"/>
      <c r="F2438" s="104"/>
      <c r="G2438" s="104"/>
      <c r="H2438" s="104"/>
      <c r="I2438" s="104"/>
      <c r="J2438" s="104"/>
      <c r="K2438" s="104"/>
      <c r="L2438" s="104"/>
      <c r="M2438" s="104"/>
      <c r="N2438" s="104"/>
      <c r="O2438" s="104"/>
      <c r="P2438" s="104"/>
      <c r="Q2438" s="104"/>
      <c r="R2438" s="104"/>
      <c r="S2438" s="104"/>
    </row>
    <row r="2439" spans="4:19">
      <c r="D2439" s="104"/>
      <c r="E2439" s="104"/>
      <c r="F2439" s="104"/>
      <c r="G2439" s="104"/>
      <c r="H2439" s="104"/>
      <c r="I2439" s="104"/>
      <c r="J2439" s="104"/>
      <c r="K2439" s="104"/>
      <c r="L2439" s="104"/>
      <c r="M2439" s="104"/>
      <c r="N2439" s="104"/>
      <c r="O2439" s="104"/>
      <c r="P2439" s="104"/>
      <c r="Q2439" s="104"/>
      <c r="R2439" s="104"/>
      <c r="S2439" s="104"/>
    </row>
    <row r="2440" spans="4:19">
      <c r="D2440" s="104"/>
      <c r="E2440" s="104"/>
      <c r="F2440" s="104"/>
      <c r="G2440" s="104"/>
      <c r="H2440" s="104"/>
      <c r="I2440" s="104"/>
      <c r="J2440" s="104"/>
      <c r="K2440" s="104"/>
      <c r="L2440" s="104"/>
      <c r="M2440" s="104"/>
      <c r="N2440" s="104"/>
      <c r="O2440" s="104"/>
      <c r="P2440" s="104"/>
      <c r="Q2440" s="104"/>
      <c r="R2440" s="104"/>
      <c r="S2440" s="104"/>
    </row>
    <row r="2441" spans="4:19">
      <c r="D2441" s="104"/>
      <c r="E2441" s="104"/>
      <c r="F2441" s="104"/>
      <c r="G2441" s="104"/>
      <c r="H2441" s="104"/>
      <c r="I2441" s="104"/>
      <c r="J2441" s="104"/>
      <c r="K2441" s="104"/>
      <c r="L2441" s="104"/>
      <c r="M2441" s="104"/>
      <c r="N2441" s="104"/>
      <c r="O2441" s="104"/>
      <c r="P2441" s="104"/>
      <c r="Q2441" s="104"/>
      <c r="R2441" s="104"/>
      <c r="S2441" s="104"/>
    </row>
    <row r="2442" spans="4:19">
      <c r="D2442" s="104"/>
      <c r="E2442" s="104"/>
      <c r="F2442" s="104"/>
      <c r="G2442" s="104"/>
      <c r="H2442" s="104"/>
      <c r="I2442" s="104"/>
      <c r="J2442" s="104"/>
      <c r="K2442" s="104"/>
      <c r="L2442" s="104"/>
      <c r="M2442" s="104"/>
      <c r="N2442" s="104"/>
      <c r="O2442" s="104"/>
      <c r="P2442" s="104"/>
      <c r="Q2442" s="104"/>
      <c r="R2442" s="104"/>
      <c r="S2442" s="104"/>
    </row>
    <row r="2443" spans="4:19">
      <c r="D2443" s="104"/>
      <c r="E2443" s="104"/>
      <c r="F2443" s="104"/>
      <c r="G2443" s="104"/>
      <c r="H2443" s="104"/>
      <c r="I2443" s="104"/>
      <c r="J2443" s="104"/>
      <c r="K2443" s="104"/>
      <c r="L2443" s="104"/>
      <c r="M2443" s="104"/>
      <c r="N2443" s="104"/>
      <c r="O2443" s="104"/>
      <c r="P2443" s="104"/>
      <c r="Q2443" s="104"/>
      <c r="R2443" s="104"/>
      <c r="S2443" s="104"/>
    </row>
    <row r="2444" spans="4:19">
      <c r="D2444" s="104"/>
      <c r="E2444" s="104"/>
      <c r="F2444" s="104"/>
      <c r="G2444" s="104"/>
      <c r="H2444" s="104"/>
      <c r="I2444" s="104"/>
      <c r="J2444" s="104"/>
      <c r="K2444" s="104"/>
      <c r="L2444" s="104"/>
      <c r="M2444" s="104"/>
      <c r="N2444" s="104"/>
      <c r="O2444" s="104"/>
      <c r="P2444" s="104"/>
      <c r="Q2444" s="104"/>
      <c r="R2444" s="104"/>
      <c r="S2444" s="104"/>
    </row>
    <row r="2445" spans="4:19">
      <c r="D2445" s="104"/>
      <c r="E2445" s="104"/>
      <c r="F2445" s="104"/>
      <c r="G2445" s="104"/>
      <c r="H2445" s="104"/>
      <c r="I2445" s="104"/>
      <c r="J2445" s="104"/>
      <c r="K2445" s="104"/>
      <c r="L2445" s="104"/>
      <c r="M2445" s="104"/>
      <c r="N2445" s="104"/>
      <c r="O2445" s="104"/>
      <c r="P2445" s="104"/>
      <c r="Q2445" s="104"/>
      <c r="R2445" s="104"/>
      <c r="S2445" s="104"/>
    </row>
    <row r="2446" spans="4:19">
      <c r="D2446" s="104"/>
      <c r="E2446" s="104"/>
      <c r="F2446" s="104"/>
      <c r="G2446" s="104"/>
      <c r="H2446" s="104"/>
      <c r="I2446" s="104"/>
      <c r="J2446" s="104"/>
      <c r="K2446" s="104"/>
      <c r="L2446" s="104"/>
      <c r="M2446" s="104"/>
      <c r="N2446" s="104"/>
      <c r="O2446" s="104"/>
      <c r="P2446" s="104"/>
      <c r="Q2446" s="104"/>
      <c r="R2446" s="104"/>
      <c r="S2446" s="104"/>
    </row>
    <row r="2447" spans="4:19">
      <c r="D2447" s="104"/>
      <c r="E2447" s="104"/>
      <c r="F2447" s="104"/>
      <c r="G2447" s="104"/>
      <c r="H2447" s="104"/>
      <c r="I2447" s="104"/>
      <c r="J2447" s="104"/>
      <c r="K2447" s="104"/>
      <c r="L2447" s="104"/>
      <c r="M2447" s="104"/>
      <c r="N2447" s="104"/>
      <c r="O2447" s="104"/>
      <c r="P2447" s="104"/>
      <c r="Q2447" s="104"/>
      <c r="R2447" s="104"/>
      <c r="S2447" s="104"/>
    </row>
    <row r="2448" spans="4:19">
      <c r="D2448" s="104"/>
      <c r="E2448" s="104"/>
      <c r="F2448" s="104"/>
      <c r="G2448" s="104"/>
      <c r="H2448" s="104"/>
      <c r="I2448" s="104"/>
      <c r="J2448" s="104"/>
      <c r="K2448" s="104"/>
      <c r="L2448" s="104"/>
      <c r="M2448" s="104"/>
      <c r="N2448" s="104"/>
      <c r="O2448" s="104"/>
      <c r="P2448" s="104"/>
      <c r="Q2448" s="104"/>
      <c r="R2448" s="104"/>
      <c r="S2448" s="104"/>
    </row>
    <row r="2449" spans="4:19">
      <c r="D2449" s="104"/>
      <c r="E2449" s="104"/>
      <c r="F2449" s="104"/>
      <c r="G2449" s="104"/>
      <c r="H2449" s="104"/>
      <c r="I2449" s="104"/>
      <c r="J2449" s="104"/>
      <c r="K2449" s="104"/>
      <c r="L2449" s="104"/>
      <c r="M2449" s="104"/>
      <c r="N2449" s="104"/>
      <c r="O2449" s="104"/>
      <c r="P2449" s="104"/>
      <c r="Q2449" s="104"/>
      <c r="R2449" s="104"/>
      <c r="S2449" s="104"/>
    </row>
    <row r="2450" spans="4:19">
      <c r="D2450" s="104"/>
      <c r="E2450" s="104"/>
      <c r="F2450" s="104"/>
      <c r="G2450" s="104"/>
      <c r="H2450" s="104"/>
      <c r="I2450" s="104"/>
      <c r="J2450" s="104"/>
      <c r="K2450" s="104"/>
      <c r="L2450" s="104"/>
      <c r="M2450" s="104"/>
      <c r="N2450" s="104"/>
      <c r="O2450" s="104"/>
      <c r="P2450" s="104"/>
      <c r="Q2450" s="104"/>
      <c r="R2450" s="104"/>
      <c r="S2450" s="104"/>
    </row>
    <row r="2451" spans="4:19">
      <c r="D2451" s="104"/>
      <c r="E2451" s="104"/>
      <c r="F2451" s="104"/>
      <c r="G2451" s="104"/>
      <c r="H2451" s="104"/>
      <c r="I2451" s="104"/>
      <c r="J2451" s="104"/>
      <c r="K2451" s="104"/>
      <c r="L2451" s="104"/>
      <c r="M2451" s="104"/>
      <c r="N2451" s="104"/>
      <c r="O2451" s="104"/>
      <c r="P2451" s="104"/>
      <c r="Q2451" s="104"/>
      <c r="R2451" s="104"/>
      <c r="S2451" s="104"/>
    </row>
    <row r="2452" spans="4:19">
      <c r="D2452" s="104"/>
      <c r="E2452" s="104"/>
      <c r="F2452" s="104"/>
      <c r="G2452" s="104"/>
      <c r="H2452" s="104"/>
      <c r="I2452" s="104"/>
      <c r="J2452" s="104"/>
      <c r="K2452" s="104"/>
      <c r="L2452" s="104"/>
      <c r="M2452" s="104"/>
      <c r="N2452" s="104"/>
      <c r="O2452" s="104"/>
      <c r="P2452" s="104"/>
      <c r="Q2452" s="104"/>
      <c r="R2452" s="104"/>
      <c r="S2452" s="104"/>
    </row>
    <row r="2453" spans="4:19">
      <c r="D2453" s="104"/>
      <c r="E2453" s="104"/>
      <c r="F2453" s="104"/>
      <c r="G2453" s="104"/>
      <c r="H2453" s="104"/>
      <c r="I2453" s="104"/>
      <c r="J2453" s="104"/>
      <c r="K2453" s="104"/>
      <c r="L2453" s="104"/>
      <c r="M2453" s="104"/>
      <c r="N2453" s="104"/>
      <c r="O2453" s="104"/>
      <c r="P2453" s="104"/>
      <c r="Q2453" s="104"/>
      <c r="R2453" s="104"/>
      <c r="S2453" s="104"/>
    </row>
    <row r="2454" spans="4:19">
      <c r="D2454" s="104"/>
      <c r="E2454" s="104"/>
      <c r="F2454" s="104"/>
      <c r="G2454" s="104"/>
      <c r="H2454" s="104"/>
      <c r="I2454" s="104"/>
      <c r="J2454" s="104"/>
      <c r="K2454" s="104"/>
      <c r="L2454" s="104"/>
      <c r="M2454" s="104"/>
      <c r="N2454" s="104"/>
      <c r="O2454" s="104"/>
      <c r="P2454" s="104"/>
      <c r="Q2454" s="104"/>
      <c r="R2454" s="104"/>
      <c r="S2454" s="104"/>
    </row>
    <row r="2455" spans="4:19">
      <c r="D2455" s="104"/>
      <c r="E2455" s="104"/>
      <c r="F2455" s="104"/>
      <c r="G2455" s="104"/>
      <c r="H2455" s="104"/>
      <c r="I2455" s="104"/>
      <c r="J2455" s="104"/>
      <c r="K2455" s="104"/>
      <c r="L2455" s="104"/>
      <c r="M2455" s="104"/>
      <c r="N2455" s="104"/>
      <c r="O2455" s="104"/>
      <c r="P2455" s="104"/>
      <c r="Q2455" s="104"/>
      <c r="R2455" s="104"/>
      <c r="S2455" s="104"/>
    </row>
    <row r="2456" spans="4:19">
      <c r="D2456" s="104"/>
      <c r="E2456" s="104"/>
      <c r="F2456" s="104"/>
      <c r="G2456" s="104"/>
      <c r="H2456" s="104"/>
      <c r="I2456" s="104"/>
      <c r="J2456" s="104"/>
      <c r="K2456" s="104"/>
      <c r="L2456" s="104"/>
      <c r="M2456" s="104"/>
      <c r="N2456" s="104"/>
      <c r="O2456" s="104"/>
      <c r="P2456" s="104"/>
      <c r="Q2456" s="104"/>
      <c r="R2456" s="104"/>
      <c r="S2456" s="104"/>
    </row>
    <row r="2457" spans="4:19">
      <c r="D2457" s="104"/>
      <c r="E2457" s="104"/>
      <c r="F2457" s="104"/>
      <c r="G2457" s="104"/>
      <c r="H2457" s="104"/>
      <c r="I2457" s="104"/>
      <c r="J2457" s="104"/>
      <c r="K2457" s="104"/>
      <c r="L2457" s="104"/>
      <c r="M2457" s="104"/>
      <c r="N2457" s="104"/>
      <c r="O2457" s="104"/>
      <c r="P2457" s="104"/>
      <c r="Q2457" s="104"/>
      <c r="R2457" s="104"/>
      <c r="S2457" s="104"/>
    </row>
    <row r="2458" spans="4:19">
      <c r="D2458" s="104"/>
      <c r="E2458" s="104"/>
      <c r="F2458" s="104"/>
      <c r="G2458" s="104"/>
      <c r="H2458" s="104"/>
      <c r="I2458" s="104"/>
      <c r="J2458" s="104"/>
      <c r="K2458" s="104"/>
      <c r="L2458" s="104"/>
      <c r="M2458" s="104"/>
      <c r="N2458" s="104"/>
      <c r="O2458" s="104"/>
      <c r="P2458" s="104"/>
      <c r="Q2458" s="104"/>
      <c r="R2458" s="104"/>
      <c r="S2458" s="104"/>
    </row>
    <row r="2459" spans="4:19">
      <c r="D2459" s="104"/>
      <c r="E2459" s="104"/>
      <c r="F2459" s="104"/>
      <c r="G2459" s="104"/>
      <c r="H2459" s="104"/>
      <c r="I2459" s="104"/>
      <c r="J2459" s="104"/>
      <c r="K2459" s="104"/>
      <c r="L2459" s="104"/>
      <c r="M2459" s="104"/>
      <c r="N2459" s="104"/>
      <c r="O2459" s="104"/>
      <c r="P2459" s="104"/>
      <c r="Q2459" s="104"/>
      <c r="R2459" s="104"/>
      <c r="S2459" s="104"/>
    </row>
    <row r="2460" spans="4:19">
      <c r="D2460" s="104"/>
      <c r="E2460" s="104"/>
      <c r="F2460" s="104"/>
      <c r="G2460" s="104"/>
      <c r="H2460" s="104"/>
      <c r="I2460" s="104"/>
      <c r="J2460" s="104"/>
      <c r="K2460" s="104"/>
      <c r="L2460" s="104"/>
      <c r="M2460" s="104"/>
      <c r="N2460" s="104"/>
      <c r="O2460" s="104"/>
      <c r="P2460" s="104"/>
      <c r="Q2460" s="104"/>
      <c r="R2460" s="104"/>
      <c r="S2460" s="104"/>
    </row>
    <row r="2461" spans="4:19">
      <c r="D2461" s="104"/>
      <c r="E2461" s="104"/>
      <c r="F2461" s="104"/>
      <c r="G2461" s="104"/>
      <c r="H2461" s="104"/>
      <c r="I2461" s="104"/>
      <c r="J2461" s="104"/>
      <c r="K2461" s="104"/>
      <c r="L2461" s="104"/>
      <c r="M2461" s="104"/>
      <c r="N2461" s="104"/>
      <c r="O2461" s="104"/>
      <c r="P2461" s="104"/>
      <c r="Q2461" s="104"/>
      <c r="R2461" s="104"/>
      <c r="S2461" s="104"/>
    </row>
    <row r="2462" spans="4:19">
      <c r="D2462" s="104"/>
      <c r="E2462" s="104"/>
      <c r="F2462" s="104"/>
      <c r="G2462" s="104"/>
      <c r="H2462" s="104"/>
      <c r="I2462" s="104"/>
      <c r="J2462" s="104"/>
      <c r="K2462" s="104"/>
      <c r="L2462" s="104"/>
      <c r="M2462" s="104"/>
      <c r="N2462" s="104"/>
      <c r="O2462" s="104"/>
      <c r="P2462" s="104"/>
      <c r="Q2462" s="104"/>
      <c r="R2462" s="104"/>
      <c r="S2462" s="104"/>
    </row>
    <row r="2463" spans="4:19">
      <c r="D2463" s="104"/>
      <c r="E2463" s="104"/>
      <c r="F2463" s="104"/>
      <c r="G2463" s="104"/>
      <c r="H2463" s="104"/>
      <c r="I2463" s="104"/>
      <c r="J2463" s="104"/>
      <c r="K2463" s="104"/>
      <c r="L2463" s="104"/>
      <c r="M2463" s="104"/>
      <c r="N2463" s="104"/>
      <c r="O2463" s="104"/>
      <c r="P2463" s="104"/>
      <c r="Q2463" s="104"/>
      <c r="R2463" s="104"/>
      <c r="S2463" s="104"/>
    </row>
    <row r="2464" spans="4:19">
      <c r="D2464" s="104"/>
      <c r="E2464" s="104"/>
      <c r="F2464" s="104"/>
      <c r="G2464" s="104"/>
      <c r="H2464" s="104"/>
      <c r="I2464" s="104"/>
      <c r="J2464" s="104"/>
      <c r="K2464" s="104"/>
      <c r="L2464" s="104"/>
      <c r="M2464" s="104"/>
      <c r="N2464" s="104"/>
      <c r="O2464" s="104"/>
      <c r="P2464" s="104"/>
      <c r="Q2464" s="104"/>
      <c r="R2464" s="104"/>
      <c r="S2464" s="104"/>
    </row>
    <row r="2465" spans="4:19">
      <c r="D2465" s="104"/>
      <c r="E2465" s="104"/>
      <c r="F2465" s="104"/>
      <c r="G2465" s="104"/>
      <c r="H2465" s="104"/>
      <c r="I2465" s="104"/>
      <c r="J2465" s="104"/>
      <c r="K2465" s="104"/>
      <c r="L2465" s="104"/>
      <c r="M2465" s="104"/>
      <c r="N2465" s="104"/>
      <c r="O2465" s="104"/>
      <c r="P2465" s="104"/>
      <c r="Q2465" s="104"/>
      <c r="R2465" s="104"/>
      <c r="S2465" s="104"/>
    </row>
    <row r="2466" spans="4:19">
      <c r="D2466" s="104"/>
      <c r="E2466" s="104"/>
      <c r="F2466" s="104"/>
      <c r="G2466" s="104"/>
      <c r="H2466" s="104"/>
      <c r="I2466" s="104"/>
      <c r="J2466" s="104"/>
      <c r="K2466" s="104"/>
      <c r="L2466" s="104"/>
      <c r="M2466" s="104"/>
      <c r="N2466" s="104"/>
      <c r="O2466" s="104"/>
      <c r="P2466" s="104"/>
      <c r="Q2466" s="104"/>
      <c r="R2466" s="104"/>
      <c r="S2466" s="104"/>
    </row>
    <row r="2467" spans="4:19">
      <c r="D2467" s="104"/>
      <c r="E2467" s="104"/>
      <c r="F2467" s="104"/>
      <c r="G2467" s="104"/>
      <c r="H2467" s="104"/>
      <c r="I2467" s="104"/>
      <c r="J2467" s="104"/>
      <c r="K2467" s="104"/>
      <c r="L2467" s="104"/>
      <c r="M2467" s="104"/>
      <c r="N2467" s="104"/>
      <c r="O2467" s="104"/>
      <c r="P2467" s="104"/>
      <c r="Q2467" s="104"/>
      <c r="R2467" s="104"/>
      <c r="S2467" s="104"/>
    </row>
    <row r="2468" spans="4:19">
      <c r="D2468" s="104"/>
      <c r="E2468" s="104"/>
      <c r="F2468" s="104"/>
      <c r="G2468" s="104"/>
      <c r="H2468" s="104"/>
      <c r="I2468" s="104"/>
      <c r="J2468" s="104"/>
      <c r="K2468" s="104"/>
      <c r="L2468" s="104"/>
      <c r="M2468" s="104"/>
      <c r="N2468" s="104"/>
      <c r="O2468" s="104"/>
      <c r="P2468" s="104"/>
      <c r="Q2468" s="104"/>
      <c r="R2468" s="104"/>
      <c r="S2468" s="104"/>
    </row>
    <row r="2469" spans="4:19">
      <c r="D2469" s="104"/>
      <c r="E2469" s="104"/>
      <c r="F2469" s="104"/>
      <c r="G2469" s="104"/>
      <c r="H2469" s="104"/>
      <c r="I2469" s="104"/>
      <c r="J2469" s="104"/>
      <c r="K2469" s="104"/>
      <c r="L2469" s="104"/>
      <c r="M2469" s="104"/>
      <c r="N2469" s="104"/>
      <c r="O2469" s="104"/>
      <c r="P2469" s="104"/>
      <c r="Q2469" s="104"/>
      <c r="R2469" s="104"/>
      <c r="S2469" s="104"/>
    </row>
    <row r="2470" spans="4:19">
      <c r="D2470" s="104"/>
      <c r="E2470" s="104"/>
      <c r="F2470" s="104"/>
      <c r="G2470" s="104"/>
      <c r="H2470" s="104"/>
      <c r="I2470" s="104"/>
      <c r="J2470" s="104"/>
      <c r="K2470" s="104"/>
      <c r="L2470" s="104"/>
      <c r="M2470" s="104"/>
      <c r="N2470" s="104"/>
      <c r="O2470" s="104"/>
      <c r="P2470" s="104"/>
      <c r="Q2470" s="104"/>
      <c r="R2470" s="104"/>
      <c r="S2470" s="104"/>
    </row>
    <row r="2471" spans="4:19">
      <c r="D2471" s="104"/>
      <c r="E2471" s="104"/>
      <c r="F2471" s="104"/>
      <c r="G2471" s="104"/>
      <c r="H2471" s="104"/>
      <c r="I2471" s="104"/>
      <c r="J2471" s="104"/>
      <c r="K2471" s="104"/>
      <c r="L2471" s="104"/>
      <c r="M2471" s="104"/>
      <c r="N2471" s="104"/>
      <c r="O2471" s="104"/>
      <c r="P2471" s="104"/>
      <c r="Q2471" s="104"/>
      <c r="R2471" s="104"/>
      <c r="S2471" s="104"/>
    </row>
    <row r="2472" spans="4:19">
      <c r="D2472" s="104"/>
      <c r="E2472" s="104"/>
      <c r="F2472" s="104"/>
      <c r="G2472" s="104"/>
      <c r="H2472" s="104"/>
      <c r="I2472" s="104"/>
      <c r="J2472" s="104"/>
      <c r="K2472" s="104"/>
      <c r="L2472" s="104"/>
      <c r="M2472" s="104"/>
      <c r="N2472" s="104"/>
      <c r="O2472" s="104"/>
      <c r="P2472" s="104"/>
      <c r="Q2472" s="104"/>
      <c r="R2472" s="104"/>
      <c r="S2472" s="104"/>
    </row>
    <row r="2473" spans="4:19">
      <c r="D2473" s="104"/>
      <c r="E2473" s="104"/>
      <c r="F2473" s="104"/>
      <c r="G2473" s="104"/>
      <c r="H2473" s="104"/>
      <c r="I2473" s="104"/>
      <c r="J2473" s="104"/>
      <c r="K2473" s="104"/>
      <c r="L2473" s="104"/>
      <c r="M2473" s="104"/>
      <c r="N2473" s="104"/>
      <c r="O2473" s="104"/>
      <c r="P2473" s="104"/>
      <c r="Q2473" s="104"/>
      <c r="R2473" s="104"/>
      <c r="S2473" s="104"/>
    </row>
    <row r="2474" spans="4:19">
      <c r="D2474" s="104"/>
      <c r="E2474" s="104"/>
      <c r="F2474" s="104"/>
      <c r="G2474" s="104"/>
      <c r="H2474" s="104"/>
      <c r="I2474" s="104"/>
      <c r="J2474" s="104"/>
      <c r="K2474" s="104"/>
      <c r="L2474" s="104"/>
      <c r="M2474" s="104"/>
      <c r="N2474" s="104"/>
      <c r="O2474" s="104"/>
      <c r="P2474" s="104"/>
      <c r="Q2474" s="104"/>
      <c r="R2474" s="104"/>
      <c r="S2474" s="104"/>
    </row>
    <row r="2475" spans="4:19">
      <c r="D2475" s="104"/>
      <c r="E2475" s="104"/>
      <c r="F2475" s="104"/>
      <c r="G2475" s="104"/>
      <c r="H2475" s="104"/>
      <c r="I2475" s="104"/>
      <c r="J2475" s="104"/>
      <c r="K2475" s="104"/>
      <c r="L2475" s="104"/>
      <c r="M2475" s="104"/>
      <c r="N2475" s="104"/>
      <c r="O2475" s="104"/>
      <c r="P2475" s="104"/>
      <c r="Q2475" s="104"/>
      <c r="R2475" s="104"/>
      <c r="S2475" s="104"/>
    </row>
    <row r="2476" spans="4:19">
      <c r="D2476" s="104"/>
      <c r="E2476" s="104"/>
      <c r="F2476" s="104"/>
      <c r="G2476" s="104"/>
      <c r="H2476" s="104"/>
      <c r="I2476" s="104"/>
      <c r="J2476" s="104"/>
      <c r="K2476" s="104"/>
      <c r="L2476" s="104"/>
      <c r="M2476" s="104"/>
      <c r="N2476" s="104"/>
      <c r="O2476" s="104"/>
      <c r="P2476" s="104"/>
      <c r="Q2476" s="104"/>
      <c r="R2476" s="104"/>
      <c r="S2476" s="104"/>
    </row>
    <row r="2477" spans="4:19">
      <c r="D2477" s="104"/>
      <c r="E2477" s="104"/>
      <c r="F2477" s="104"/>
      <c r="G2477" s="104"/>
      <c r="H2477" s="104"/>
      <c r="I2477" s="104"/>
      <c r="J2477" s="104"/>
      <c r="K2477" s="104"/>
      <c r="L2477" s="104"/>
      <c r="M2477" s="104"/>
      <c r="N2477" s="104"/>
      <c r="O2477" s="104"/>
      <c r="P2477" s="104"/>
      <c r="Q2477" s="104"/>
      <c r="R2477" s="104"/>
      <c r="S2477" s="104"/>
    </row>
    <row r="2478" spans="4:19">
      <c r="D2478" s="104"/>
      <c r="E2478" s="104"/>
      <c r="F2478" s="104"/>
      <c r="G2478" s="104"/>
      <c r="H2478" s="104"/>
      <c r="I2478" s="104"/>
      <c r="J2478" s="104"/>
      <c r="K2478" s="104"/>
      <c r="L2478" s="104"/>
      <c r="M2478" s="104"/>
      <c r="N2478" s="104"/>
      <c r="O2478" s="104"/>
      <c r="P2478" s="104"/>
      <c r="Q2478" s="104"/>
      <c r="R2478" s="104"/>
      <c r="S2478" s="104"/>
    </row>
    <row r="2479" spans="4:19">
      <c r="D2479" s="104"/>
      <c r="E2479" s="104"/>
      <c r="F2479" s="104"/>
      <c r="G2479" s="104"/>
      <c r="H2479" s="104"/>
      <c r="I2479" s="104"/>
      <c r="J2479" s="104"/>
      <c r="K2479" s="104"/>
      <c r="L2479" s="104"/>
      <c r="M2479" s="104"/>
      <c r="N2479" s="104"/>
      <c r="O2479" s="104"/>
      <c r="P2479" s="104"/>
      <c r="Q2479" s="104"/>
      <c r="R2479" s="104"/>
      <c r="S2479" s="104"/>
    </row>
    <row r="2480" spans="4:19">
      <c r="D2480" s="104"/>
      <c r="E2480" s="104"/>
      <c r="F2480" s="104"/>
      <c r="G2480" s="104"/>
      <c r="H2480" s="104"/>
      <c r="I2480" s="104"/>
      <c r="J2480" s="104"/>
      <c r="K2480" s="104"/>
      <c r="L2480" s="104"/>
      <c r="M2480" s="104"/>
      <c r="N2480" s="104"/>
      <c r="O2480" s="104"/>
      <c r="P2480" s="104"/>
      <c r="Q2480" s="104"/>
      <c r="R2480" s="104"/>
      <c r="S2480" s="104"/>
    </row>
    <row r="2481" spans="4:19">
      <c r="D2481" s="104"/>
      <c r="E2481" s="104"/>
      <c r="F2481" s="104"/>
      <c r="G2481" s="104"/>
      <c r="H2481" s="104"/>
      <c r="I2481" s="104"/>
      <c r="J2481" s="104"/>
      <c r="K2481" s="104"/>
      <c r="L2481" s="104"/>
      <c r="M2481" s="104"/>
      <c r="N2481" s="104"/>
      <c r="O2481" s="104"/>
      <c r="P2481" s="104"/>
      <c r="Q2481" s="104"/>
      <c r="R2481" s="104"/>
      <c r="S2481" s="104"/>
    </row>
    <row r="2482" spans="4:19">
      <c r="D2482" s="104"/>
      <c r="E2482" s="104"/>
      <c r="F2482" s="104"/>
      <c r="G2482" s="104"/>
      <c r="H2482" s="104"/>
      <c r="I2482" s="104"/>
      <c r="J2482" s="104"/>
      <c r="K2482" s="104"/>
      <c r="L2482" s="104"/>
      <c r="M2482" s="104"/>
      <c r="N2482" s="104"/>
      <c r="O2482" s="104"/>
      <c r="P2482" s="104"/>
      <c r="Q2482" s="104"/>
      <c r="R2482" s="104"/>
      <c r="S2482" s="104"/>
    </row>
    <row r="2483" spans="4:19">
      <c r="D2483" s="104"/>
      <c r="E2483" s="104"/>
      <c r="F2483" s="104"/>
      <c r="G2483" s="104"/>
      <c r="H2483" s="104"/>
      <c r="I2483" s="104"/>
      <c r="J2483" s="104"/>
      <c r="K2483" s="104"/>
      <c r="L2483" s="104"/>
      <c r="M2483" s="104"/>
      <c r="N2483" s="104"/>
      <c r="O2483" s="104"/>
      <c r="P2483" s="104"/>
      <c r="Q2483" s="104"/>
      <c r="R2483" s="104"/>
      <c r="S2483" s="104"/>
    </row>
    <row r="2484" spans="4:19">
      <c r="D2484" s="104"/>
      <c r="E2484" s="104"/>
      <c r="F2484" s="104"/>
      <c r="G2484" s="104"/>
      <c r="H2484" s="104"/>
      <c r="I2484" s="104"/>
      <c r="J2484" s="104"/>
      <c r="K2484" s="104"/>
      <c r="L2484" s="104"/>
      <c r="M2484" s="104"/>
      <c r="N2484" s="104"/>
      <c r="O2484" s="104"/>
      <c r="P2484" s="104"/>
      <c r="Q2484" s="104"/>
      <c r="R2484" s="104"/>
      <c r="S2484" s="104"/>
    </row>
    <row r="2485" spans="4:19">
      <c r="D2485" s="104"/>
      <c r="E2485" s="104"/>
      <c r="F2485" s="104"/>
      <c r="G2485" s="104"/>
      <c r="H2485" s="104"/>
      <c r="I2485" s="104"/>
      <c r="J2485" s="104"/>
      <c r="K2485" s="104"/>
      <c r="L2485" s="104"/>
      <c r="M2485" s="104"/>
      <c r="N2485" s="104"/>
      <c r="O2485" s="104"/>
      <c r="P2485" s="104"/>
      <c r="Q2485" s="104"/>
      <c r="R2485" s="104"/>
      <c r="S2485" s="104"/>
    </row>
    <row r="2486" spans="4:19">
      <c r="D2486" s="104"/>
      <c r="E2486" s="104"/>
      <c r="F2486" s="104"/>
      <c r="G2486" s="104"/>
      <c r="H2486" s="104"/>
      <c r="I2486" s="104"/>
      <c r="J2486" s="104"/>
      <c r="K2486" s="104"/>
      <c r="L2486" s="104"/>
      <c r="M2486" s="104"/>
      <c r="N2486" s="104"/>
      <c r="O2486" s="104"/>
      <c r="P2486" s="104"/>
      <c r="Q2486" s="104"/>
      <c r="R2486" s="104"/>
      <c r="S2486" s="104"/>
    </row>
    <row r="2487" spans="4:19">
      <c r="D2487" s="104"/>
      <c r="E2487" s="104"/>
      <c r="F2487" s="104"/>
      <c r="G2487" s="104"/>
      <c r="H2487" s="104"/>
      <c r="I2487" s="104"/>
      <c r="J2487" s="104"/>
      <c r="K2487" s="104"/>
      <c r="L2487" s="104"/>
      <c r="M2487" s="104"/>
      <c r="N2487" s="104"/>
      <c r="O2487" s="104"/>
      <c r="P2487" s="104"/>
      <c r="Q2487" s="104"/>
      <c r="R2487" s="104"/>
      <c r="S2487" s="104"/>
    </row>
    <row r="2488" spans="4:19">
      <c r="D2488" s="104"/>
      <c r="E2488" s="104"/>
      <c r="F2488" s="104"/>
      <c r="G2488" s="104"/>
      <c r="H2488" s="104"/>
      <c r="I2488" s="104"/>
      <c r="J2488" s="104"/>
      <c r="K2488" s="104"/>
      <c r="L2488" s="104"/>
      <c r="M2488" s="104"/>
      <c r="N2488" s="104"/>
      <c r="O2488" s="104"/>
      <c r="P2488" s="104"/>
      <c r="Q2488" s="104"/>
      <c r="R2488" s="104"/>
      <c r="S2488" s="104"/>
    </row>
    <row r="2489" spans="4:19">
      <c r="D2489" s="104"/>
      <c r="E2489" s="104"/>
      <c r="F2489" s="104"/>
      <c r="G2489" s="104"/>
      <c r="H2489" s="104"/>
      <c r="I2489" s="104"/>
      <c r="J2489" s="104"/>
      <c r="K2489" s="104"/>
      <c r="L2489" s="104"/>
      <c r="M2489" s="104"/>
      <c r="N2489" s="104"/>
      <c r="O2489" s="104"/>
      <c r="P2489" s="104"/>
      <c r="Q2489" s="104"/>
      <c r="R2489" s="104"/>
      <c r="S2489" s="104"/>
    </row>
    <row r="2490" spans="4:19">
      <c r="D2490" s="104"/>
      <c r="E2490" s="104"/>
      <c r="F2490" s="104"/>
      <c r="G2490" s="104"/>
      <c r="H2490" s="104"/>
      <c r="I2490" s="104"/>
      <c r="J2490" s="104"/>
      <c r="K2490" s="104"/>
      <c r="L2490" s="104"/>
      <c r="M2490" s="104"/>
      <c r="N2490" s="104"/>
      <c r="O2490" s="104"/>
      <c r="P2490" s="104"/>
      <c r="Q2490" s="104"/>
      <c r="R2490" s="104"/>
      <c r="S2490" s="104"/>
    </row>
    <row r="2491" spans="4:19">
      <c r="D2491" s="104"/>
      <c r="E2491" s="104"/>
      <c r="F2491" s="104"/>
      <c r="G2491" s="104"/>
      <c r="H2491" s="104"/>
      <c r="I2491" s="104"/>
      <c r="J2491" s="104"/>
      <c r="K2491" s="104"/>
      <c r="L2491" s="104"/>
      <c r="M2491" s="104"/>
      <c r="N2491" s="104"/>
      <c r="O2491" s="104"/>
      <c r="P2491" s="104"/>
      <c r="Q2491" s="104"/>
      <c r="R2491" s="104"/>
      <c r="S2491" s="104"/>
    </row>
    <row r="2492" spans="4:19">
      <c r="D2492" s="104"/>
      <c r="E2492" s="104"/>
      <c r="F2492" s="104"/>
      <c r="G2492" s="104"/>
      <c r="H2492" s="104"/>
      <c r="I2492" s="104"/>
      <c r="J2492" s="104"/>
      <c r="K2492" s="104"/>
      <c r="L2492" s="104"/>
      <c r="M2492" s="104"/>
      <c r="N2492" s="104"/>
      <c r="O2492" s="104"/>
      <c r="P2492" s="104"/>
      <c r="Q2492" s="104"/>
      <c r="R2492" s="104"/>
      <c r="S2492" s="104"/>
    </row>
    <row r="2493" spans="4:19">
      <c r="D2493" s="104"/>
      <c r="E2493" s="104"/>
      <c r="F2493" s="104"/>
      <c r="G2493" s="104"/>
      <c r="H2493" s="104"/>
      <c r="I2493" s="104"/>
      <c r="J2493" s="104"/>
      <c r="K2493" s="104"/>
      <c r="L2493" s="104"/>
      <c r="M2493" s="104"/>
      <c r="N2493" s="104"/>
      <c r="O2493" s="104"/>
      <c r="P2493" s="104"/>
      <c r="Q2493" s="104"/>
      <c r="R2493" s="104"/>
      <c r="S2493" s="104"/>
    </row>
    <row r="2494" spans="4:19">
      <c r="D2494" s="104"/>
      <c r="E2494" s="104"/>
      <c r="F2494" s="104"/>
      <c r="G2494" s="104"/>
      <c r="H2494" s="104"/>
      <c r="I2494" s="104"/>
      <c r="J2494" s="104"/>
      <c r="K2494" s="104"/>
      <c r="L2494" s="104"/>
      <c r="M2494" s="104"/>
      <c r="N2494" s="104"/>
      <c r="O2494" s="104"/>
      <c r="P2494" s="104"/>
      <c r="Q2494" s="104"/>
      <c r="R2494" s="104"/>
      <c r="S2494" s="104"/>
    </row>
    <row r="2495" spans="4:19">
      <c r="D2495" s="104"/>
      <c r="E2495" s="104"/>
      <c r="F2495" s="104"/>
      <c r="G2495" s="104"/>
      <c r="H2495" s="104"/>
      <c r="I2495" s="104"/>
      <c r="J2495" s="104"/>
      <c r="K2495" s="104"/>
      <c r="L2495" s="104"/>
      <c r="M2495" s="104"/>
      <c r="N2495" s="104"/>
      <c r="O2495" s="104"/>
      <c r="P2495" s="104"/>
      <c r="Q2495" s="104"/>
      <c r="R2495" s="104"/>
      <c r="S2495" s="104"/>
    </row>
    <row r="2496" spans="4:19">
      <c r="D2496" s="104"/>
      <c r="E2496" s="104"/>
      <c r="F2496" s="104"/>
      <c r="G2496" s="104"/>
      <c r="H2496" s="104"/>
      <c r="I2496" s="104"/>
      <c r="J2496" s="104"/>
      <c r="K2496" s="104"/>
      <c r="L2496" s="104"/>
      <c r="M2496" s="104"/>
      <c r="N2496" s="104"/>
      <c r="O2496" s="104"/>
      <c r="P2496" s="104"/>
      <c r="Q2496" s="104"/>
      <c r="R2496" s="104"/>
      <c r="S2496" s="104"/>
    </row>
    <row r="2497" spans="4:19">
      <c r="D2497" s="104"/>
      <c r="E2497" s="104"/>
      <c r="F2497" s="104"/>
      <c r="G2497" s="104"/>
      <c r="H2497" s="104"/>
      <c r="I2497" s="104"/>
      <c r="J2497" s="104"/>
      <c r="K2497" s="104"/>
      <c r="L2497" s="104"/>
      <c r="M2497" s="104"/>
      <c r="N2497" s="104"/>
      <c r="O2497" s="104"/>
      <c r="P2497" s="104"/>
      <c r="Q2497" s="104"/>
      <c r="R2497" s="104"/>
      <c r="S2497" s="104"/>
    </row>
    <row r="2498" spans="4:19">
      <c r="D2498" s="104"/>
      <c r="E2498" s="104"/>
      <c r="F2498" s="104"/>
      <c r="G2498" s="104"/>
      <c r="H2498" s="104"/>
      <c r="I2498" s="104"/>
      <c r="J2498" s="104"/>
      <c r="K2498" s="104"/>
      <c r="L2498" s="104"/>
      <c r="M2498" s="104"/>
      <c r="N2498" s="104"/>
      <c r="O2498" s="104"/>
      <c r="P2498" s="104"/>
      <c r="Q2498" s="104"/>
      <c r="R2498" s="104"/>
      <c r="S2498" s="104"/>
    </row>
    <row r="2499" spans="4:19">
      <c r="D2499" s="104"/>
      <c r="E2499" s="104"/>
      <c r="F2499" s="104"/>
      <c r="G2499" s="104"/>
      <c r="H2499" s="104"/>
      <c r="I2499" s="104"/>
      <c r="J2499" s="104"/>
      <c r="K2499" s="104"/>
      <c r="L2499" s="104"/>
      <c r="M2499" s="104"/>
      <c r="N2499" s="104"/>
      <c r="O2499" s="104"/>
      <c r="P2499" s="104"/>
      <c r="Q2499" s="104"/>
      <c r="R2499" s="104"/>
      <c r="S2499" s="104"/>
    </row>
    <row r="2500" spans="4:19">
      <c r="D2500" s="104"/>
      <c r="E2500" s="104"/>
      <c r="F2500" s="104"/>
      <c r="G2500" s="104"/>
      <c r="H2500" s="104"/>
      <c r="I2500" s="104"/>
      <c r="J2500" s="104"/>
      <c r="K2500" s="104"/>
      <c r="L2500" s="104"/>
      <c r="M2500" s="104"/>
      <c r="N2500" s="104"/>
      <c r="O2500" s="104"/>
      <c r="P2500" s="104"/>
      <c r="Q2500" s="104"/>
      <c r="R2500" s="104"/>
      <c r="S2500" s="104"/>
    </row>
    <row r="2501" spans="4:19">
      <c r="D2501" s="104"/>
      <c r="E2501" s="104"/>
      <c r="F2501" s="104"/>
      <c r="G2501" s="104"/>
      <c r="H2501" s="104"/>
      <c r="I2501" s="104"/>
      <c r="J2501" s="104"/>
      <c r="K2501" s="104"/>
      <c r="L2501" s="104"/>
      <c r="M2501" s="104"/>
      <c r="N2501" s="104"/>
      <c r="O2501" s="104"/>
      <c r="P2501" s="104"/>
      <c r="Q2501" s="104"/>
      <c r="R2501" s="104"/>
      <c r="S2501" s="104"/>
    </row>
    <row r="2502" spans="4:19">
      <c r="D2502" s="104"/>
      <c r="E2502" s="104"/>
      <c r="F2502" s="104"/>
      <c r="G2502" s="104"/>
      <c r="H2502" s="104"/>
      <c r="I2502" s="104"/>
      <c r="J2502" s="104"/>
      <c r="K2502" s="104"/>
      <c r="L2502" s="104"/>
      <c r="M2502" s="104"/>
      <c r="N2502" s="104"/>
      <c r="O2502" s="104"/>
      <c r="P2502" s="104"/>
      <c r="Q2502" s="104"/>
      <c r="R2502" s="104"/>
      <c r="S2502" s="104"/>
    </row>
    <row r="2503" spans="4:19">
      <c r="D2503" s="104"/>
      <c r="E2503" s="104"/>
      <c r="F2503" s="104"/>
      <c r="G2503" s="104"/>
      <c r="H2503" s="104"/>
      <c r="I2503" s="104"/>
      <c r="J2503" s="104"/>
      <c r="K2503" s="104"/>
      <c r="L2503" s="104"/>
      <c r="M2503" s="104"/>
      <c r="N2503" s="104"/>
      <c r="O2503" s="104"/>
      <c r="P2503" s="104"/>
      <c r="Q2503" s="104"/>
      <c r="R2503" s="104"/>
      <c r="S2503" s="104"/>
    </row>
    <row r="2504" spans="4:19">
      <c r="D2504" s="104"/>
      <c r="E2504" s="104"/>
      <c r="F2504" s="104"/>
      <c r="G2504" s="104"/>
      <c r="H2504" s="104"/>
      <c r="I2504" s="104"/>
      <c r="J2504" s="104"/>
      <c r="K2504" s="104"/>
      <c r="L2504" s="104"/>
      <c r="M2504" s="104"/>
      <c r="N2504" s="104"/>
      <c r="O2504" s="104"/>
      <c r="P2504" s="104"/>
      <c r="Q2504" s="104"/>
      <c r="R2504" s="104"/>
      <c r="S2504" s="104"/>
    </row>
    <row r="2505" spans="4:19">
      <c r="D2505" s="104"/>
      <c r="E2505" s="104"/>
      <c r="F2505" s="104"/>
      <c r="G2505" s="104"/>
      <c r="H2505" s="104"/>
      <c r="I2505" s="104"/>
      <c r="J2505" s="104"/>
      <c r="K2505" s="104"/>
      <c r="L2505" s="104"/>
      <c r="M2505" s="104"/>
      <c r="N2505" s="104"/>
      <c r="O2505" s="104"/>
      <c r="P2505" s="104"/>
      <c r="Q2505" s="104"/>
      <c r="R2505" s="104"/>
      <c r="S2505" s="104"/>
    </row>
    <row r="2506" spans="4:19">
      <c r="D2506" s="104"/>
      <c r="E2506" s="104"/>
      <c r="F2506" s="104"/>
      <c r="G2506" s="104"/>
      <c r="H2506" s="104"/>
      <c r="I2506" s="104"/>
      <c r="J2506" s="104"/>
      <c r="K2506" s="104"/>
      <c r="L2506" s="104"/>
      <c r="M2506" s="104"/>
      <c r="N2506" s="104"/>
      <c r="O2506" s="104"/>
      <c r="P2506" s="104"/>
      <c r="Q2506" s="104"/>
      <c r="R2506" s="104"/>
      <c r="S2506" s="104"/>
    </row>
    <row r="2507" spans="4:19">
      <c r="D2507" s="104"/>
      <c r="E2507" s="104"/>
      <c r="F2507" s="104"/>
      <c r="G2507" s="104"/>
      <c r="H2507" s="104"/>
      <c r="I2507" s="104"/>
      <c r="J2507" s="104"/>
      <c r="K2507" s="104"/>
      <c r="L2507" s="104"/>
      <c r="M2507" s="104"/>
      <c r="N2507" s="104"/>
      <c r="O2507" s="104"/>
      <c r="P2507" s="104"/>
      <c r="Q2507" s="104"/>
      <c r="R2507" s="104"/>
      <c r="S2507" s="104"/>
    </row>
    <row r="2508" spans="4:19">
      <c r="D2508" s="104"/>
      <c r="E2508" s="104"/>
      <c r="F2508" s="104"/>
      <c r="G2508" s="104"/>
      <c r="H2508" s="104"/>
      <c r="I2508" s="104"/>
      <c r="J2508" s="104"/>
      <c r="K2508" s="104"/>
      <c r="L2508" s="104"/>
      <c r="M2508" s="104"/>
      <c r="N2508" s="104"/>
      <c r="O2508" s="104"/>
      <c r="P2508" s="104"/>
      <c r="Q2508" s="104"/>
      <c r="R2508" s="104"/>
      <c r="S2508" s="104"/>
    </row>
    <row r="2509" spans="4:19">
      <c r="D2509" s="104"/>
      <c r="E2509" s="104"/>
      <c r="F2509" s="104"/>
      <c r="G2509" s="104"/>
      <c r="H2509" s="104"/>
      <c r="I2509" s="104"/>
      <c r="J2509" s="104"/>
      <c r="K2509" s="104"/>
      <c r="L2509" s="104"/>
      <c r="M2509" s="104"/>
      <c r="N2509" s="104"/>
      <c r="O2509" s="104"/>
      <c r="P2509" s="104"/>
      <c r="Q2509" s="104"/>
      <c r="R2509" s="104"/>
      <c r="S2509" s="104"/>
    </row>
    <row r="2510" spans="4:19">
      <c r="D2510" s="104"/>
      <c r="E2510" s="104"/>
      <c r="F2510" s="104"/>
      <c r="G2510" s="104"/>
      <c r="H2510" s="104"/>
      <c r="I2510" s="104"/>
      <c r="J2510" s="104"/>
      <c r="K2510" s="104"/>
      <c r="L2510" s="104"/>
      <c r="M2510" s="104"/>
      <c r="N2510" s="104"/>
      <c r="O2510" s="104"/>
      <c r="P2510" s="104"/>
      <c r="Q2510" s="104"/>
      <c r="R2510" s="104"/>
      <c r="S2510" s="104"/>
    </row>
    <row r="2511" spans="4:19">
      <c r="D2511" s="104"/>
      <c r="E2511" s="104"/>
      <c r="F2511" s="104"/>
      <c r="G2511" s="104"/>
      <c r="H2511" s="104"/>
      <c r="I2511" s="104"/>
      <c r="J2511" s="104"/>
      <c r="K2511" s="104"/>
      <c r="L2511" s="104"/>
      <c r="M2511" s="104"/>
      <c r="N2511" s="104"/>
      <c r="O2511" s="104"/>
      <c r="P2511" s="104"/>
      <c r="Q2511" s="104"/>
      <c r="R2511" s="104"/>
      <c r="S2511" s="104"/>
    </row>
    <row r="2512" spans="4:19">
      <c r="D2512" s="104"/>
      <c r="E2512" s="104"/>
      <c r="F2512" s="104"/>
      <c r="G2512" s="104"/>
      <c r="H2512" s="104"/>
      <c r="I2512" s="104"/>
      <c r="J2512" s="104"/>
      <c r="K2512" s="104"/>
      <c r="L2512" s="104"/>
      <c r="M2512" s="104"/>
      <c r="N2512" s="104"/>
      <c r="O2512" s="104"/>
      <c r="P2512" s="104"/>
      <c r="Q2512" s="104"/>
      <c r="R2512" s="104"/>
      <c r="S2512" s="104"/>
    </row>
    <row r="2513" spans="4:19">
      <c r="D2513" s="104"/>
      <c r="E2513" s="104"/>
      <c r="F2513" s="104"/>
      <c r="G2513" s="104"/>
      <c r="H2513" s="104"/>
      <c r="I2513" s="104"/>
      <c r="J2513" s="104"/>
      <c r="K2513" s="104"/>
      <c r="L2513" s="104"/>
      <c r="M2513" s="104"/>
      <c r="N2513" s="104"/>
      <c r="O2513" s="104"/>
      <c r="P2513" s="104"/>
      <c r="Q2513" s="104"/>
      <c r="R2513" s="104"/>
      <c r="S2513" s="104"/>
    </row>
    <row r="2514" spans="4:19">
      <c r="D2514" s="104"/>
      <c r="E2514" s="104"/>
      <c r="F2514" s="104"/>
      <c r="G2514" s="104"/>
      <c r="H2514" s="104"/>
      <c r="I2514" s="104"/>
      <c r="J2514" s="104"/>
      <c r="K2514" s="104"/>
      <c r="L2514" s="104"/>
      <c r="M2514" s="104"/>
      <c r="N2514" s="104"/>
      <c r="O2514" s="104"/>
      <c r="P2514" s="104"/>
      <c r="Q2514" s="104"/>
      <c r="R2514" s="104"/>
      <c r="S2514" s="104"/>
    </row>
    <row r="2515" spans="4:19">
      <c r="D2515" s="104"/>
      <c r="E2515" s="104"/>
      <c r="F2515" s="104"/>
      <c r="G2515" s="104"/>
      <c r="H2515" s="104"/>
      <c r="I2515" s="104"/>
      <c r="J2515" s="104"/>
      <c r="K2515" s="104"/>
      <c r="L2515" s="104"/>
      <c r="M2515" s="104"/>
      <c r="N2515" s="104"/>
      <c r="O2515" s="104"/>
      <c r="P2515" s="104"/>
      <c r="Q2515" s="104"/>
      <c r="R2515" s="104"/>
      <c r="S2515" s="104"/>
    </row>
    <row r="2516" spans="4:19">
      <c r="D2516" s="104"/>
      <c r="E2516" s="104"/>
      <c r="F2516" s="104"/>
      <c r="G2516" s="104"/>
      <c r="H2516" s="104"/>
      <c r="I2516" s="104"/>
      <c r="J2516" s="104"/>
      <c r="K2516" s="104"/>
      <c r="L2516" s="104"/>
      <c r="M2516" s="104"/>
      <c r="N2516" s="104"/>
      <c r="O2516" s="104"/>
      <c r="P2516" s="104"/>
      <c r="Q2516" s="104"/>
      <c r="R2516" s="104"/>
      <c r="S2516" s="104"/>
    </row>
    <row r="2517" spans="4:19">
      <c r="D2517" s="104"/>
      <c r="E2517" s="104"/>
      <c r="F2517" s="104"/>
      <c r="G2517" s="104"/>
      <c r="H2517" s="104"/>
      <c r="I2517" s="104"/>
      <c r="J2517" s="104"/>
      <c r="K2517" s="104"/>
      <c r="L2517" s="104"/>
      <c r="M2517" s="104"/>
      <c r="N2517" s="104"/>
      <c r="O2517" s="104"/>
      <c r="P2517" s="104"/>
      <c r="Q2517" s="104"/>
      <c r="R2517" s="104"/>
      <c r="S2517" s="104"/>
    </row>
    <row r="2518" spans="4:19">
      <c r="D2518" s="104"/>
      <c r="E2518" s="104"/>
      <c r="F2518" s="104"/>
      <c r="G2518" s="104"/>
      <c r="H2518" s="104"/>
      <c r="I2518" s="104"/>
      <c r="J2518" s="104"/>
      <c r="K2518" s="104"/>
      <c r="L2518" s="104"/>
      <c r="M2518" s="104"/>
      <c r="N2518" s="104"/>
      <c r="O2518" s="104"/>
      <c r="P2518" s="104"/>
      <c r="Q2518" s="104"/>
      <c r="R2518" s="104"/>
      <c r="S2518" s="104"/>
    </row>
    <row r="2519" spans="4:19">
      <c r="D2519" s="104"/>
      <c r="E2519" s="104"/>
      <c r="F2519" s="104"/>
      <c r="G2519" s="104"/>
      <c r="H2519" s="104"/>
      <c r="I2519" s="104"/>
      <c r="J2519" s="104"/>
      <c r="K2519" s="104"/>
      <c r="L2519" s="104"/>
      <c r="M2519" s="104"/>
      <c r="N2519" s="104"/>
      <c r="O2519" s="104"/>
      <c r="P2519" s="104"/>
      <c r="Q2519" s="104"/>
      <c r="R2519" s="104"/>
      <c r="S2519" s="104"/>
    </row>
    <row r="2520" spans="4:19">
      <c r="D2520" s="104"/>
      <c r="E2520" s="104"/>
      <c r="F2520" s="104"/>
      <c r="G2520" s="104"/>
      <c r="H2520" s="104"/>
      <c r="I2520" s="104"/>
      <c r="J2520" s="104"/>
      <c r="K2520" s="104"/>
      <c r="L2520" s="104"/>
      <c r="M2520" s="104"/>
      <c r="N2520" s="104"/>
      <c r="O2520" s="104"/>
      <c r="P2520" s="104"/>
      <c r="Q2520" s="104"/>
      <c r="R2520" s="104"/>
      <c r="S2520" s="104"/>
    </row>
    <row r="2521" spans="4:19">
      <c r="D2521" s="104"/>
      <c r="E2521" s="104"/>
      <c r="F2521" s="104"/>
      <c r="G2521" s="104"/>
      <c r="H2521" s="104"/>
      <c r="I2521" s="104"/>
      <c r="J2521" s="104"/>
      <c r="K2521" s="104"/>
      <c r="L2521" s="104"/>
      <c r="M2521" s="104"/>
      <c r="N2521" s="104"/>
      <c r="O2521" s="104"/>
      <c r="P2521" s="104"/>
      <c r="Q2521" s="104"/>
      <c r="R2521" s="104"/>
      <c r="S2521" s="104"/>
    </row>
    <row r="2522" spans="4:19">
      <c r="D2522" s="104"/>
      <c r="E2522" s="104"/>
      <c r="F2522" s="104"/>
      <c r="G2522" s="104"/>
      <c r="H2522" s="104"/>
      <c r="I2522" s="104"/>
      <c r="J2522" s="104"/>
      <c r="K2522" s="104"/>
      <c r="L2522" s="104"/>
      <c r="M2522" s="104"/>
      <c r="N2522" s="104"/>
      <c r="O2522" s="104"/>
      <c r="P2522" s="104"/>
      <c r="Q2522" s="104"/>
      <c r="R2522" s="104"/>
      <c r="S2522" s="104"/>
    </row>
    <row r="2523" spans="4:19">
      <c r="D2523" s="104"/>
      <c r="E2523" s="104"/>
      <c r="F2523" s="104"/>
      <c r="G2523" s="104"/>
      <c r="H2523" s="104"/>
      <c r="I2523" s="104"/>
      <c r="J2523" s="104"/>
      <c r="K2523" s="104"/>
      <c r="L2523" s="104"/>
      <c r="M2523" s="104"/>
      <c r="N2523" s="104"/>
      <c r="O2523" s="104"/>
      <c r="P2523" s="104"/>
      <c r="Q2523" s="104"/>
      <c r="R2523" s="104"/>
      <c r="S2523" s="104"/>
    </row>
    <row r="2524" spans="4:19">
      <c r="D2524" s="104"/>
      <c r="E2524" s="104"/>
      <c r="F2524" s="104"/>
      <c r="G2524" s="104"/>
      <c r="H2524" s="104"/>
      <c r="I2524" s="104"/>
      <c r="J2524" s="104"/>
      <c r="K2524" s="104"/>
      <c r="L2524" s="104"/>
      <c r="M2524" s="104"/>
      <c r="N2524" s="104"/>
      <c r="O2524" s="104"/>
      <c r="P2524" s="104"/>
      <c r="Q2524" s="104"/>
      <c r="R2524" s="104"/>
      <c r="S2524" s="104"/>
    </row>
    <row r="2525" spans="4:19">
      <c r="D2525" s="104"/>
      <c r="E2525" s="104"/>
      <c r="F2525" s="104"/>
      <c r="G2525" s="104"/>
      <c r="H2525" s="104"/>
      <c r="I2525" s="104"/>
      <c r="J2525" s="104"/>
      <c r="K2525" s="104"/>
      <c r="L2525" s="104"/>
      <c r="M2525" s="104"/>
      <c r="N2525" s="104"/>
      <c r="O2525" s="104"/>
      <c r="P2525" s="104"/>
      <c r="Q2525" s="104"/>
      <c r="R2525" s="104"/>
      <c r="S2525" s="104"/>
    </row>
    <row r="2526" spans="4:19">
      <c r="D2526" s="104"/>
      <c r="E2526" s="104"/>
      <c r="F2526" s="104"/>
      <c r="G2526" s="104"/>
      <c r="H2526" s="104"/>
      <c r="I2526" s="104"/>
      <c r="J2526" s="104"/>
      <c r="K2526" s="104"/>
      <c r="L2526" s="104"/>
      <c r="M2526" s="104"/>
      <c r="N2526" s="104"/>
      <c r="O2526" s="104"/>
      <c r="P2526" s="104"/>
      <c r="Q2526" s="104"/>
      <c r="R2526" s="104"/>
      <c r="S2526" s="104"/>
    </row>
    <row r="2527" spans="4:19">
      <c r="D2527" s="104"/>
      <c r="E2527" s="104"/>
      <c r="F2527" s="104"/>
      <c r="G2527" s="104"/>
      <c r="H2527" s="104"/>
      <c r="I2527" s="104"/>
      <c r="J2527" s="104"/>
      <c r="K2527" s="104"/>
      <c r="L2527" s="104"/>
      <c r="M2527" s="104"/>
      <c r="N2527" s="104"/>
      <c r="O2527" s="104"/>
      <c r="P2527" s="104"/>
      <c r="Q2527" s="104"/>
      <c r="R2527" s="104"/>
      <c r="S2527" s="104"/>
    </row>
    <row r="2528" spans="4:19">
      <c r="D2528" s="104"/>
      <c r="E2528" s="104"/>
      <c r="F2528" s="104"/>
      <c r="G2528" s="104"/>
      <c r="H2528" s="104"/>
      <c r="I2528" s="104"/>
      <c r="J2528" s="104"/>
      <c r="K2528" s="104"/>
      <c r="L2528" s="104"/>
      <c r="M2528" s="104"/>
      <c r="N2528" s="104"/>
      <c r="O2528" s="104"/>
      <c r="P2528" s="104"/>
      <c r="Q2528" s="104"/>
      <c r="R2528" s="104"/>
      <c r="S2528" s="104"/>
    </row>
    <row r="2529" spans="4:19">
      <c r="D2529" s="104"/>
      <c r="E2529" s="104"/>
      <c r="F2529" s="104"/>
      <c r="G2529" s="104"/>
      <c r="H2529" s="104"/>
      <c r="I2529" s="104"/>
      <c r="J2529" s="104"/>
      <c r="K2529" s="104"/>
      <c r="L2529" s="104"/>
      <c r="M2529" s="104"/>
      <c r="N2529" s="104"/>
      <c r="O2529" s="104"/>
      <c r="P2529" s="104"/>
      <c r="Q2529" s="104"/>
      <c r="R2529" s="104"/>
      <c r="S2529" s="104"/>
    </row>
    <row r="2530" spans="4:19">
      <c r="D2530" s="104"/>
      <c r="E2530" s="104"/>
      <c r="F2530" s="104"/>
      <c r="G2530" s="104"/>
      <c r="H2530" s="104"/>
      <c r="I2530" s="104"/>
      <c r="J2530" s="104"/>
      <c r="K2530" s="104"/>
      <c r="L2530" s="104"/>
      <c r="M2530" s="104"/>
      <c r="N2530" s="104"/>
      <c r="O2530" s="104"/>
      <c r="P2530" s="104"/>
      <c r="Q2530" s="104"/>
      <c r="R2530" s="104"/>
      <c r="S2530" s="104"/>
    </row>
    <row r="2531" spans="4:19">
      <c r="D2531" s="104"/>
      <c r="E2531" s="104"/>
      <c r="F2531" s="104"/>
      <c r="G2531" s="104"/>
      <c r="H2531" s="104"/>
      <c r="I2531" s="104"/>
      <c r="J2531" s="104"/>
      <c r="K2531" s="104"/>
      <c r="L2531" s="104"/>
      <c r="M2531" s="104"/>
      <c r="N2531" s="104"/>
      <c r="O2531" s="104"/>
      <c r="P2531" s="104"/>
      <c r="Q2531" s="104"/>
      <c r="R2531" s="104"/>
      <c r="S2531" s="104"/>
    </row>
    <row r="2532" spans="4:19">
      <c r="D2532" s="104"/>
      <c r="E2532" s="104"/>
      <c r="F2532" s="104"/>
      <c r="G2532" s="104"/>
      <c r="H2532" s="104"/>
      <c r="I2532" s="104"/>
      <c r="J2532" s="104"/>
      <c r="K2532" s="104"/>
      <c r="L2532" s="104"/>
      <c r="M2532" s="104"/>
      <c r="N2532" s="104"/>
      <c r="O2532" s="104"/>
      <c r="P2532" s="104"/>
      <c r="Q2532" s="104"/>
      <c r="R2532" s="104"/>
      <c r="S2532" s="104"/>
    </row>
    <row r="2533" spans="4:19">
      <c r="D2533" s="104"/>
      <c r="E2533" s="104"/>
      <c r="F2533" s="104"/>
      <c r="G2533" s="104"/>
      <c r="H2533" s="104"/>
      <c r="I2533" s="104"/>
      <c r="J2533" s="104"/>
      <c r="K2533" s="104"/>
      <c r="L2533" s="104"/>
      <c r="M2533" s="104"/>
      <c r="N2533" s="104"/>
      <c r="O2533" s="104"/>
      <c r="P2533" s="104"/>
      <c r="Q2533" s="104"/>
      <c r="R2533" s="104"/>
      <c r="S2533" s="104"/>
    </row>
    <row r="2534" spans="4:19">
      <c r="D2534" s="104"/>
      <c r="E2534" s="104"/>
      <c r="F2534" s="104"/>
      <c r="G2534" s="104"/>
      <c r="H2534" s="104"/>
      <c r="I2534" s="104"/>
      <c r="J2534" s="104"/>
      <c r="K2534" s="104"/>
      <c r="L2534" s="104"/>
      <c r="M2534" s="104"/>
      <c r="N2534" s="104"/>
      <c r="O2534" s="104"/>
      <c r="P2534" s="104"/>
      <c r="Q2534" s="104"/>
      <c r="R2534" s="104"/>
      <c r="S2534" s="104"/>
    </row>
    <row r="2535" spans="4:19">
      <c r="D2535" s="104"/>
      <c r="E2535" s="104"/>
      <c r="F2535" s="104"/>
      <c r="G2535" s="104"/>
      <c r="H2535" s="104"/>
      <c r="I2535" s="104"/>
      <c r="J2535" s="104"/>
      <c r="K2535" s="104"/>
      <c r="L2535" s="104"/>
      <c r="M2535" s="104"/>
      <c r="N2535" s="104"/>
      <c r="O2535" s="104"/>
      <c r="P2535" s="104"/>
      <c r="Q2535" s="104"/>
      <c r="R2535" s="104"/>
      <c r="S2535" s="104"/>
    </row>
    <row r="2536" spans="4:19">
      <c r="D2536" s="104"/>
      <c r="E2536" s="104"/>
      <c r="F2536" s="104"/>
      <c r="G2536" s="104"/>
      <c r="H2536" s="104"/>
      <c r="I2536" s="104"/>
      <c r="J2536" s="104"/>
      <c r="K2536" s="104"/>
      <c r="L2536" s="104"/>
      <c r="M2536" s="104"/>
      <c r="N2536" s="104"/>
      <c r="O2536" s="104"/>
      <c r="P2536" s="104"/>
      <c r="Q2536" s="104"/>
      <c r="R2536" s="104"/>
      <c r="S2536" s="104"/>
    </row>
    <row r="2537" spans="4:19">
      <c r="D2537" s="104"/>
      <c r="E2537" s="104"/>
      <c r="F2537" s="104"/>
      <c r="G2537" s="104"/>
      <c r="H2537" s="104"/>
      <c r="I2537" s="104"/>
      <c r="J2537" s="104"/>
      <c r="K2537" s="104"/>
      <c r="L2537" s="104"/>
      <c r="M2537" s="104"/>
      <c r="N2537" s="104"/>
      <c r="O2537" s="104"/>
      <c r="P2537" s="104"/>
      <c r="Q2537" s="104"/>
      <c r="R2537" s="104"/>
      <c r="S2537" s="104"/>
    </row>
    <row r="2538" spans="4:19">
      <c r="D2538" s="104"/>
      <c r="E2538" s="104"/>
      <c r="F2538" s="104"/>
      <c r="G2538" s="104"/>
      <c r="H2538" s="104"/>
      <c r="I2538" s="104"/>
      <c r="J2538" s="104"/>
      <c r="K2538" s="104"/>
      <c r="L2538" s="104"/>
      <c r="M2538" s="104"/>
      <c r="N2538" s="104"/>
      <c r="O2538" s="104"/>
      <c r="P2538" s="104"/>
      <c r="Q2538" s="104"/>
      <c r="R2538" s="104"/>
      <c r="S2538" s="104"/>
    </row>
    <row r="2539" spans="4:19">
      <c r="D2539" s="104"/>
      <c r="E2539" s="104"/>
      <c r="F2539" s="104"/>
      <c r="G2539" s="104"/>
      <c r="H2539" s="104"/>
      <c r="I2539" s="104"/>
      <c r="J2539" s="104"/>
      <c r="K2539" s="104"/>
      <c r="L2539" s="104"/>
      <c r="M2539" s="104"/>
      <c r="N2539" s="104"/>
      <c r="O2539" s="104"/>
      <c r="P2539" s="104"/>
      <c r="Q2539" s="104"/>
      <c r="R2539" s="104"/>
      <c r="S2539" s="104"/>
    </row>
    <row r="2540" spans="4:19">
      <c r="D2540" s="104"/>
      <c r="E2540" s="104"/>
      <c r="F2540" s="104"/>
      <c r="G2540" s="104"/>
      <c r="H2540" s="104"/>
      <c r="I2540" s="104"/>
      <c r="J2540" s="104"/>
      <c r="K2540" s="104"/>
      <c r="L2540" s="104"/>
      <c r="M2540" s="104"/>
      <c r="N2540" s="104"/>
      <c r="O2540" s="104"/>
      <c r="P2540" s="104"/>
      <c r="Q2540" s="104"/>
      <c r="R2540" s="104"/>
      <c r="S2540" s="104"/>
    </row>
    <row r="2541" spans="4:19">
      <c r="D2541" s="104"/>
      <c r="E2541" s="104"/>
      <c r="F2541" s="104"/>
      <c r="G2541" s="104"/>
      <c r="H2541" s="104"/>
      <c r="I2541" s="104"/>
      <c r="J2541" s="104"/>
      <c r="K2541" s="104"/>
      <c r="L2541" s="104"/>
      <c r="M2541" s="104"/>
      <c r="N2541" s="104"/>
      <c r="O2541" s="104"/>
      <c r="P2541" s="104"/>
      <c r="Q2541" s="104"/>
      <c r="R2541" s="104"/>
      <c r="S2541" s="104"/>
    </row>
    <row r="2542" spans="4:19">
      <c r="D2542" s="104"/>
      <c r="E2542" s="104"/>
      <c r="F2542" s="104"/>
      <c r="G2542" s="104"/>
      <c r="H2542" s="104"/>
      <c r="I2542" s="104"/>
      <c r="J2542" s="104"/>
      <c r="K2542" s="104"/>
      <c r="L2542" s="104"/>
      <c r="M2542" s="104"/>
      <c r="N2542" s="104"/>
      <c r="O2542" s="104"/>
      <c r="P2542" s="104"/>
      <c r="Q2542" s="104"/>
      <c r="R2542" s="104"/>
      <c r="S2542" s="104"/>
    </row>
    <row r="2543" spans="4:19">
      <c r="D2543" s="104"/>
      <c r="E2543" s="104"/>
      <c r="F2543" s="104"/>
      <c r="G2543" s="104"/>
      <c r="H2543" s="104"/>
      <c r="I2543" s="104"/>
      <c r="J2543" s="104"/>
      <c r="K2543" s="104"/>
      <c r="L2543" s="104"/>
      <c r="M2543" s="104"/>
      <c r="N2543" s="104"/>
      <c r="O2543" s="104"/>
      <c r="P2543" s="104"/>
      <c r="Q2543" s="104"/>
      <c r="R2543" s="104"/>
      <c r="S2543" s="104"/>
    </row>
    <row r="2544" spans="4:19">
      <c r="D2544" s="104"/>
      <c r="E2544" s="104"/>
      <c r="F2544" s="104"/>
      <c r="G2544" s="104"/>
      <c r="H2544" s="104"/>
      <c r="I2544" s="104"/>
      <c r="J2544" s="104"/>
      <c r="K2544" s="104"/>
      <c r="L2544" s="104"/>
      <c r="M2544" s="104"/>
      <c r="N2544" s="104"/>
      <c r="O2544" s="104"/>
      <c r="P2544" s="104"/>
      <c r="Q2544" s="104"/>
      <c r="R2544" s="104"/>
      <c r="S2544" s="104"/>
    </row>
    <row r="2545" spans="4:19">
      <c r="D2545" s="104"/>
      <c r="E2545" s="104"/>
      <c r="F2545" s="104"/>
      <c r="G2545" s="104"/>
      <c r="H2545" s="104"/>
      <c r="I2545" s="104"/>
      <c r="J2545" s="104"/>
      <c r="K2545" s="104"/>
      <c r="L2545" s="104"/>
      <c r="M2545" s="104"/>
      <c r="N2545" s="104"/>
      <c r="O2545" s="104"/>
      <c r="P2545" s="104"/>
      <c r="Q2545" s="104"/>
      <c r="R2545" s="104"/>
      <c r="S2545" s="104"/>
    </row>
    <row r="2546" spans="4:19">
      <c r="D2546" s="104"/>
      <c r="E2546" s="104"/>
      <c r="F2546" s="104"/>
      <c r="G2546" s="104"/>
      <c r="H2546" s="104"/>
      <c r="I2546" s="104"/>
      <c r="J2546" s="104"/>
      <c r="K2546" s="104"/>
      <c r="L2546" s="104"/>
      <c r="M2546" s="104"/>
      <c r="N2546" s="104"/>
      <c r="O2546" s="104"/>
      <c r="P2546" s="104"/>
      <c r="Q2546" s="104"/>
      <c r="R2546" s="104"/>
      <c r="S2546" s="104"/>
    </row>
    <row r="2547" spans="4:19">
      <c r="D2547" s="104"/>
      <c r="E2547" s="104"/>
      <c r="F2547" s="104"/>
      <c r="G2547" s="104"/>
      <c r="H2547" s="104"/>
      <c r="I2547" s="104"/>
      <c r="J2547" s="104"/>
      <c r="K2547" s="104"/>
      <c r="L2547" s="104"/>
      <c r="M2547" s="104"/>
      <c r="N2547" s="104"/>
      <c r="O2547" s="104"/>
      <c r="P2547" s="104"/>
      <c r="Q2547" s="104"/>
      <c r="R2547" s="104"/>
      <c r="S2547" s="104"/>
    </row>
    <row r="2548" spans="4:19">
      <c r="D2548" s="104"/>
      <c r="E2548" s="104"/>
      <c r="F2548" s="104"/>
      <c r="G2548" s="104"/>
      <c r="H2548" s="104"/>
      <c r="I2548" s="104"/>
      <c r="J2548" s="104"/>
      <c r="K2548" s="104"/>
      <c r="L2548" s="104"/>
      <c r="M2548" s="104"/>
      <c r="N2548" s="104"/>
      <c r="O2548" s="104"/>
      <c r="P2548" s="104"/>
      <c r="Q2548" s="104"/>
      <c r="R2548" s="104"/>
      <c r="S2548" s="104"/>
    </row>
    <row r="2549" spans="4:19">
      <c r="D2549" s="104"/>
      <c r="E2549" s="104"/>
      <c r="F2549" s="104"/>
      <c r="G2549" s="104"/>
      <c r="H2549" s="104"/>
      <c r="I2549" s="104"/>
      <c r="J2549" s="104"/>
      <c r="K2549" s="104"/>
      <c r="L2549" s="104"/>
      <c r="M2549" s="104"/>
      <c r="N2549" s="104"/>
      <c r="O2549" s="104"/>
      <c r="P2549" s="104"/>
      <c r="Q2549" s="104"/>
      <c r="R2549" s="104"/>
      <c r="S2549" s="104"/>
    </row>
    <row r="2550" spans="4:19">
      <c r="D2550" s="104"/>
      <c r="E2550" s="104"/>
      <c r="F2550" s="104"/>
      <c r="G2550" s="104"/>
      <c r="H2550" s="104"/>
      <c r="I2550" s="104"/>
      <c r="J2550" s="104"/>
      <c r="K2550" s="104"/>
      <c r="L2550" s="104"/>
      <c r="M2550" s="104"/>
      <c r="N2550" s="104"/>
      <c r="O2550" s="104"/>
      <c r="P2550" s="104"/>
      <c r="Q2550" s="104"/>
      <c r="R2550" s="104"/>
      <c r="S2550" s="104"/>
    </row>
    <row r="2551" spans="4:19">
      <c r="D2551" s="104"/>
      <c r="E2551" s="104"/>
      <c r="F2551" s="104"/>
      <c r="G2551" s="104"/>
      <c r="H2551" s="104"/>
      <c r="I2551" s="104"/>
      <c r="J2551" s="104"/>
      <c r="K2551" s="104"/>
      <c r="L2551" s="104"/>
      <c r="M2551" s="104"/>
      <c r="N2551" s="104"/>
      <c r="O2551" s="104"/>
      <c r="P2551" s="104"/>
      <c r="Q2551" s="104"/>
      <c r="R2551" s="104"/>
      <c r="S2551" s="104"/>
    </row>
    <row r="2552" spans="4:19">
      <c r="D2552" s="104"/>
      <c r="E2552" s="104"/>
      <c r="F2552" s="104"/>
      <c r="G2552" s="104"/>
      <c r="H2552" s="104"/>
      <c r="I2552" s="104"/>
      <c r="J2552" s="104"/>
      <c r="K2552" s="104"/>
      <c r="L2552" s="104"/>
      <c r="M2552" s="104"/>
      <c r="N2552" s="104"/>
      <c r="O2552" s="104"/>
      <c r="P2552" s="104"/>
      <c r="Q2552" s="104"/>
      <c r="R2552" s="104"/>
      <c r="S2552" s="104"/>
    </row>
    <row r="2553" spans="4:19">
      <c r="D2553" s="104"/>
      <c r="E2553" s="104"/>
      <c r="F2553" s="104"/>
      <c r="G2553" s="104"/>
      <c r="H2553" s="104"/>
      <c r="I2553" s="104"/>
      <c r="J2553" s="104"/>
      <c r="K2553" s="104"/>
      <c r="L2553" s="104"/>
      <c r="M2553" s="104"/>
      <c r="N2553" s="104"/>
      <c r="O2553" s="104"/>
      <c r="P2553" s="104"/>
      <c r="Q2553" s="104"/>
      <c r="R2553" s="104"/>
      <c r="S2553" s="104"/>
    </row>
    <row r="2554" spans="4:19">
      <c r="D2554" s="104"/>
      <c r="E2554" s="104"/>
      <c r="F2554" s="104"/>
      <c r="G2554" s="104"/>
      <c r="H2554" s="104"/>
      <c r="I2554" s="104"/>
      <c r="J2554" s="104"/>
      <c r="K2554" s="104"/>
      <c r="L2554" s="104"/>
      <c r="M2554" s="104"/>
      <c r="N2554" s="104"/>
      <c r="O2554" s="104"/>
      <c r="P2554" s="104"/>
      <c r="Q2554" s="104"/>
      <c r="R2554" s="104"/>
      <c r="S2554" s="104"/>
    </row>
    <row r="2555" spans="4:19">
      <c r="D2555" s="104"/>
      <c r="E2555" s="104"/>
      <c r="F2555" s="104"/>
      <c r="G2555" s="104"/>
      <c r="H2555" s="104"/>
      <c r="I2555" s="104"/>
      <c r="J2555" s="104"/>
      <c r="K2555" s="104"/>
      <c r="L2555" s="104"/>
      <c r="M2555" s="104"/>
      <c r="N2555" s="104"/>
      <c r="O2555" s="104"/>
      <c r="P2555" s="104"/>
      <c r="Q2555" s="104"/>
      <c r="R2555" s="104"/>
      <c r="S2555" s="104"/>
    </row>
    <row r="2556" spans="4:19">
      <c r="D2556" s="104"/>
      <c r="E2556" s="104"/>
      <c r="F2556" s="104"/>
      <c r="G2556" s="104"/>
      <c r="H2556" s="104"/>
      <c r="I2556" s="104"/>
      <c r="J2556" s="104"/>
      <c r="K2556" s="104"/>
      <c r="L2556" s="104"/>
      <c r="M2556" s="104"/>
      <c r="N2556" s="104"/>
      <c r="O2556" s="104"/>
      <c r="P2556" s="104"/>
      <c r="Q2556" s="104"/>
      <c r="R2556" s="104"/>
      <c r="S2556" s="104"/>
    </row>
    <row r="2557" spans="4:19">
      <c r="D2557" s="104"/>
      <c r="E2557" s="104"/>
      <c r="F2557" s="104"/>
      <c r="G2557" s="104"/>
      <c r="H2557" s="104"/>
      <c r="I2557" s="104"/>
      <c r="J2557" s="104"/>
      <c r="K2557" s="104"/>
      <c r="L2557" s="104"/>
      <c r="M2557" s="104"/>
      <c r="N2557" s="104"/>
      <c r="O2557" s="104"/>
      <c r="P2557" s="104"/>
      <c r="Q2557" s="104"/>
      <c r="R2557" s="104"/>
      <c r="S2557" s="104"/>
    </row>
    <row r="2558" spans="4:19">
      <c r="D2558" s="104"/>
      <c r="E2558" s="104"/>
      <c r="F2558" s="104"/>
      <c r="G2558" s="104"/>
      <c r="H2558" s="104"/>
      <c r="I2558" s="104"/>
      <c r="J2558" s="104"/>
      <c r="K2558" s="104"/>
      <c r="L2558" s="104"/>
      <c r="M2558" s="104"/>
      <c r="N2558" s="104"/>
      <c r="O2558" s="104"/>
      <c r="P2558" s="104"/>
      <c r="Q2558" s="104"/>
      <c r="R2558" s="104"/>
      <c r="S2558" s="104"/>
    </row>
    <row r="2559" spans="4:19">
      <c r="D2559" s="104"/>
      <c r="E2559" s="104"/>
      <c r="F2559" s="104"/>
      <c r="G2559" s="104"/>
      <c r="H2559" s="104"/>
      <c r="I2559" s="104"/>
      <c r="J2559" s="104"/>
      <c r="K2559" s="104"/>
      <c r="L2559" s="104"/>
      <c r="M2559" s="104"/>
      <c r="N2559" s="104"/>
      <c r="O2559" s="104"/>
      <c r="P2559" s="104"/>
      <c r="Q2559" s="104"/>
      <c r="R2559" s="104"/>
      <c r="S2559" s="104"/>
    </row>
    <row r="2560" spans="4:19">
      <c r="D2560" s="104"/>
      <c r="E2560" s="104"/>
      <c r="F2560" s="104"/>
      <c r="G2560" s="104"/>
      <c r="H2560" s="104"/>
      <c r="I2560" s="104"/>
      <c r="J2560" s="104"/>
      <c r="K2560" s="104"/>
      <c r="L2560" s="104"/>
      <c r="M2560" s="104"/>
      <c r="N2560" s="104"/>
      <c r="O2560" s="104"/>
      <c r="P2560" s="104"/>
      <c r="Q2560" s="104"/>
      <c r="R2560" s="104"/>
      <c r="S2560" s="104"/>
    </row>
    <row r="2561" spans="4:19">
      <c r="D2561" s="104"/>
      <c r="E2561" s="104"/>
      <c r="F2561" s="104"/>
      <c r="G2561" s="104"/>
      <c r="H2561" s="104"/>
      <c r="I2561" s="104"/>
      <c r="J2561" s="104"/>
      <c r="K2561" s="104"/>
      <c r="L2561" s="104"/>
      <c r="M2561" s="104"/>
      <c r="N2561" s="104"/>
      <c r="O2561" s="104"/>
      <c r="P2561" s="104"/>
      <c r="Q2561" s="104"/>
      <c r="R2561" s="104"/>
      <c r="S2561" s="104"/>
    </row>
    <row r="2562" spans="4:19">
      <c r="D2562" s="104"/>
      <c r="E2562" s="104"/>
      <c r="F2562" s="104"/>
      <c r="G2562" s="104"/>
      <c r="H2562" s="104"/>
      <c r="I2562" s="104"/>
      <c r="J2562" s="104"/>
      <c r="K2562" s="104"/>
      <c r="L2562" s="104"/>
      <c r="M2562" s="104"/>
      <c r="N2562" s="104"/>
      <c r="O2562" s="104"/>
      <c r="P2562" s="104"/>
      <c r="Q2562" s="104"/>
      <c r="R2562" s="104"/>
      <c r="S2562" s="104"/>
    </row>
    <row r="2563" spans="4:19">
      <c r="D2563" s="104"/>
      <c r="E2563" s="104"/>
      <c r="F2563" s="104"/>
      <c r="G2563" s="104"/>
      <c r="H2563" s="104"/>
      <c r="I2563" s="104"/>
      <c r="J2563" s="104"/>
      <c r="K2563" s="104"/>
      <c r="L2563" s="104"/>
      <c r="M2563" s="104"/>
      <c r="N2563" s="104"/>
      <c r="O2563" s="104"/>
      <c r="P2563" s="104"/>
      <c r="Q2563" s="104"/>
      <c r="R2563" s="104"/>
      <c r="S2563" s="104"/>
    </row>
    <row r="2564" spans="4:19">
      <c r="D2564" s="104"/>
      <c r="E2564" s="104"/>
      <c r="F2564" s="104"/>
      <c r="G2564" s="104"/>
      <c r="H2564" s="104"/>
      <c r="I2564" s="104"/>
      <c r="J2564" s="104"/>
      <c r="K2564" s="104"/>
      <c r="L2564" s="104"/>
      <c r="M2564" s="104"/>
      <c r="N2564" s="104"/>
      <c r="O2564" s="104"/>
      <c r="P2564" s="104"/>
      <c r="Q2564" s="104"/>
      <c r="R2564" s="104"/>
      <c r="S2564" s="104"/>
    </row>
    <row r="2565" spans="4:19">
      <c r="D2565" s="104"/>
      <c r="E2565" s="104"/>
      <c r="F2565" s="104"/>
      <c r="G2565" s="104"/>
      <c r="H2565" s="104"/>
      <c r="I2565" s="104"/>
      <c r="J2565" s="104"/>
      <c r="K2565" s="104"/>
      <c r="L2565" s="104"/>
      <c r="M2565" s="104"/>
      <c r="N2565" s="104"/>
      <c r="O2565" s="104"/>
      <c r="P2565" s="104"/>
      <c r="Q2565" s="104"/>
      <c r="R2565" s="104"/>
      <c r="S2565" s="104"/>
    </row>
    <row r="2566" spans="4:19">
      <c r="D2566" s="104"/>
      <c r="E2566" s="104"/>
      <c r="F2566" s="104"/>
      <c r="G2566" s="104"/>
      <c r="H2566" s="104"/>
      <c r="I2566" s="104"/>
      <c r="J2566" s="104"/>
      <c r="K2566" s="104"/>
      <c r="L2566" s="104"/>
      <c r="M2566" s="104"/>
      <c r="N2566" s="104"/>
      <c r="O2566" s="104"/>
      <c r="P2566" s="104"/>
      <c r="Q2566" s="104"/>
      <c r="R2566" s="104"/>
      <c r="S2566" s="104"/>
    </row>
    <row r="2567" spans="4:19">
      <c r="D2567" s="104"/>
      <c r="E2567" s="104"/>
      <c r="F2567" s="104"/>
      <c r="G2567" s="104"/>
      <c r="H2567" s="104"/>
      <c r="I2567" s="104"/>
      <c r="J2567" s="104"/>
      <c r="K2567" s="104"/>
      <c r="L2567" s="104"/>
      <c r="M2567" s="104"/>
      <c r="N2567" s="104"/>
      <c r="O2567" s="104"/>
      <c r="P2567" s="104"/>
      <c r="Q2567" s="104"/>
      <c r="R2567" s="104"/>
      <c r="S2567" s="104"/>
    </row>
    <row r="2568" spans="4:19">
      <c r="D2568" s="104"/>
      <c r="E2568" s="104"/>
      <c r="F2568" s="104"/>
      <c r="G2568" s="104"/>
      <c r="H2568" s="104"/>
      <c r="I2568" s="104"/>
      <c r="J2568" s="104"/>
      <c r="K2568" s="104"/>
      <c r="L2568" s="104"/>
      <c r="M2568" s="104"/>
      <c r="N2568" s="104"/>
      <c r="O2568" s="104"/>
      <c r="P2568" s="104"/>
      <c r="Q2568" s="104"/>
      <c r="R2568" s="104"/>
      <c r="S2568" s="104"/>
    </row>
    <row r="2569" spans="4:19">
      <c r="D2569" s="104"/>
      <c r="E2569" s="104"/>
      <c r="F2569" s="104"/>
      <c r="G2569" s="104"/>
      <c r="H2569" s="104"/>
      <c r="I2569" s="104"/>
      <c r="J2569" s="104"/>
      <c r="K2569" s="104"/>
      <c r="L2569" s="104"/>
      <c r="M2569" s="104"/>
      <c r="N2569" s="104"/>
      <c r="O2569" s="104"/>
      <c r="P2569" s="104"/>
      <c r="Q2569" s="104"/>
      <c r="R2569" s="104"/>
      <c r="S2569" s="104"/>
    </row>
    <row r="2570" spans="4:19">
      <c r="D2570" s="104"/>
      <c r="E2570" s="104"/>
      <c r="F2570" s="104"/>
      <c r="G2570" s="104"/>
      <c r="H2570" s="104"/>
      <c r="I2570" s="104"/>
      <c r="J2570" s="104"/>
      <c r="K2570" s="104"/>
      <c r="L2570" s="104"/>
      <c r="M2570" s="104"/>
      <c r="N2570" s="104"/>
      <c r="O2570" s="104"/>
      <c r="P2570" s="104"/>
      <c r="Q2570" s="104"/>
      <c r="R2570" s="104"/>
      <c r="S2570" s="104"/>
    </row>
    <row r="2571" spans="4:19">
      <c r="D2571" s="104"/>
      <c r="E2571" s="104"/>
      <c r="F2571" s="104"/>
      <c r="G2571" s="104"/>
      <c r="H2571" s="104"/>
      <c r="I2571" s="104"/>
      <c r="J2571" s="104"/>
      <c r="K2571" s="104"/>
      <c r="L2571" s="104"/>
      <c r="M2571" s="104"/>
      <c r="N2571" s="104"/>
      <c r="O2571" s="104"/>
      <c r="P2571" s="104"/>
      <c r="Q2571" s="104"/>
      <c r="R2571" s="104"/>
      <c r="S2571" s="104"/>
    </row>
    <row r="2572" spans="4:19">
      <c r="D2572" s="104"/>
      <c r="E2572" s="104"/>
      <c r="F2572" s="104"/>
      <c r="G2572" s="104"/>
      <c r="H2572" s="104"/>
      <c r="I2572" s="104"/>
      <c r="J2572" s="104"/>
      <c r="K2572" s="104"/>
      <c r="L2572" s="104"/>
      <c r="M2572" s="104"/>
      <c r="N2572" s="104"/>
      <c r="O2572" s="104"/>
      <c r="P2572" s="104"/>
      <c r="Q2572" s="104"/>
      <c r="R2572" s="104"/>
      <c r="S2572" s="104"/>
    </row>
    <row r="2573" spans="4:19">
      <c r="D2573" s="104"/>
      <c r="E2573" s="104"/>
      <c r="F2573" s="104"/>
      <c r="G2573" s="104"/>
      <c r="H2573" s="104"/>
      <c r="I2573" s="104"/>
      <c r="J2573" s="104"/>
      <c r="K2573" s="104"/>
      <c r="L2573" s="104"/>
      <c r="M2573" s="104"/>
      <c r="N2573" s="104"/>
      <c r="O2573" s="104"/>
      <c r="P2573" s="104"/>
      <c r="Q2573" s="104"/>
      <c r="R2573" s="104"/>
      <c r="S2573" s="104"/>
    </row>
    <row r="2574" spans="4:19">
      <c r="D2574" s="104"/>
      <c r="E2574" s="104"/>
      <c r="F2574" s="104"/>
      <c r="G2574" s="104"/>
      <c r="H2574" s="104"/>
      <c r="I2574" s="104"/>
      <c r="J2574" s="104"/>
      <c r="K2574" s="104"/>
      <c r="L2574" s="104"/>
      <c r="M2574" s="104"/>
      <c r="N2574" s="104"/>
      <c r="O2574" s="104"/>
      <c r="P2574" s="104"/>
      <c r="Q2574" s="104"/>
      <c r="R2574" s="104"/>
      <c r="S2574" s="104"/>
    </row>
    <row r="2575" spans="4:19">
      <c r="D2575" s="104"/>
      <c r="E2575" s="104"/>
      <c r="F2575" s="104"/>
      <c r="G2575" s="104"/>
      <c r="H2575" s="104"/>
      <c r="I2575" s="104"/>
      <c r="J2575" s="104"/>
      <c r="K2575" s="104"/>
      <c r="L2575" s="104"/>
      <c r="M2575" s="104"/>
      <c r="N2575" s="104"/>
      <c r="O2575" s="104"/>
      <c r="P2575" s="104"/>
      <c r="Q2575" s="104"/>
      <c r="R2575" s="104"/>
      <c r="S2575" s="104"/>
    </row>
    <row r="2576" spans="4:19">
      <c r="D2576" s="104"/>
      <c r="E2576" s="104"/>
      <c r="F2576" s="104"/>
      <c r="G2576" s="104"/>
      <c r="H2576" s="104"/>
      <c r="I2576" s="104"/>
      <c r="J2576" s="104"/>
      <c r="K2576" s="104"/>
      <c r="L2576" s="104"/>
      <c r="M2576" s="104"/>
      <c r="N2576" s="104"/>
      <c r="O2576" s="104"/>
      <c r="P2576" s="104"/>
      <c r="Q2576" s="104"/>
      <c r="R2576" s="104"/>
      <c r="S2576" s="104"/>
    </row>
    <row r="2577" spans="4:19">
      <c r="D2577" s="104"/>
      <c r="E2577" s="104"/>
      <c r="F2577" s="104"/>
      <c r="G2577" s="104"/>
      <c r="H2577" s="104"/>
      <c r="I2577" s="104"/>
      <c r="J2577" s="104"/>
      <c r="K2577" s="104"/>
      <c r="L2577" s="104"/>
      <c r="M2577" s="104"/>
      <c r="N2577" s="104"/>
      <c r="O2577" s="104"/>
      <c r="P2577" s="104"/>
      <c r="Q2577" s="104"/>
      <c r="R2577" s="104"/>
      <c r="S2577" s="104"/>
    </row>
    <row r="2578" spans="4:19">
      <c r="D2578" s="104"/>
      <c r="E2578" s="104"/>
      <c r="F2578" s="104"/>
      <c r="G2578" s="104"/>
      <c r="H2578" s="104"/>
      <c r="I2578" s="104"/>
      <c r="J2578" s="104"/>
      <c r="K2578" s="104"/>
      <c r="L2578" s="104"/>
      <c r="M2578" s="104"/>
      <c r="N2578" s="104"/>
      <c r="O2578" s="104"/>
      <c r="P2578" s="104"/>
      <c r="Q2578" s="104"/>
      <c r="R2578" s="104"/>
      <c r="S2578" s="104"/>
    </row>
    <row r="2579" spans="4:19">
      <c r="D2579" s="104"/>
      <c r="E2579" s="104"/>
      <c r="F2579" s="104"/>
      <c r="G2579" s="104"/>
      <c r="H2579" s="104"/>
      <c r="I2579" s="104"/>
      <c r="J2579" s="104"/>
      <c r="K2579" s="104"/>
      <c r="L2579" s="104"/>
      <c r="M2579" s="104"/>
      <c r="N2579" s="104"/>
      <c r="O2579" s="104"/>
      <c r="P2579" s="104"/>
      <c r="Q2579" s="104"/>
      <c r="R2579" s="104"/>
      <c r="S2579" s="104"/>
    </row>
    <row r="2580" spans="4:19">
      <c r="D2580" s="104"/>
      <c r="E2580" s="104"/>
      <c r="F2580" s="104"/>
      <c r="G2580" s="104"/>
      <c r="H2580" s="104"/>
      <c r="I2580" s="104"/>
      <c r="J2580" s="104"/>
      <c r="K2580" s="104"/>
      <c r="L2580" s="104"/>
      <c r="M2580" s="104"/>
      <c r="N2580" s="104"/>
      <c r="O2580" s="104"/>
      <c r="P2580" s="104"/>
      <c r="Q2580" s="104"/>
      <c r="R2580" s="104"/>
      <c r="S2580" s="104"/>
    </row>
    <row r="2581" spans="4:19">
      <c r="D2581" s="104"/>
      <c r="E2581" s="104"/>
      <c r="F2581" s="104"/>
      <c r="G2581" s="104"/>
      <c r="H2581" s="104"/>
      <c r="I2581" s="104"/>
      <c r="J2581" s="104"/>
      <c r="K2581" s="104"/>
      <c r="L2581" s="104"/>
      <c r="M2581" s="104"/>
      <c r="N2581" s="104"/>
      <c r="O2581" s="104"/>
      <c r="P2581" s="104"/>
      <c r="Q2581" s="104"/>
      <c r="R2581" s="104"/>
      <c r="S2581" s="104"/>
    </row>
    <row r="2582" spans="4:19">
      <c r="D2582" s="104"/>
      <c r="E2582" s="104"/>
      <c r="F2582" s="104"/>
      <c r="G2582" s="104"/>
      <c r="H2582" s="104"/>
      <c r="I2582" s="104"/>
      <c r="J2582" s="104"/>
      <c r="K2582" s="104"/>
      <c r="L2582" s="104"/>
      <c r="M2582" s="104"/>
      <c r="N2582" s="104"/>
      <c r="O2582" s="104"/>
      <c r="P2582" s="104"/>
      <c r="Q2582" s="104"/>
      <c r="R2582" s="104"/>
      <c r="S2582" s="104"/>
    </row>
    <row r="2583" spans="4:19">
      <c r="D2583" s="104"/>
      <c r="E2583" s="104"/>
      <c r="F2583" s="104"/>
      <c r="G2583" s="104"/>
      <c r="H2583" s="104"/>
      <c r="I2583" s="104"/>
      <c r="J2583" s="104"/>
      <c r="K2583" s="104"/>
      <c r="L2583" s="104"/>
      <c r="M2583" s="104"/>
      <c r="N2583" s="104"/>
      <c r="O2583" s="104"/>
      <c r="P2583" s="104"/>
      <c r="Q2583" s="104"/>
      <c r="R2583" s="104"/>
      <c r="S2583" s="104"/>
    </row>
    <row r="2584" spans="4:19">
      <c r="D2584" s="104"/>
      <c r="E2584" s="104"/>
      <c r="F2584" s="104"/>
      <c r="G2584" s="104"/>
      <c r="H2584" s="104"/>
      <c r="I2584" s="104"/>
      <c r="J2584" s="104"/>
      <c r="K2584" s="104"/>
      <c r="L2584" s="104"/>
      <c r="M2584" s="104"/>
      <c r="N2584" s="104"/>
      <c r="O2584" s="104"/>
      <c r="P2584" s="104"/>
      <c r="Q2584" s="104"/>
      <c r="R2584" s="104"/>
      <c r="S2584" s="104"/>
    </row>
    <row r="2585" spans="4:19">
      <c r="D2585" s="104"/>
      <c r="E2585" s="104"/>
      <c r="F2585" s="104"/>
      <c r="G2585" s="104"/>
      <c r="H2585" s="104"/>
      <c r="I2585" s="104"/>
      <c r="J2585" s="104"/>
      <c r="K2585" s="104"/>
      <c r="L2585" s="104"/>
      <c r="M2585" s="104"/>
      <c r="N2585" s="104"/>
      <c r="O2585" s="104"/>
      <c r="P2585" s="104"/>
      <c r="Q2585" s="104"/>
      <c r="R2585" s="104"/>
      <c r="S2585" s="104"/>
    </row>
    <row r="2586" spans="4:19">
      <c r="D2586" s="104"/>
      <c r="E2586" s="104"/>
      <c r="F2586" s="104"/>
      <c r="G2586" s="104"/>
      <c r="H2586" s="104"/>
      <c r="I2586" s="104"/>
      <c r="J2586" s="104"/>
      <c r="K2586" s="104"/>
      <c r="L2586" s="104"/>
      <c r="M2586" s="104"/>
      <c r="N2586" s="104"/>
      <c r="O2586" s="104"/>
      <c r="P2586" s="104"/>
      <c r="Q2586" s="104"/>
      <c r="R2586" s="104"/>
      <c r="S2586" s="104"/>
    </row>
    <row r="2587" spans="4:19">
      <c r="D2587" s="104"/>
      <c r="E2587" s="104"/>
      <c r="F2587" s="104"/>
      <c r="G2587" s="104"/>
      <c r="H2587" s="104"/>
      <c r="I2587" s="104"/>
      <c r="J2587" s="104"/>
      <c r="K2587" s="104"/>
      <c r="L2587" s="104"/>
      <c r="M2587" s="104"/>
      <c r="N2587" s="104"/>
      <c r="O2587" s="104"/>
      <c r="P2587" s="104"/>
      <c r="Q2587" s="104"/>
      <c r="R2587" s="104"/>
      <c r="S2587" s="104"/>
    </row>
    <row r="2588" spans="4:19">
      <c r="D2588" s="104"/>
      <c r="E2588" s="104"/>
      <c r="F2588" s="104"/>
      <c r="G2588" s="104"/>
      <c r="H2588" s="104"/>
      <c r="I2588" s="104"/>
      <c r="J2588" s="104"/>
      <c r="K2588" s="104"/>
      <c r="L2588" s="104"/>
      <c r="M2588" s="104"/>
      <c r="N2588" s="104"/>
      <c r="O2588" s="104"/>
      <c r="P2588" s="104"/>
      <c r="Q2588" s="104"/>
      <c r="R2588" s="104"/>
      <c r="S2588" s="104"/>
    </row>
    <row r="2589" spans="4:19">
      <c r="D2589" s="104"/>
      <c r="E2589" s="104"/>
      <c r="F2589" s="104"/>
      <c r="G2589" s="104"/>
      <c r="H2589" s="104"/>
      <c r="I2589" s="104"/>
      <c r="J2589" s="104"/>
      <c r="K2589" s="104"/>
      <c r="L2589" s="104"/>
      <c r="M2589" s="104"/>
      <c r="N2589" s="104"/>
      <c r="O2589" s="104"/>
      <c r="P2589" s="104"/>
      <c r="Q2589" s="104"/>
      <c r="R2589" s="104"/>
      <c r="S2589" s="104"/>
    </row>
    <row r="2590" spans="4:19">
      <c r="D2590" s="104"/>
      <c r="E2590" s="104"/>
      <c r="F2590" s="104"/>
      <c r="G2590" s="104"/>
      <c r="H2590" s="104"/>
      <c r="I2590" s="104"/>
      <c r="J2590" s="104"/>
      <c r="K2590" s="104"/>
      <c r="L2590" s="104"/>
      <c r="M2590" s="104"/>
      <c r="N2590" s="104"/>
      <c r="O2590" s="104"/>
      <c r="P2590" s="104"/>
      <c r="Q2590" s="104"/>
      <c r="R2590" s="104"/>
      <c r="S2590" s="104"/>
    </row>
    <row r="2591" spans="4:19">
      <c r="D2591" s="104"/>
      <c r="E2591" s="104"/>
      <c r="F2591" s="104"/>
      <c r="G2591" s="104"/>
      <c r="H2591" s="104"/>
      <c r="I2591" s="104"/>
      <c r="J2591" s="104"/>
      <c r="K2591" s="104"/>
      <c r="L2591" s="104"/>
      <c r="M2591" s="104"/>
      <c r="N2591" s="104"/>
      <c r="O2591" s="104"/>
      <c r="P2591" s="104"/>
      <c r="Q2591" s="104"/>
      <c r="R2591" s="104"/>
      <c r="S2591" s="104"/>
    </row>
    <row r="2592" spans="4:19">
      <c r="D2592" s="104"/>
      <c r="E2592" s="104"/>
      <c r="F2592" s="104"/>
      <c r="G2592" s="104"/>
      <c r="H2592" s="104"/>
      <c r="I2592" s="104"/>
      <c r="J2592" s="104"/>
      <c r="K2592" s="104"/>
      <c r="L2592" s="104"/>
      <c r="M2592" s="104"/>
      <c r="N2592" s="104"/>
      <c r="O2592" s="104"/>
      <c r="P2592" s="104"/>
      <c r="Q2592" s="104"/>
      <c r="R2592" s="104"/>
      <c r="S2592" s="104"/>
    </row>
    <row r="2593" spans="4:19">
      <c r="D2593" s="104"/>
      <c r="E2593" s="104"/>
      <c r="F2593" s="104"/>
      <c r="G2593" s="104"/>
      <c r="H2593" s="104"/>
      <c r="I2593" s="104"/>
      <c r="J2593" s="104"/>
      <c r="K2593" s="104"/>
      <c r="L2593" s="104"/>
      <c r="M2593" s="104"/>
      <c r="N2593" s="104"/>
      <c r="O2593" s="104"/>
      <c r="P2593" s="104"/>
      <c r="Q2593" s="104"/>
      <c r="R2593" s="104"/>
      <c r="S2593" s="104"/>
    </row>
    <row r="2594" spans="4:19">
      <c r="D2594" s="104"/>
      <c r="E2594" s="104"/>
      <c r="F2594" s="104"/>
      <c r="G2594" s="104"/>
      <c r="H2594" s="104"/>
      <c r="I2594" s="104"/>
      <c r="J2594" s="104"/>
      <c r="K2594" s="104"/>
      <c r="L2594" s="104"/>
      <c r="M2594" s="104"/>
      <c r="N2594" s="104"/>
      <c r="O2594" s="104"/>
      <c r="P2594" s="104"/>
      <c r="Q2594" s="104"/>
      <c r="R2594" s="104"/>
      <c r="S2594" s="104"/>
    </row>
    <row r="2595" spans="4:19">
      <c r="D2595" s="104"/>
      <c r="E2595" s="104"/>
      <c r="F2595" s="104"/>
      <c r="G2595" s="104"/>
      <c r="H2595" s="104"/>
      <c r="I2595" s="104"/>
      <c r="J2595" s="104"/>
      <c r="K2595" s="104"/>
      <c r="L2595" s="104"/>
      <c r="M2595" s="104"/>
      <c r="N2595" s="104"/>
      <c r="O2595" s="104"/>
      <c r="P2595" s="104"/>
      <c r="Q2595" s="104"/>
      <c r="R2595" s="104"/>
      <c r="S2595" s="104"/>
    </row>
    <row r="2596" spans="4:19">
      <c r="D2596" s="104"/>
      <c r="E2596" s="104"/>
      <c r="F2596" s="104"/>
      <c r="G2596" s="104"/>
      <c r="H2596" s="104"/>
      <c r="I2596" s="104"/>
      <c r="J2596" s="104"/>
      <c r="K2596" s="104"/>
      <c r="L2596" s="104"/>
      <c r="M2596" s="104"/>
      <c r="N2596" s="104"/>
      <c r="O2596" s="104"/>
      <c r="P2596" s="104"/>
      <c r="Q2596" s="104"/>
      <c r="R2596" s="104"/>
      <c r="S2596" s="104"/>
    </row>
    <row r="2597" spans="4:19">
      <c r="D2597" s="104"/>
      <c r="E2597" s="104"/>
      <c r="F2597" s="104"/>
      <c r="G2597" s="104"/>
      <c r="H2597" s="104"/>
      <c r="I2597" s="104"/>
      <c r="J2597" s="104"/>
      <c r="K2597" s="104"/>
      <c r="L2597" s="104"/>
      <c r="M2597" s="104"/>
      <c r="N2597" s="104"/>
      <c r="O2597" s="104"/>
      <c r="P2597" s="104"/>
      <c r="Q2597" s="104"/>
      <c r="R2597" s="104"/>
      <c r="S2597" s="104"/>
    </row>
    <row r="2598" spans="4:19">
      <c r="D2598" s="104"/>
      <c r="E2598" s="104"/>
      <c r="F2598" s="104"/>
      <c r="G2598" s="104"/>
      <c r="H2598" s="104"/>
      <c r="I2598" s="104"/>
      <c r="J2598" s="104"/>
      <c r="K2598" s="104"/>
      <c r="L2598" s="104"/>
      <c r="M2598" s="104"/>
      <c r="N2598" s="104"/>
      <c r="O2598" s="104"/>
      <c r="P2598" s="104"/>
      <c r="Q2598" s="104"/>
      <c r="R2598" s="104"/>
      <c r="S2598" s="104"/>
    </row>
    <row r="2599" spans="4:19">
      <c r="D2599" s="104"/>
      <c r="E2599" s="104"/>
      <c r="F2599" s="104"/>
      <c r="G2599" s="104"/>
      <c r="H2599" s="104"/>
      <c r="I2599" s="104"/>
      <c r="J2599" s="104"/>
      <c r="K2599" s="104"/>
      <c r="L2599" s="104"/>
      <c r="M2599" s="104"/>
      <c r="N2599" s="104"/>
      <c r="O2599" s="104"/>
      <c r="P2599" s="104"/>
      <c r="Q2599" s="104"/>
      <c r="R2599" s="104"/>
      <c r="S2599" s="104"/>
    </row>
    <row r="2600" spans="4:19">
      <c r="D2600" s="104"/>
      <c r="E2600" s="104"/>
      <c r="F2600" s="104"/>
      <c r="G2600" s="104"/>
      <c r="H2600" s="104"/>
      <c r="I2600" s="104"/>
      <c r="J2600" s="104"/>
      <c r="K2600" s="104"/>
      <c r="L2600" s="104"/>
      <c r="M2600" s="104"/>
      <c r="N2600" s="104"/>
      <c r="O2600" s="104"/>
      <c r="P2600" s="104"/>
      <c r="Q2600" s="104"/>
      <c r="R2600" s="104"/>
      <c r="S2600" s="104"/>
    </row>
    <row r="2601" spans="4:19">
      <c r="D2601" s="104"/>
      <c r="E2601" s="104"/>
      <c r="F2601" s="104"/>
      <c r="G2601" s="104"/>
      <c r="H2601" s="104"/>
      <c r="I2601" s="104"/>
      <c r="J2601" s="104"/>
      <c r="K2601" s="104"/>
      <c r="L2601" s="104"/>
      <c r="M2601" s="104"/>
      <c r="N2601" s="104"/>
      <c r="O2601" s="104"/>
      <c r="P2601" s="104"/>
      <c r="Q2601" s="104"/>
      <c r="R2601" s="104"/>
      <c r="S2601" s="104"/>
    </row>
    <row r="2602" spans="4:19">
      <c r="D2602" s="104"/>
      <c r="E2602" s="104"/>
      <c r="F2602" s="104"/>
      <c r="G2602" s="104"/>
      <c r="H2602" s="104"/>
      <c r="I2602" s="104"/>
      <c r="J2602" s="104"/>
      <c r="K2602" s="104"/>
      <c r="L2602" s="104"/>
      <c r="M2602" s="104"/>
      <c r="N2602" s="104"/>
      <c r="O2602" s="104"/>
      <c r="P2602" s="104"/>
      <c r="Q2602" s="104"/>
      <c r="R2602" s="104"/>
      <c r="S2602" s="104"/>
    </row>
    <row r="2603" spans="4:19">
      <c r="D2603" s="104"/>
      <c r="E2603" s="104"/>
      <c r="F2603" s="104"/>
      <c r="G2603" s="104"/>
      <c r="H2603" s="104"/>
      <c r="I2603" s="104"/>
      <c r="J2603" s="104"/>
      <c r="K2603" s="104"/>
      <c r="L2603" s="104"/>
      <c r="M2603" s="104"/>
      <c r="N2603" s="104"/>
      <c r="O2603" s="104"/>
      <c r="P2603" s="104"/>
      <c r="Q2603" s="104"/>
      <c r="R2603" s="104"/>
      <c r="S2603" s="104"/>
    </row>
    <row r="2604" spans="4:19">
      <c r="D2604" s="104"/>
      <c r="E2604" s="104"/>
      <c r="F2604" s="104"/>
      <c r="G2604" s="104"/>
      <c r="H2604" s="104"/>
      <c r="I2604" s="104"/>
      <c r="J2604" s="104"/>
      <c r="K2604" s="104"/>
      <c r="L2604" s="104"/>
      <c r="M2604" s="104"/>
      <c r="N2604" s="104"/>
      <c r="O2604" s="104"/>
      <c r="P2604" s="104"/>
      <c r="Q2604" s="104"/>
      <c r="R2604" s="104"/>
      <c r="S2604" s="104"/>
    </row>
    <row r="2605" spans="4:19">
      <c r="D2605" s="104"/>
      <c r="E2605" s="104"/>
      <c r="F2605" s="104"/>
      <c r="G2605" s="104"/>
      <c r="H2605" s="104"/>
      <c r="I2605" s="104"/>
      <c r="J2605" s="104"/>
      <c r="K2605" s="104"/>
      <c r="L2605" s="104"/>
      <c r="M2605" s="104"/>
      <c r="N2605" s="104"/>
      <c r="O2605" s="104"/>
      <c r="P2605" s="104"/>
      <c r="Q2605" s="104"/>
      <c r="R2605" s="104"/>
      <c r="S2605" s="104"/>
    </row>
    <row r="2606" spans="4:19">
      <c r="D2606" s="104"/>
      <c r="E2606" s="104"/>
      <c r="F2606" s="104"/>
      <c r="G2606" s="104"/>
      <c r="H2606" s="104"/>
      <c r="I2606" s="104"/>
      <c r="J2606" s="104"/>
      <c r="K2606" s="104"/>
      <c r="L2606" s="104"/>
      <c r="M2606" s="104"/>
      <c r="N2606" s="104"/>
      <c r="O2606" s="104"/>
      <c r="P2606" s="104"/>
      <c r="Q2606" s="104"/>
      <c r="R2606" s="104"/>
      <c r="S2606" s="104"/>
    </row>
    <row r="2607" spans="4:19">
      <c r="D2607" s="104"/>
      <c r="E2607" s="104"/>
      <c r="F2607" s="104"/>
      <c r="G2607" s="104"/>
      <c r="H2607" s="104"/>
      <c r="I2607" s="104"/>
      <c r="J2607" s="104"/>
      <c r="K2607" s="104"/>
      <c r="L2607" s="104"/>
      <c r="M2607" s="104"/>
      <c r="N2607" s="104"/>
      <c r="O2607" s="104"/>
      <c r="P2607" s="104"/>
      <c r="Q2607" s="104"/>
      <c r="R2607" s="104"/>
      <c r="S2607" s="104"/>
    </row>
    <row r="2608" spans="4:19">
      <c r="D2608" s="104"/>
      <c r="E2608" s="104"/>
      <c r="F2608" s="104"/>
      <c r="G2608" s="104"/>
      <c r="H2608" s="104"/>
      <c r="I2608" s="104"/>
      <c r="J2608" s="104"/>
      <c r="K2608" s="104"/>
      <c r="L2608" s="104"/>
      <c r="M2608" s="104"/>
      <c r="N2608" s="104"/>
      <c r="O2608" s="104"/>
      <c r="P2608" s="104"/>
      <c r="Q2608" s="104"/>
      <c r="R2608" s="104"/>
      <c r="S2608" s="104"/>
    </row>
    <row r="2609" spans="4:19">
      <c r="D2609" s="104"/>
      <c r="E2609" s="104"/>
      <c r="F2609" s="104"/>
      <c r="G2609" s="104"/>
      <c r="H2609" s="104"/>
      <c r="I2609" s="104"/>
      <c r="J2609" s="104"/>
      <c r="K2609" s="104"/>
      <c r="L2609" s="104"/>
      <c r="M2609" s="104"/>
      <c r="N2609" s="104"/>
      <c r="O2609" s="104"/>
      <c r="P2609" s="104"/>
      <c r="Q2609" s="104"/>
      <c r="R2609" s="104"/>
      <c r="S2609" s="104"/>
    </row>
    <row r="2610" spans="4:19">
      <c r="D2610" s="104"/>
      <c r="E2610" s="104"/>
      <c r="F2610" s="104"/>
      <c r="G2610" s="104"/>
      <c r="H2610" s="104"/>
      <c r="I2610" s="104"/>
      <c r="J2610" s="104"/>
      <c r="K2610" s="104"/>
      <c r="L2610" s="104"/>
      <c r="M2610" s="104"/>
      <c r="N2610" s="104"/>
      <c r="O2610" s="104"/>
      <c r="P2610" s="104"/>
      <c r="Q2610" s="104"/>
      <c r="R2610" s="104"/>
      <c r="S2610" s="104"/>
    </row>
    <row r="2611" spans="4:19">
      <c r="D2611" s="104"/>
      <c r="E2611" s="104"/>
      <c r="F2611" s="104"/>
      <c r="G2611" s="104"/>
      <c r="H2611" s="104"/>
      <c r="I2611" s="104"/>
      <c r="J2611" s="104"/>
      <c r="K2611" s="104"/>
      <c r="L2611" s="104"/>
      <c r="M2611" s="104"/>
      <c r="N2611" s="104"/>
      <c r="O2611" s="104"/>
      <c r="P2611" s="104"/>
      <c r="Q2611" s="104"/>
      <c r="R2611" s="104"/>
      <c r="S2611" s="104"/>
    </row>
    <row r="2612" spans="4:19">
      <c r="D2612" s="104"/>
      <c r="E2612" s="104"/>
      <c r="F2612" s="104"/>
      <c r="G2612" s="104"/>
      <c r="H2612" s="104"/>
      <c r="I2612" s="104"/>
      <c r="J2612" s="104"/>
      <c r="K2612" s="104"/>
      <c r="L2612" s="104"/>
      <c r="M2612" s="104"/>
      <c r="N2612" s="104"/>
      <c r="O2612" s="104"/>
      <c r="P2612" s="104"/>
      <c r="Q2612" s="104"/>
      <c r="R2612" s="104"/>
      <c r="S2612" s="104"/>
    </row>
    <row r="2613" spans="4:19">
      <c r="D2613" s="104"/>
      <c r="E2613" s="104"/>
      <c r="F2613" s="104"/>
      <c r="G2613" s="104"/>
      <c r="H2613" s="104"/>
      <c r="I2613" s="104"/>
      <c r="J2613" s="104"/>
      <c r="K2613" s="104"/>
      <c r="L2613" s="104"/>
      <c r="M2613" s="104"/>
      <c r="N2613" s="104"/>
      <c r="O2613" s="104"/>
      <c r="P2613" s="104"/>
      <c r="Q2613" s="104"/>
      <c r="R2613" s="104"/>
      <c r="S2613" s="104"/>
    </row>
    <row r="2614" spans="4:19">
      <c r="D2614" s="104"/>
      <c r="E2614" s="104"/>
      <c r="F2614" s="104"/>
      <c r="G2614" s="104"/>
      <c r="H2614" s="104"/>
      <c r="I2614" s="104"/>
      <c r="J2614" s="104"/>
      <c r="K2614" s="104"/>
      <c r="L2614" s="104"/>
      <c r="M2614" s="104"/>
      <c r="N2614" s="104"/>
      <c r="O2614" s="104"/>
      <c r="P2614" s="104"/>
      <c r="Q2614" s="104"/>
      <c r="R2614" s="104"/>
      <c r="S2614" s="104"/>
    </row>
    <row r="2615" spans="4:19">
      <c r="D2615" s="104"/>
      <c r="E2615" s="104"/>
      <c r="F2615" s="104"/>
      <c r="G2615" s="104"/>
      <c r="H2615" s="104"/>
      <c r="I2615" s="104"/>
      <c r="J2615" s="104"/>
      <c r="K2615" s="104"/>
      <c r="L2615" s="104"/>
      <c r="M2615" s="104"/>
      <c r="N2615" s="104"/>
      <c r="O2615" s="104"/>
      <c r="P2615" s="104"/>
      <c r="Q2615" s="104"/>
      <c r="R2615" s="104"/>
      <c r="S2615" s="104"/>
    </row>
    <row r="2616" spans="4:19">
      <c r="D2616" s="104"/>
      <c r="E2616" s="104"/>
      <c r="F2616" s="104"/>
      <c r="G2616" s="104"/>
      <c r="H2616" s="104"/>
      <c r="I2616" s="104"/>
      <c r="J2616" s="104"/>
      <c r="K2616" s="104"/>
      <c r="L2616" s="104"/>
      <c r="M2616" s="104"/>
      <c r="N2616" s="104"/>
      <c r="O2616" s="104"/>
      <c r="P2616" s="104"/>
      <c r="Q2616" s="104"/>
      <c r="R2616" s="104"/>
      <c r="S2616" s="104"/>
    </row>
    <row r="2617" spans="4:19">
      <c r="D2617" s="104"/>
      <c r="E2617" s="104"/>
      <c r="F2617" s="104"/>
      <c r="G2617" s="104"/>
      <c r="H2617" s="104"/>
      <c r="I2617" s="104"/>
      <c r="J2617" s="104"/>
      <c r="K2617" s="104"/>
      <c r="L2617" s="104"/>
      <c r="M2617" s="104"/>
      <c r="N2617" s="104"/>
      <c r="O2617" s="104"/>
      <c r="P2617" s="104"/>
      <c r="Q2617" s="104"/>
      <c r="R2617" s="104"/>
      <c r="S2617" s="104"/>
    </row>
    <row r="2618" spans="4:19">
      <c r="D2618" s="104"/>
      <c r="E2618" s="104"/>
      <c r="F2618" s="104"/>
      <c r="G2618" s="104"/>
      <c r="H2618" s="104"/>
      <c r="I2618" s="104"/>
      <c r="J2618" s="104"/>
      <c r="K2618" s="104"/>
      <c r="L2618" s="104"/>
      <c r="M2618" s="104"/>
      <c r="N2618" s="104"/>
      <c r="O2618" s="104"/>
      <c r="P2618" s="104"/>
      <c r="Q2618" s="104"/>
      <c r="R2618" s="104"/>
      <c r="S2618" s="104"/>
    </row>
    <row r="2619" spans="4:19">
      <c r="D2619" s="104"/>
      <c r="E2619" s="104"/>
      <c r="F2619" s="104"/>
      <c r="G2619" s="104"/>
      <c r="H2619" s="104"/>
      <c r="I2619" s="104"/>
      <c r="J2619" s="104"/>
      <c r="K2619" s="104"/>
      <c r="L2619" s="104"/>
      <c r="M2619" s="104"/>
      <c r="N2619" s="104"/>
      <c r="O2619" s="104"/>
      <c r="P2619" s="104"/>
      <c r="Q2619" s="104"/>
      <c r="R2619" s="104"/>
      <c r="S2619" s="104"/>
    </row>
    <row r="2620" spans="4:19">
      <c r="D2620" s="104"/>
      <c r="E2620" s="104"/>
      <c r="F2620" s="104"/>
      <c r="G2620" s="104"/>
      <c r="H2620" s="104"/>
      <c r="I2620" s="104"/>
      <c r="J2620" s="104"/>
      <c r="K2620" s="104"/>
      <c r="L2620" s="104"/>
      <c r="M2620" s="104"/>
      <c r="N2620" s="104"/>
      <c r="O2620" s="104"/>
      <c r="P2620" s="104"/>
      <c r="Q2620" s="104"/>
      <c r="R2620" s="104"/>
      <c r="S2620" s="104"/>
    </row>
    <row r="2621" spans="4:19">
      <c r="D2621" s="104"/>
      <c r="E2621" s="104"/>
      <c r="F2621" s="104"/>
      <c r="G2621" s="104"/>
      <c r="H2621" s="104"/>
      <c r="I2621" s="104"/>
      <c r="J2621" s="104"/>
      <c r="K2621" s="104"/>
      <c r="L2621" s="104"/>
      <c r="M2621" s="104"/>
      <c r="N2621" s="104"/>
      <c r="O2621" s="104"/>
      <c r="P2621" s="104"/>
      <c r="Q2621" s="104"/>
      <c r="R2621" s="104"/>
      <c r="S2621" s="104"/>
    </row>
    <row r="2622" spans="4:19">
      <c r="D2622" s="104"/>
      <c r="E2622" s="104"/>
      <c r="F2622" s="104"/>
      <c r="G2622" s="104"/>
      <c r="H2622" s="104"/>
      <c r="I2622" s="104"/>
      <c r="J2622" s="104"/>
      <c r="K2622" s="104"/>
      <c r="L2622" s="104"/>
      <c r="M2622" s="104"/>
      <c r="N2622" s="104"/>
      <c r="O2622" s="104"/>
      <c r="P2622" s="104"/>
      <c r="Q2622" s="104"/>
      <c r="R2622" s="104"/>
      <c r="S2622" s="104"/>
    </row>
    <row r="2623" spans="4:19">
      <c r="D2623" s="104"/>
      <c r="E2623" s="104"/>
      <c r="F2623" s="104"/>
      <c r="G2623" s="104"/>
      <c r="H2623" s="104"/>
      <c r="I2623" s="104"/>
      <c r="J2623" s="104"/>
      <c r="K2623" s="104"/>
      <c r="L2623" s="104"/>
      <c r="M2623" s="104"/>
      <c r="N2623" s="104"/>
      <c r="O2623" s="104"/>
      <c r="P2623" s="104"/>
      <c r="Q2623" s="104"/>
      <c r="R2623" s="104"/>
      <c r="S2623" s="104"/>
    </row>
    <row r="2624" spans="4:19">
      <c r="D2624" s="104"/>
      <c r="E2624" s="104"/>
      <c r="F2624" s="104"/>
      <c r="G2624" s="104"/>
      <c r="H2624" s="104"/>
      <c r="I2624" s="104"/>
      <c r="J2624" s="104"/>
      <c r="K2624" s="104"/>
      <c r="L2624" s="104"/>
      <c r="M2624" s="104"/>
      <c r="N2624" s="104"/>
      <c r="O2624" s="104"/>
      <c r="P2624" s="104"/>
      <c r="Q2624" s="104"/>
      <c r="R2624" s="104"/>
      <c r="S2624" s="104"/>
    </row>
    <row r="2625" spans="4:19">
      <c r="D2625" s="104"/>
      <c r="E2625" s="104"/>
      <c r="F2625" s="104"/>
      <c r="G2625" s="104"/>
      <c r="H2625" s="104"/>
      <c r="I2625" s="104"/>
      <c r="J2625" s="104"/>
      <c r="K2625" s="104"/>
      <c r="L2625" s="104"/>
      <c r="M2625" s="104"/>
      <c r="N2625" s="104"/>
      <c r="O2625" s="104"/>
      <c r="P2625" s="104"/>
      <c r="Q2625" s="104"/>
      <c r="R2625" s="104"/>
      <c r="S2625" s="104"/>
    </row>
    <row r="2626" spans="4:19">
      <c r="D2626" s="104"/>
      <c r="E2626" s="104"/>
      <c r="F2626" s="104"/>
      <c r="G2626" s="104"/>
      <c r="H2626" s="104"/>
      <c r="I2626" s="104"/>
      <c r="J2626" s="104"/>
      <c r="K2626" s="104"/>
      <c r="L2626" s="104"/>
      <c r="M2626" s="104"/>
      <c r="N2626" s="104"/>
      <c r="O2626" s="104"/>
      <c r="P2626" s="104"/>
      <c r="Q2626" s="104"/>
      <c r="R2626" s="104"/>
      <c r="S2626" s="104"/>
    </row>
    <row r="2627" spans="4:19">
      <c r="D2627" s="104"/>
      <c r="E2627" s="104"/>
      <c r="F2627" s="104"/>
      <c r="G2627" s="104"/>
      <c r="H2627" s="104"/>
      <c r="I2627" s="104"/>
      <c r="J2627" s="104"/>
      <c r="K2627" s="104"/>
      <c r="L2627" s="104"/>
      <c r="M2627" s="104"/>
      <c r="N2627" s="104"/>
      <c r="O2627" s="104"/>
      <c r="P2627" s="104"/>
      <c r="Q2627" s="104"/>
      <c r="R2627" s="104"/>
      <c r="S2627" s="104"/>
    </row>
    <row r="2628" spans="4:19">
      <c r="D2628" s="104"/>
      <c r="E2628" s="104"/>
      <c r="F2628" s="104"/>
      <c r="G2628" s="104"/>
      <c r="H2628" s="104"/>
      <c r="I2628" s="104"/>
      <c r="J2628" s="104"/>
      <c r="K2628" s="104"/>
      <c r="L2628" s="104"/>
      <c r="M2628" s="104"/>
      <c r="N2628" s="104"/>
      <c r="O2628" s="104"/>
      <c r="P2628" s="104"/>
      <c r="Q2628" s="104"/>
      <c r="R2628" s="104"/>
      <c r="S2628" s="104"/>
    </row>
    <row r="2629" spans="4:19">
      <c r="D2629" s="104"/>
      <c r="E2629" s="104"/>
      <c r="F2629" s="104"/>
      <c r="G2629" s="104"/>
      <c r="H2629" s="104"/>
      <c r="I2629" s="104"/>
      <c r="J2629" s="104"/>
      <c r="K2629" s="104"/>
      <c r="L2629" s="104"/>
      <c r="M2629" s="104"/>
      <c r="N2629" s="104"/>
      <c r="O2629" s="104"/>
      <c r="P2629" s="104"/>
      <c r="Q2629" s="104"/>
      <c r="R2629" s="104"/>
      <c r="S2629" s="104"/>
    </row>
    <row r="2630" spans="4:19">
      <c r="D2630" s="104"/>
      <c r="E2630" s="104"/>
      <c r="F2630" s="104"/>
      <c r="G2630" s="104"/>
      <c r="H2630" s="104"/>
      <c r="I2630" s="104"/>
      <c r="J2630" s="104"/>
      <c r="K2630" s="104"/>
      <c r="L2630" s="104"/>
      <c r="M2630" s="104"/>
      <c r="N2630" s="104"/>
      <c r="O2630" s="104"/>
      <c r="P2630" s="104"/>
      <c r="Q2630" s="104"/>
      <c r="R2630" s="104"/>
      <c r="S2630" s="104"/>
    </row>
    <row r="2631" spans="4:19">
      <c r="D2631" s="104"/>
      <c r="E2631" s="104"/>
      <c r="F2631" s="104"/>
      <c r="G2631" s="104"/>
      <c r="H2631" s="104"/>
      <c r="I2631" s="104"/>
      <c r="J2631" s="104"/>
      <c r="K2631" s="104"/>
      <c r="L2631" s="104"/>
      <c r="M2631" s="104"/>
      <c r="N2631" s="104"/>
      <c r="O2631" s="104"/>
      <c r="P2631" s="104"/>
      <c r="Q2631" s="104"/>
      <c r="R2631" s="104"/>
      <c r="S2631" s="104"/>
    </row>
    <row r="2632" spans="4:19">
      <c r="D2632" s="104"/>
      <c r="E2632" s="104"/>
      <c r="F2632" s="104"/>
      <c r="G2632" s="104"/>
      <c r="H2632" s="104"/>
      <c r="I2632" s="104"/>
      <c r="J2632" s="104"/>
      <c r="K2632" s="104"/>
      <c r="L2632" s="104"/>
      <c r="M2632" s="104"/>
      <c r="N2632" s="104"/>
      <c r="O2632" s="104"/>
      <c r="P2632" s="104"/>
      <c r="Q2632" s="104"/>
      <c r="R2632" s="104"/>
      <c r="S2632" s="104"/>
    </row>
    <row r="2633" spans="4:19">
      <c r="D2633" s="104"/>
      <c r="E2633" s="104"/>
      <c r="F2633" s="104"/>
      <c r="G2633" s="104"/>
      <c r="H2633" s="104"/>
      <c r="I2633" s="104"/>
      <c r="J2633" s="104"/>
      <c r="K2633" s="104"/>
      <c r="L2633" s="104"/>
      <c r="M2633" s="104"/>
      <c r="N2633" s="104"/>
      <c r="O2633" s="104"/>
      <c r="P2633" s="104"/>
      <c r="Q2633" s="104"/>
      <c r="R2633" s="104"/>
      <c r="S2633" s="104"/>
    </row>
    <row r="2634" spans="4:19">
      <c r="D2634" s="104"/>
      <c r="E2634" s="104"/>
      <c r="F2634" s="104"/>
      <c r="G2634" s="104"/>
      <c r="H2634" s="104"/>
      <c r="I2634" s="104"/>
      <c r="J2634" s="104"/>
      <c r="K2634" s="104"/>
      <c r="L2634" s="104"/>
      <c r="M2634" s="104"/>
      <c r="N2634" s="104"/>
      <c r="O2634" s="104"/>
      <c r="P2634" s="104"/>
      <c r="Q2634" s="104"/>
      <c r="R2634" s="104"/>
      <c r="S2634" s="104"/>
    </row>
    <row r="2635" spans="4:19">
      <c r="D2635" s="104"/>
      <c r="E2635" s="104"/>
      <c r="F2635" s="104"/>
      <c r="G2635" s="104"/>
      <c r="H2635" s="104"/>
      <c r="I2635" s="104"/>
      <c r="J2635" s="104"/>
      <c r="K2635" s="104"/>
      <c r="L2635" s="104"/>
      <c r="M2635" s="104"/>
      <c r="N2635" s="104"/>
      <c r="O2635" s="104"/>
      <c r="P2635" s="104"/>
      <c r="Q2635" s="104"/>
      <c r="R2635" s="104"/>
      <c r="S2635" s="104"/>
    </row>
    <row r="2636" spans="4:19">
      <c r="D2636" s="104"/>
      <c r="E2636" s="104"/>
      <c r="F2636" s="104"/>
      <c r="G2636" s="104"/>
      <c r="H2636" s="104"/>
      <c r="I2636" s="104"/>
      <c r="J2636" s="104"/>
      <c r="K2636" s="104"/>
      <c r="L2636" s="104"/>
      <c r="M2636" s="104"/>
      <c r="N2636" s="104"/>
      <c r="O2636" s="104"/>
      <c r="P2636" s="104"/>
      <c r="Q2636" s="104"/>
      <c r="R2636" s="104"/>
      <c r="S2636" s="104"/>
    </row>
    <row r="2637" spans="4:19">
      <c r="D2637" s="104"/>
      <c r="E2637" s="104"/>
      <c r="F2637" s="104"/>
      <c r="G2637" s="104"/>
      <c r="H2637" s="104"/>
      <c r="I2637" s="104"/>
      <c r="J2637" s="104"/>
      <c r="K2637" s="104"/>
      <c r="L2637" s="104"/>
      <c r="M2637" s="104"/>
      <c r="N2637" s="104"/>
      <c r="O2637" s="104"/>
      <c r="P2637" s="104"/>
      <c r="Q2637" s="104"/>
      <c r="R2637" s="104"/>
      <c r="S2637" s="104"/>
    </row>
    <row r="2638" spans="4:19">
      <c r="D2638" s="104"/>
      <c r="E2638" s="104"/>
      <c r="F2638" s="104"/>
      <c r="G2638" s="104"/>
      <c r="H2638" s="104"/>
      <c r="I2638" s="104"/>
      <c r="J2638" s="104"/>
      <c r="K2638" s="104"/>
      <c r="L2638" s="104"/>
      <c r="M2638" s="104"/>
      <c r="N2638" s="104"/>
      <c r="O2638" s="104"/>
      <c r="P2638" s="104"/>
      <c r="Q2638" s="104"/>
      <c r="R2638" s="104"/>
      <c r="S2638" s="104"/>
    </row>
    <row r="2639" spans="4:19">
      <c r="D2639" s="104"/>
      <c r="E2639" s="104"/>
      <c r="F2639" s="104"/>
      <c r="G2639" s="104"/>
      <c r="H2639" s="104"/>
      <c r="I2639" s="104"/>
      <c r="J2639" s="104"/>
      <c r="K2639" s="104"/>
      <c r="L2639" s="104"/>
      <c r="M2639" s="104"/>
      <c r="N2639" s="104"/>
      <c r="O2639" s="104"/>
      <c r="P2639" s="104"/>
      <c r="Q2639" s="104"/>
      <c r="R2639" s="104"/>
      <c r="S2639" s="104"/>
    </row>
    <row r="2640" spans="4:19">
      <c r="D2640" s="104"/>
      <c r="E2640" s="104"/>
      <c r="F2640" s="104"/>
      <c r="G2640" s="104"/>
      <c r="H2640" s="104"/>
      <c r="I2640" s="104"/>
      <c r="J2640" s="104"/>
      <c r="K2640" s="104"/>
      <c r="L2640" s="104"/>
      <c r="M2640" s="104"/>
      <c r="N2640" s="104"/>
      <c r="O2640" s="104"/>
      <c r="P2640" s="104"/>
      <c r="Q2640" s="104"/>
      <c r="R2640" s="104"/>
      <c r="S2640" s="104"/>
    </row>
    <row r="2641" spans="4:19">
      <c r="D2641" s="104"/>
      <c r="E2641" s="104"/>
      <c r="F2641" s="104"/>
      <c r="G2641" s="104"/>
      <c r="H2641" s="104"/>
      <c r="I2641" s="104"/>
      <c r="J2641" s="104"/>
      <c r="K2641" s="104"/>
      <c r="L2641" s="104"/>
      <c r="M2641" s="104"/>
      <c r="N2641" s="104"/>
      <c r="O2641" s="104"/>
      <c r="P2641" s="104"/>
      <c r="Q2641" s="104"/>
      <c r="R2641" s="104"/>
      <c r="S2641" s="104"/>
    </row>
    <row r="2642" spans="4:19">
      <c r="D2642" s="104"/>
      <c r="E2642" s="104"/>
      <c r="F2642" s="104"/>
      <c r="G2642" s="104"/>
      <c r="H2642" s="104"/>
      <c r="I2642" s="104"/>
      <c r="J2642" s="104"/>
      <c r="K2642" s="104"/>
      <c r="L2642" s="104"/>
      <c r="M2642" s="104"/>
      <c r="N2642" s="104"/>
      <c r="O2642" s="104"/>
      <c r="P2642" s="104"/>
      <c r="Q2642" s="104"/>
      <c r="R2642" s="104"/>
      <c r="S2642" s="104"/>
    </row>
    <row r="2643" spans="4:19">
      <c r="D2643" s="104"/>
      <c r="E2643" s="104"/>
      <c r="F2643" s="104"/>
      <c r="G2643" s="104"/>
      <c r="H2643" s="104"/>
      <c r="I2643" s="104"/>
      <c r="J2643" s="104"/>
      <c r="K2643" s="104"/>
      <c r="L2643" s="104"/>
      <c r="M2643" s="104"/>
      <c r="N2643" s="104"/>
      <c r="O2643" s="104"/>
      <c r="P2643" s="104"/>
      <c r="Q2643" s="104"/>
      <c r="R2643" s="104"/>
      <c r="S2643" s="104"/>
    </row>
    <row r="2644" spans="4:19">
      <c r="D2644" s="104"/>
      <c r="E2644" s="104"/>
      <c r="F2644" s="104"/>
      <c r="G2644" s="104"/>
      <c r="H2644" s="104"/>
      <c r="I2644" s="104"/>
      <c r="J2644" s="104"/>
      <c r="K2644" s="104"/>
      <c r="L2644" s="104"/>
      <c r="M2644" s="104"/>
      <c r="N2644" s="104"/>
      <c r="O2644" s="104"/>
      <c r="P2644" s="104"/>
      <c r="Q2644" s="104"/>
      <c r="R2644" s="104"/>
      <c r="S2644" s="104"/>
    </row>
    <row r="2645" spans="4:19">
      <c r="D2645" s="104"/>
      <c r="E2645" s="104"/>
      <c r="F2645" s="104"/>
      <c r="G2645" s="104"/>
      <c r="H2645" s="104"/>
      <c r="I2645" s="104"/>
      <c r="J2645" s="104"/>
      <c r="K2645" s="104"/>
      <c r="L2645" s="104"/>
      <c r="M2645" s="104"/>
      <c r="N2645" s="104"/>
      <c r="O2645" s="104"/>
      <c r="P2645" s="104"/>
      <c r="Q2645" s="104"/>
      <c r="R2645" s="104"/>
      <c r="S2645" s="104"/>
    </row>
    <row r="2646" spans="4:19">
      <c r="D2646" s="104"/>
      <c r="E2646" s="104"/>
      <c r="F2646" s="104"/>
      <c r="G2646" s="104"/>
      <c r="H2646" s="104"/>
      <c r="I2646" s="104"/>
      <c r="J2646" s="104"/>
      <c r="K2646" s="104"/>
      <c r="L2646" s="104"/>
      <c r="M2646" s="104"/>
      <c r="N2646" s="104"/>
      <c r="O2646" s="104"/>
      <c r="P2646" s="104"/>
      <c r="Q2646" s="104"/>
      <c r="R2646" s="104"/>
      <c r="S2646" s="104"/>
    </row>
    <row r="2647" spans="4:19">
      <c r="D2647" s="104"/>
      <c r="E2647" s="104"/>
      <c r="F2647" s="104"/>
      <c r="G2647" s="104"/>
      <c r="H2647" s="104"/>
      <c r="I2647" s="104"/>
      <c r="J2647" s="104"/>
      <c r="K2647" s="104"/>
      <c r="L2647" s="104"/>
      <c r="M2647" s="104"/>
      <c r="N2647" s="104"/>
      <c r="O2647" s="104"/>
      <c r="P2647" s="104"/>
      <c r="Q2647" s="104"/>
      <c r="R2647" s="104"/>
      <c r="S2647" s="104"/>
    </row>
    <row r="2648" spans="4:19">
      <c r="D2648" s="104"/>
      <c r="E2648" s="104"/>
      <c r="F2648" s="104"/>
      <c r="G2648" s="104"/>
      <c r="H2648" s="104"/>
      <c r="I2648" s="104"/>
      <c r="J2648" s="104"/>
      <c r="K2648" s="104"/>
      <c r="L2648" s="104"/>
      <c r="M2648" s="104"/>
      <c r="N2648" s="104"/>
      <c r="O2648" s="104"/>
      <c r="P2648" s="104"/>
      <c r="Q2648" s="104"/>
      <c r="R2648" s="104"/>
      <c r="S2648" s="104"/>
    </row>
    <row r="2649" spans="4:19">
      <c r="D2649" s="104"/>
      <c r="E2649" s="104"/>
      <c r="F2649" s="104"/>
      <c r="G2649" s="104"/>
      <c r="H2649" s="104"/>
      <c r="I2649" s="104"/>
      <c r="J2649" s="104"/>
      <c r="K2649" s="104"/>
      <c r="L2649" s="104"/>
      <c r="M2649" s="104"/>
      <c r="N2649" s="104"/>
      <c r="O2649" s="104"/>
      <c r="P2649" s="104"/>
      <c r="Q2649" s="104"/>
      <c r="R2649" s="104"/>
      <c r="S2649" s="104"/>
    </row>
    <row r="2650" spans="4:19">
      <c r="D2650" s="104"/>
      <c r="E2650" s="104"/>
      <c r="F2650" s="104"/>
      <c r="G2650" s="104"/>
      <c r="H2650" s="104"/>
      <c r="I2650" s="104"/>
      <c r="J2650" s="104"/>
      <c r="K2650" s="104"/>
      <c r="L2650" s="104"/>
      <c r="M2650" s="104"/>
      <c r="N2650" s="104"/>
      <c r="O2650" s="104"/>
      <c r="P2650" s="104"/>
      <c r="Q2650" s="104"/>
      <c r="R2650" s="104"/>
      <c r="S2650" s="104"/>
    </row>
    <row r="2651" spans="4:19">
      <c r="D2651" s="104"/>
      <c r="E2651" s="104"/>
      <c r="F2651" s="104"/>
      <c r="G2651" s="104"/>
      <c r="H2651" s="104"/>
      <c r="I2651" s="104"/>
      <c r="J2651" s="104"/>
      <c r="K2651" s="104"/>
      <c r="L2651" s="104"/>
      <c r="M2651" s="104"/>
      <c r="N2651" s="104"/>
      <c r="O2651" s="104"/>
      <c r="P2651" s="104"/>
      <c r="Q2651" s="104"/>
      <c r="R2651" s="104"/>
      <c r="S2651" s="104"/>
    </row>
    <row r="2652" spans="4:19">
      <c r="D2652" s="104"/>
      <c r="E2652" s="104"/>
      <c r="F2652" s="104"/>
      <c r="G2652" s="104"/>
      <c r="H2652" s="104"/>
      <c r="I2652" s="104"/>
      <c r="J2652" s="104"/>
      <c r="K2652" s="104"/>
      <c r="L2652" s="104"/>
      <c r="M2652" s="104"/>
      <c r="N2652" s="104"/>
      <c r="O2652" s="104"/>
      <c r="P2652" s="104"/>
      <c r="Q2652" s="104"/>
      <c r="R2652" s="104"/>
      <c r="S2652" s="104"/>
    </row>
    <row r="2653" spans="4:19">
      <c r="D2653" s="104"/>
      <c r="E2653" s="104"/>
      <c r="F2653" s="104"/>
      <c r="G2653" s="104"/>
      <c r="H2653" s="104"/>
      <c r="I2653" s="104"/>
      <c r="J2653" s="104"/>
      <c r="K2653" s="104"/>
      <c r="L2653" s="104"/>
      <c r="M2653" s="104"/>
      <c r="N2653" s="104"/>
      <c r="O2653" s="104"/>
      <c r="P2653" s="104"/>
      <c r="Q2653" s="104"/>
      <c r="R2653" s="104"/>
      <c r="S2653" s="104"/>
    </row>
    <row r="2654" spans="4:19">
      <c r="D2654" s="104"/>
      <c r="E2654" s="104"/>
      <c r="F2654" s="104"/>
      <c r="G2654" s="104"/>
      <c r="H2654" s="104"/>
      <c r="I2654" s="104"/>
      <c r="J2654" s="104"/>
      <c r="K2654" s="104"/>
      <c r="L2654" s="104"/>
      <c r="M2654" s="104"/>
      <c r="N2654" s="104"/>
      <c r="O2654" s="104"/>
      <c r="P2654" s="104"/>
      <c r="Q2654" s="104"/>
      <c r="R2654" s="104"/>
      <c r="S2654" s="104"/>
    </row>
    <row r="2655" spans="4:19">
      <c r="D2655" s="104"/>
      <c r="E2655" s="104"/>
      <c r="F2655" s="104"/>
      <c r="G2655" s="104"/>
      <c r="H2655" s="104"/>
      <c r="I2655" s="104"/>
      <c r="J2655" s="104"/>
      <c r="K2655" s="104"/>
      <c r="L2655" s="104"/>
      <c r="M2655" s="104"/>
      <c r="N2655" s="104"/>
      <c r="O2655" s="104"/>
      <c r="P2655" s="104"/>
      <c r="Q2655" s="104"/>
      <c r="R2655" s="104"/>
      <c r="S2655" s="104"/>
    </row>
    <row r="2656" spans="4:19">
      <c r="D2656" s="104"/>
      <c r="E2656" s="104"/>
      <c r="F2656" s="104"/>
      <c r="G2656" s="104"/>
      <c r="H2656" s="104"/>
      <c r="I2656" s="104"/>
      <c r="J2656" s="104"/>
      <c r="K2656" s="104"/>
      <c r="L2656" s="104"/>
      <c r="M2656" s="104"/>
      <c r="N2656" s="104"/>
      <c r="O2656" s="104"/>
      <c r="P2656" s="104"/>
      <c r="Q2656" s="104"/>
      <c r="R2656" s="104"/>
      <c r="S2656" s="104"/>
    </row>
    <row r="2657" spans="4:19">
      <c r="D2657" s="104"/>
      <c r="E2657" s="104"/>
      <c r="F2657" s="104"/>
      <c r="G2657" s="104"/>
      <c r="H2657" s="104"/>
      <c r="I2657" s="104"/>
      <c r="J2657" s="104"/>
      <c r="K2657" s="104"/>
      <c r="L2657" s="104"/>
      <c r="M2657" s="104"/>
      <c r="N2657" s="104"/>
      <c r="O2657" s="104"/>
      <c r="P2657" s="104"/>
      <c r="Q2657" s="104"/>
      <c r="R2657" s="104"/>
      <c r="S2657" s="104"/>
    </row>
    <row r="2658" spans="4:19">
      <c r="D2658" s="104"/>
      <c r="E2658" s="104"/>
      <c r="F2658" s="104"/>
      <c r="G2658" s="104"/>
      <c r="H2658" s="104"/>
      <c r="I2658" s="104"/>
      <c r="J2658" s="104"/>
      <c r="K2658" s="104"/>
      <c r="L2658" s="104"/>
      <c r="M2658" s="104"/>
      <c r="N2658" s="104"/>
      <c r="O2658" s="104"/>
      <c r="P2658" s="104"/>
      <c r="Q2658" s="104"/>
      <c r="R2658" s="104"/>
      <c r="S2658" s="104"/>
    </row>
    <row r="2659" spans="4:19">
      <c r="D2659" s="104"/>
      <c r="E2659" s="104"/>
      <c r="F2659" s="104"/>
      <c r="G2659" s="104"/>
      <c r="H2659" s="104"/>
      <c r="I2659" s="104"/>
      <c r="J2659" s="104"/>
      <c r="K2659" s="104"/>
      <c r="L2659" s="104"/>
      <c r="M2659" s="104"/>
      <c r="N2659" s="104"/>
      <c r="O2659" s="104"/>
      <c r="P2659" s="104"/>
      <c r="Q2659" s="104"/>
      <c r="R2659" s="104"/>
      <c r="S2659" s="104"/>
    </row>
    <row r="2660" spans="4:19">
      <c r="D2660" s="104"/>
      <c r="E2660" s="104"/>
      <c r="F2660" s="104"/>
      <c r="G2660" s="104"/>
      <c r="H2660" s="104"/>
      <c r="I2660" s="104"/>
      <c r="J2660" s="104"/>
      <c r="K2660" s="104"/>
      <c r="L2660" s="104"/>
      <c r="M2660" s="104"/>
      <c r="N2660" s="104"/>
      <c r="O2660" s="104"/>
      <c r="P2660" s="104"/>
      <c r="Q2660" s="104"/>
      <c r="R2660" s="104"/>
      <c r="S2660" s="104"/>
    </row>
    <row r="2661" spans="4:19">
      <c r="D2661" s="104"/>
      <c r="E2661" s="104"/>
      <c r="F2661" s="104"/>
      <c r="G2661" s="104"/>
      <c r="H2661" s="104"/>
      <c r="I2661" s="104"/>
      <c r="J2661" s="104"/>
      <c r="K2661" s="104"/>
      <c r="L2661" s="104"/>
      <c r="M2661" s="104"/>
      <c r="N2661" s="104"/>
      <c r="O2661" s="104"/>
      <c r="P2661" s="104"/>
      <c r="Q2661" s="104"/>
      <c r="R2661" s="104"/>
      <c r="S2661" s="104"/>
    </row>
    <row r="2662" spans="4:19">
      <c r="D2662" s="104"/>
      <c r="E2662" s="104"/>
      <c r="F2662" s="104"/>
      <c r="G2662" s="104"/>
      <c r="H2662" s="104"/>
      <c r="I2662" s="104"/>
      <c r="J2662" s="104"/>
      <c r="K2662" s="104"/>
      <c r="L2662" s="104"/>
      <c r="M2662" s="104"/>
      <c r="N2662" s="104"/>
      <c r="O2662" s="104"/>
      <c r="P2662" s="104"/>
      <c r="Q2662" s="104"/>
      <c r="R2662" s="104"/>
      <c r="S2662" s="104"/>
    </row>
    <row r="2663" spans="4:19">
      <c r="D2663" s="104"/>
      <c r="E2663" s="104"/>
      <c r="F2663" s="104"/>
      <c r="G2663" s="104"/>
      <c r="H2663" s="104"/>
      <c r="I2663" s="104"/>
      <c r="J2663" s="104"/>
      <c r="K2663" s="104"/>
      <c r="L2663" s="104"/>
      <c r="M2663" s="104"/>
      <c r="N2663" s="104"/>
      <c r="O2663" s="104"/>
      <c r="P2663" s="104"/>
      <c r="Q2663" s="104"/>
      <c r="R2663" s="104"/>
      <c r="S2663" s="104"/>
    </row>
    <row r="2664" spans="4:19">
      <c r="D2664" s="104"/>
      <c r="E2664" s="104"/>
      <c r="F2664" s="104"/>
      <c r="G2664" s="104"/>
      <c r="H2664" s="104"/>
      <c r="I2664" s="104"/>
      <c r="J2664" s="104"/>
      <c r="K2664" s="104"/>
      <c r="L2664" s="104"/>
      <c r="M2664" s="104"/>
      <c r="N2664" s="104"/>
      <c r="O2664" s="104"/>
      <c r="P2664" s="104"/>
      <c r="Q2664" s="104"/>
      <c r="R2664" s="104"/>
      <c r="S2664" s="104"/>
    </row>
    <row r="2665" spans="4:19">
      <c r="D2665" s="104"/>
      <c r="E2665" s="104"/>
      <c r="F2665" s="104"/>
      <c r="G2665" s="104"/>
      <c r="H2665" s="104"/>
      <c r="I2665" s="104"/>
      <c r="J2665" s="104"/>
      <c r="K2665" s="104"/>
      <c r="L2665" s="104"/>
      <c r="M2665" s="104"/>
      <c r="N2665" s="104"/>
      <c r="O2665" s="104"/>
      <c r="P2665" s="104"/>
      <c r="Q2665" s="104"/>
      <c r="R2665" s="104"/>
      <c r="S2665" s="104"/>
    </row>
    <row r="2666" spans="4:19">
      <c r="D2666" s="104"/>
      <c r="E2666" s="104"/>
      <c r="F2666" s="104"/>
      <c r="G2666" s="104"/>
      <c r="H2666" s="104"/>
      <c r="I2666" s="104"/>
      <c r="J2666" s="104"/>
      <c r="K2666" s="104"/>
      <c r="L2666" s="104"/>
      <c r="M2666" s="104"/>
      <c r="N2666" s="104"/>
      <c r="O2666" s="104"/>
      <c r="P2666" s="104"/>
      <c r="Q2666" s="104"/>
      <c r="R2666" s="104"/>
      <c r="S2666" s="104"/>
    </row>
    <row r="2667" spans="4:19">
      <c r="D2667" s="104"/>
      <c r="E2667" s="104"/>
      <c r="F2667" s="104"/>
      <c r="G2667" s="104"/>
      <c r="H2667" s="104"/>
      <c r="I2667" s="104"/>
      <c r="J2667" s="104"/>
      <c r="K2667" s="104"/>
      <c r="L2667" s="104"/>
      <c r="M2667" s="104"/>
      <c r="N2667" s="104"/>
      <c r="O2667" s="104"/>
      <c r="P2667" s="104"/>
      <c r="Q2667" s="104"/>
      <c r="R2667" s="104"/>
      <c r="S2667" s="104"/>
    </row>
    <row r="2668" spans="4:19">
      <c r="D2668" s="104"/>
      <c r="E2668" s="104"/>
      <c r="F2668" s="104"/>
      <c r="G2668" s="104"/>
      <c r="H2668" s="104"/>
      <c r="I2668" s="104"/>
      <c r="J2668" s="104"/>
      <c r="K2668" s="104"/>
      <c r="L2668" s="104"/>
      <c r="M2668" s="104"/>
      <c r="N2668" s="104"/>
      <c r="O2668" s="104"/>
      <c r="P2668" s="104"/>
      <c r="Q2668" s="104"/>
      <c r="R2668" s="104"/>
      <c r="S2668" s="104"/>
    </row>
    <row r="2669" spans="4:19">
      <c r="D2669" s="104"/>
      <c r="E2669" s="104"/>
      <c r="F2669" s="104"/>
      <c r="G2669" s="104"/>
      <c r="H2669" s="104"/>
      <c r="I2669" s="104"/>
      <c r="J2669" s="104"/>
      <c r="K2669" s="104"/>
      <c r="L2669" s="104"/>
      <c r="M2669" s="104"/>
      <c r="N2669" s="104"/>
      <c r="O2669" s="104"/>
      <c r="P2669" s="104"/>
      <c r="Q2669" s="104"/>
      <c r="R2669" s="104"/>
      <c r="S2669" s="104"/>
    </row>
    <row r="2670" spans="4:19">
      <c r="D2670" s="104"/>
      <c r="E2670" s="104"/>
      <c r="F2670" s="104"/>
      <c r="G2670" s="104"/>
      <c r="H2670" s="104"/>
      <c r="I2670" s="104"/>
      <c r="J2670" s="104"/>
      <c r="K2670" s="104"/>
      <c r="L2670" s="104"/>
      <c r="M2670" s="104"/>
      <c r="N2670" s="104"/>
      <c r="O2670" s="104"/>
      <c r="P2670" s="104"/>
      <c r="Q2670" s="104"/>
      <c r="R2670" s="104"/>
      <c r="S2670" s="104"/>
    </row>
    <row r="2671" spans="4:19">
      <c r="D2671" s="104"/>
      <c r="E2671" s="104"/>
      <c r="F2671" s="104"/>
      <c r="G2671" s="104"/>
      <c r="H2671" s="104"/>
      <c r="I2671" s="104"/>
      <c r="J2671" s="104"/>
      <c r="K2671" s="104"/>
      <c r="L2671" s="104"/>
      <c r="M2671" s="104"/>
      <c r="N2671" s="104"/>
      <c r="O2671" s="104"/>
      <c r="P2671" s="104"/>
      <c r="Q2671" s="104"/>
      <c r="R2671" s="104"/>
      <c r="S2671" s="104"/>
    </row>
    <row r="2672" spans="4:19">
      <c r="D2672" s="104"/>
      <c r="E2672" s="104"/>
      <c r="F2672" s="104"/>
      <c r="G2672" s="104"/>
      <c r="H2672" s="104"/>
      <c r="I2672" s="104"/>
      <c r="J2672" s="104"/>
      <c r="K2672" s="104"/>
      <c r="L2672" s="104"/>
      <c r="M2672" s="104"/>
      <c r="N2672" s="104"/>
      <c r="O2672" s="104"/>
      <c r="P2672" s="104"/>
      <c r="Q2672" s="104"/>
      <c r="R2672" s="104"/>
      <c r="S2672" s="104"/>
    </row>
    <row r="2673" spans="4:19">
      <c r="D2673" s="104"/>
      <c r="E2673" s="104"/>
      <c r="F2673" s="104"/>
      <c r="G2673" s="104"/>
      <c r="H2673" s="104"/>
      <c r="I2673" s="104"/>
      <c r="J2673" s="104"/>
      <c r="K2673" s="104"/>
      <c r="L2673" s="104"/>
      <c r="M2673" s="104"/>
      <c r="N2673" s="104"/>
      <c r="O2673" s="104"/>
      <c r="P2673" s="104"/>
      <c r="Q2673" s="104"/>
      <c r="R2673" s="104"/>
      <c r="S2673" s="104"/>
    </row>
    <row r="2674" spans="4:19">
      <c r="D2674" s="104"/>
      <c r="E2674" s="104"/>
      <c r="F2674" s="104"/>
      <c r="G2674" s="104"/>
      <c r="H2674" s="104"/>
      <c r="I2674" s="104"/>
      <c r="J2674" s="104"/>
      <c r="K2674" s="104"/>
      <c r="L2674" s="104"/>
      <c r="M2674" s="104"/>
      <c r="N2674" s="104"/>
      <c r="O2674" s="104"/>
      <c r="P2674" s="104"/>
      <c r="Q2674" s="104"/>
      <c r="R2674" s="104"/>
      <c r="S2674" s="104"/>
    </row>
    <row r="2675" spans="4:19">
      <c r="D2675" s="104"/>
      <c r="E2675" s="104"/>
      <c r="F2675" s="104"/>
      <c r="G2675" s="104"/>
      <c r="H2675" s="104"/>
      <c r="I2675" s="104"/>
      <c r="J2675" s="104"/>
      <c r="K2675" s="104"/>
      <c r="L2675" s="104"/>
      <c r="M2675" s="104"/>
      <c r="N2675" s="104"/>
      <c r="O2675" s="104"/>
      <c r="P2675" s="104"/>
      <c r="Q2675" s="104"/>
      <c r="R2675" s="104"/>
      <c r="S2675" s="104"/>
    </row>
    <row r="2676" spans="4:19">
      <c r="D2676" s="104"/>
      <c r="E2676" s="104"/>
      <c r="F2676" s="104"/>
      <c r="G2676" s="104"/>
      <c r="H2676" s="104"/>
      <c r="I2676" s="104"/>
      <c r="J2676" s="104"/>
      <c r="K2676" s="104"/>
      <c r="L2676" s="104"/>
      <c r="M2676" s="104"/>
      <c r="N2676" s="104"/>
      <c r="O2676" s="104"/>
      <c r="P2676" s="104"/>
      <c r="Q2676" s="104"/>
      <c r="R2676" s="104"/>
      <c r="S2676" s="104"/>
    </row>
    <row r="2677" spans="4:19">
      <c r="D2677" s="104"/>
      <c r="E2677" s="104"/>
      <c r="F2677" s="104"/>
      <c r="G2677" s="104"/>
      <c r="H2677" s="104"/>
      <c r="I2677" s="104"/>
      <c r="J2677" s="104"/>
      <c r="K2677" s="104"/>
      <c r="L2677" s="104"/>
      <c r="M2677" s="104"/>
      <c r="N2677" s="104"/>
      <c r="O2677" s="104"/>
      <c r="P2677" s="104"/>
      <c r="Q2677" s="104"/>
      <c r="R2677" s="104"/>
      <c r="S2677" s="104"/>
    </row>
    <row r="2678" spans="4:19">
      <c r="D2678" s="104"/>
      <c r="E2678" s="104"/>
      <c r="F2678" s="104"/>
      <c r="G2678" s="104"/>
      <c r="H2678" s="104"/>
      <c r="I2678" s="104"/>
      <c r="J2678" s="104"/>
      <c r="K2678" s="104"/>
      <c r="L2678" s="104"/>
      <c r="M2678" s="104"/>
      <c r="N2678" s="104"/>
      <c r="O2678" s="104"/>
      <c r="P2678" s="104"/>
      <c r="Q2678" s="104"/>
      <c r="R2678" s="104"/>
      <c r="S2678" s="104"/>
    </row>
    <row r="2679" spans="4:19">
      <c r="D2679" s="104"/>
      <c r="E2679" s="104"/>
      <c r="F2679" s="104"/>
      <c r="G2679" s="104"/>
      <c r="H2679" s="104"/>
      <c r="I2679" s="104"/>
      <c r="J2679" s="104"/>
      <c r="K2679" s="104"/>
      <c r="L2679" s="104"/>
      <c r="M2679" s="104"/>
      <c r="N2679" s="104"/>
      <c r="O2679" s="104"/>
      <c r="P2679" s="104"/>
      <c r="Q2679" s="104"/>
      <c r="R2679" s="104"/>
      <c r="S2679" s="104"/>
    </row>
    <row r="2680" spans="4:19">
      <c r="D2680" s="104"/>
      <c r="E2680" s="104"/>
      <c r="F2680" s="104"/>
      <c r="G2680" s="104"/>
      <c r="H2680" s="104"/>
      <c r="I2680" s="104"/>
      <c r="J2680" s="104"/>
      <c r="K2680" s="104"/>
      <c r="L2680" s="104"/>
      <c r="M2680" s="104"/>
      <c r="N2680" s="104"/>
      <c r="O2680" s="104"/>
      <c r="P2680" s="104"/>
      <c r="Q2680" s="104"/>
      <c r="R2680" s="104"/>
      <c r="S2680" s="104"/>
    </row>
    <row r="2681" spans="4:19">
      <c r="D2681" s="104"/>
      <c r="E2681" s="104"/>
      <c r="F2681" s="104"/>
      <c r="G2681" s="104"/>
      <c r="H2681" s="104"/>
      <c r="I2681" s="104"/>
      <c r="J2681" s="104"/>
      <c r="K2681" s="104"/>
      <c r="L2681" s="104"/>
      <c r="M2681" s="104"/>
      <c r="N2681" s="104"/>
      <c r="O2681" s="104"/>
      <c r="P2681" s="104"/>
      <c r="Q2681" s="104"/>
      <c r="R2681" s="104"/>
      <c r="S2681" s="104"/>
    </row>
    <row r="2682" spans="4:19">
      <c r="D2682" s="104"/>
      <c r="E2682" s="104"/>
      <c r="F2682" s="104"/>
      <c r="G2682" s="104"/>
      <c r="H2682" s="104"/>
      <c r="I2682" s="104"/>
      <c r="J2682" s="104"/>
      <c r="K2682" s="104"/>
      <c r="L2682" s="104"/>
      <c r="M2682" s="104"/>
      <c r="N2682" s="104"/>
      <c r="O2682" s="104"/>
      <c r="P2682" s="104"/>
      <c r="Q2682" s="104"/>
      <c r="R2682" s="104"/>
      <c r="S2682" s="104"/>
    </row>
    <row r="2683" spans="4:19">
      <c r="D2683" s="104"/>
      <c r="E2683" s="104"/>
      <c r="F2683" s="104"/>
      <c r="G2683" s="104"/>
      <c r="H2683" s="104"/>
      <c r="I2683" s="104"/>
      <c r="J2683" s="104"/>
      <c r="K2683" s="104"/>
      <c r="L2683" s="104"/>
      <c r="M2683" s="104"/>
      <c r="N2683" s="104"/>
      <c r="O2683" s="104"/>
      <c r="P2683" s="104"/>
      <c r="Q2683" s="104"/>
      <c r="R2683" s="104"/>
      <c r="S2683" s="104"/>
    </row>
    <row r="2684" spans="4:19">
      <c r="D2684" s="104"/>
      <c r="E2684" s="104"/>
      <c r="F2684" s="104"/>
      <c r="G2684" s="104"/>
      <c r="H2684" s="104"/>
      <c r="I2684" s="104"/>
      <c r="J2684" s="104"/>
      <c r="K2684" s="104"/>
      <c r="L2684" s="104"/>
      <c r="M2684" s="104"/>
      <c r="N2684" s="104"/>
      <c r="O2684" s="104"/>
      <c r="P2684" s="104"/>
      <c r="Q2684" s="104"/>
      <c r="R2684" s="104"/>
      <c r="S2684" s="104"/>
    </row>
    <row r="2685" spans="4:19">
      <c r="D2685" s="104"/>
      <c r="E2685" s="104"/>
      <c r="F2685" s="104"/>
      <c r="G2685" s="104"/>
      <c r="H2685" s="104"/>
      <c r="I2685" s="104"/>
      <c r="J2685" s="104"/>
      <c r="K2685" s="104"/>
      <c r="L2685" s="104"/>
      <c r="M2685" s="104"/>
      <c r="N2685" s="104"/>
      <c r="O2685" s="104"/>
      <c r="P2685" s="104"/>
      <c r="Q2685" s="104"/>
      <c r="R2685" s="104"/>
      <c r="S2685" s="104"/>
    </row>
    <row r="2686" spans="4:19">
      <c r="D2686" s="104"/>
      <c r="E2686" s="104"/>
      <c r="F2686" s="104"/>
      <c r="G2686" s="104"/>
      <c r="H2686" s="104"/>
      <c r="I2686" s="104"/>
      <c r="J2686" s="104"/>
      <c r="K2686" s="104"/>
      <c r="L2686" s="104"/>
      <c r="M2686" s="104"/>
      <c r="N2686" s="104"/>
      <c r="O2686" s="104"/>
      <c r="P2686" s="104"/>
      <c r="Q2686" s="104"/>
      <c r="R2686" s="104"/>
      <c r="S2686" s="104"/>
    </row>
    <row r="2687" spans="4:19">
      <c r="D2687" s="104"/>
      <c r="E2687" s="104"/>
      <c r="F2687" s="104"/>
      <c r="G2687" s="104"/>
      <c r="H2687" s="104"/>
      <c r="I2687" s="104"/>
      <c r="J2687" s="104"/>
      <c r="K2687" s="104"/>
      <c r="L2687" s="104"/>
      <c r="M2687" s="104"/>
      <c r="N2687" s="104"/>
      <c r="O2687" s="104"/>
      <c r="P2687" s="104"/>
      <c r="Q2687" s="104"/>
      <c r="R2687" s="104"/>
      <c r="S2687" s="104"/>
    </row>
    <row r="2688" spans="4:19">
      <c r="D2688" s="104"/>
      <c r="E2688" s="104"/>
      <c r="F2688" s="104"/>
      <c r="G2688" s="104"/>
      <c r="H2688" s="104"/>
      <c r="I2688" s="104"/>
      <c r="J2688" s="104"/>
      <c r="K2688" s="104"/>
      <c r="L2688" s="104"/>
      <c r="M2688" s="104"/>
      <c r="N2688" s="104"/>
      <c r="O2688" s="104"/>
      <c r="P2688" s="104"/>
      <c r="Q2688" s="104"/>
      <c r="R2688" s="104"/>
      <c r="S2688" s="104"/>
    </row>
    <row r="2689" spans="4:19">
      <c r="D2689" s="104"/>
      <c r="E2689" s="104"/>
      <c r="F2689" s="104"/>
      <c r="G2689" s="104"/>
      <c r="H2689" s="104"/>
      <c r="I2689" s="104"/>
      <c r="J2689" s="104"/>
      <c r="K2689" s="104"/>
      <c r="L2689" s="104"/>
      <c r="M2689" s="104"/>
      <c r="N2689" s="104"/>
      <c r="O2689" s="104"/>
      <c r="P2689" s="104"/>
      <c r="Q2689" s="104"/>
      <c r="R2689" s="104"/>
      <c r="S2689" s="104"/>
    </row>
    <row r="2690" spans="4:19">
      <c r="D2690" s="104"/>
      <c r="E2690" s="104"/>
      <c r="F2690" s="104"/>
      <c r="G2690" s="104"/>
      <c r="H2690" s="104"/>
      <c r="I2690" s="104"/>
      <c r="J2690" s="104"/>
      <c r="K2690" s="104"/>
      <c r="L2690" s="104"/>
      <c r="M2690" s="104"/>
      <c r="N2690" s="104"/>
      <c r="O2690" s="104"/>
      <c r="P2690" s="104"/>
      <c r="Q2690" s="104"/>
      <c r="R2690" s="104"/>
      <c r="S2690" s="104"/>
    </row>
    <row r="2691" spans="4:19">
      <c r="D2691" s="104"/>
      <c r="E2691" s="104"/>
      <c r="F2691" s="104"/>
      <c r="G2691" s="104"/>
      <c r="H2691" s="104"/>
      <c r="I2691" s="104"/>
      <c r="J2691" s="104"/>
      <c r="K2691" s="104"/>
      <c r="L2691" s="104"/>
      <c r="M2691" s="104"/>
      <c r="N2691" s="104"/>
      <c r="O2691" s="104"/>
      <c r="P2691" s="104"/>
      <c r="Q2691" s="104"/>
      <c r="R2691" s="104"/>
      <c r="S2691" s="104"/>
    </row>
    <row r="2692" spans="4:19">
      <c r="D2692" s="104"/>
      <c r="E2692" s="104"/>
      <c r="F2692" s="104"/>
      <c r="G2692" s="104"/>
      <c r="H2692" s="104"/>
      <c r="I2692" s="104"/>
      <c r="J2692" s="104"/>
      <c r="K2692" s="104"/>
      <c r="L2692" s="104"/>
      <c r="M2692" s="104"/>
      <c r="N2692" s="104"/>
      <c r="O2692" s="104"/>
      <c r="P2692" s="104"/>
      <c r="Q2692" s="104"/>
      <c r="R2692" s="104"/>
      <c r="S2692" s="104"/>
    </row>
    <row r="2693" spans="4:19">
      <c r="D2693" s="104"/>
      <c r="E2693" s="104"/>
      <c r="F2693" s="104"/>
      <c r="G2693" s="104"/>
      <c r="H2693" s="104"/>
      <c r="I2693" s="104"/>
      <c r="J2693" s="104"/>
      <c r="K2693" s="104"/>
      <c r="L2693" s="104"/>
      <c r="M2693" s="104"/>
      <c r="N2693" s="104"/>
      <c r="O2693" s="104"/>
      <c r="P2693" s="104"/>
      <c r="Q2693" s="104"/>
      <c r="R2693" s="104"/>
      <c r="S2693" s="104"/>
    </row>
    <row r="2694" spans="4:19">
      <c r="D2694" s="104"/>
      <c r="E2694" s="104"/>
      <c r="F2694" s="104"/>
      <c r="G2694" s="104"/>
      <c r="H2694" s="104"/>
      <c r="I2694" s="104"/>
      <c r="J2694" s="104"/>
      <c r="K2694" s="104"/>
      <c r="L2694" s="104"/>
      <c r="M2694" s="104"/>
      <c r="N2694" s="104"/>
      <c r="O2694" s="104"/>
      <c r="P2694" s="104"/>
      <c r="Q2694" s="104"/>
      <c r="R2694" s="104"/>
      <c r="S2694" s="104"/>
    </row>
    <row r="2695" spans="4:19">
      <c r="D2695" s="104"/>
      <c r="E2695" s="104"/>
      <c r="F2695" s="104"/>
      <c r="G2695" s="104"/>
      <c r="H2695" s="104"/>
      <c r="I2695" s="104"/>
      <c r="J2695" s="104"/>
      <c r="K2695" s="104"/>
      <c r="L2695" s="104"/>
      <c r="M2695" s="104"/>
      <c r="N2695" s="104"/>
      <c r="O2695" s="104"/>
      <c r="P2695" s="104"/>
      <c r="Q2695" s="104"/>
      <c r="R2695" s="104"/>
      <c r="S2695" s="104"/>
    </row>
    <row r="2696" spans="4:19">
      <c r="D2696" s="104"/>
      <c r="E2696" s="104"/>
      <c r="F2696" s="104"/>
      <c r="G2696" s="104"/>
      <c r="H2696" s="104"/>
      <c r="I2696" s="104"/>
      <c r="J2696" s="104"/>
      <c r="K2696" s="104"/>
      <c r="L2696" s="104"/>
      <c r="M2696" s="104"/>
      <c r="N2696" s="104"/>
      <c r="O2696" s="104"/>
      <c r="P2696" s="104"/>
      <c r="Q2696" s="104"/>
      <c r="R2696" s="104"/>
      <c r="S2696" s="104"/>
    </row>
    <row r="2697" spans="4:19">
      <c r="D2697" s="104"/>
      <c r="E2697" s="104"/>
      <c r="F2697" s="104"/>
      <c r="G2697" s="104"/>
      <c r="H2697" s="104"/>
      <c r="I2697" s="104"/>
      <c r="J2697" s="104"/>
      <c r="K2697" s="104"/>
      <c r="L2697" s="104"/>
      <c r="M2697" s="104"/>
      <c r="N2697" s="104"/>
      <c r="O2697" s="104"/>
      <c r="P2697" s="104"/>
      <c r="Q2697" s="104"/>
      <c r="R2697" s="104"/>
      <c r="S2697" s="104"/>
    </row>
    <row r="2698" spans="4:19">
      <c r="D2698" s="104"/>
      <c r="E2698" s="104"/>
      <c r="F2698" s="104"/>
      <c r="G2698" s="104"/>
      <c r="H2698" s="104"/>
      <c r="I2698" s="104"/>
      <c r="J2698" s="104"/>
      <c r="K2698" s="104"/>
      <c r="L2698" s="104"/>
      <c r="M2698" s="104"/>
      <c r="N2698" s="104"/>
      <c r="O2698" s="104"/>
      <c r="P2698" s="104"/>
      <c r="Q2698" s="104"/>
      <c r="R2698" s="104"/>
      <c r="S2698" s="104"/>
    </row>
    <row r="2699" spans="4:19">
      <c r="D2699" s="104"/>
      <c r="E2699" s="104"/>
      <c r="F2699" s="104"/>
      <c r="G2699" s="104"/>
      <c r="H2699" s="104"/>
      <c r="I2699" s="104"/>
      <c r="J2699" s="104"/>
      <c r="K2699" s="104"/>
      <c r="L2699" s="104"/>
      <c r="M2699" s="104"/>
      <c r="N2699" s="104"/>
      <c r="O2699" s="104"/>
      <c r="P2699" s="104"/>
      <c r="Q2699" s="104"/>
      <c r="R2699" s="104"/>
      <c r="S2699" s="104"/>
    </row>
    <row r="2700" spans="4:19">
      <c r="D2700" s="104"/>
      <c r="E2700" s="104"/>
      <c r="F2700" s="104"/>
      <c r="G2700" s="104"/>
      <c r="H2700" s="104"/>
      <c r="I2700" s="104"/>
      <c r="J2700" s="104"/>
      <c r="K2700" s="104"/>
      <c r="L2700" s="104"/>
      <c r="M2700" s="104"/>
      <c r="N2700" s="104"/>
      <c r="O2700" s="104"/>
      <c r="P2700" s="104"/>
      <c r="Q2700" s="104"/>
      <c r="R2700" s="104"/>
      <c r="S2700" s="104"/>
    </row>
    <row r="2701" spans="4:19">
      <c r="D2701" s="104"/>
      <c r="E2701" s="104"/>
      <c r="F2701" s="104"/>
      <c r="G2701" s="104"/>
      <c r="H2701" s="104"/>
      <c r="I2701" s="104"/>
      <c r="J2701" s="104"/>
      <c r="K2701" s="104"/>
      <c r="L2701" s="104"/>
      <c r="M2701" s="104"/>
      <c r="N2701" s="104"/>
      <c r="O2701" s="104"/>
      <c r="P2701" s="104"/>
      <c r="Q2701" s="104"/>
      <c r="R2701" s="104"/>
      <c r="S2701" s="104"/>
    </row>
    <row r="2702" spans="4:19">
      <c r="D2702" s="104"/>
      <c r="E2702" s="104"/>
      <c r="F2702" s="104"/>
      <c r="G2702" s="104"/>
      <c r="H2702" s="104"/>
      <c r="I2702" s="104"/>
      <c r="J2702" s="104"/>
      <c r="K2702" s="104"/>
      <c r="L2702" s="104"/>
      <c r="M2702" s="104"/>
      <c r="N2702" s="104"/>
      <c r="O2702" s="104"/>
      <c r="P2702" s="104"/>
      <c r="Q2702" s="104"/>
      <c r="R2702" s="104"/>
      <c r="S2702" s="104"/>
    </row>
    <row r="2703" spans="4:19">
      <c r="D2703" s="104"/>
      <c r="E2703" s="104"/>
      <c r="F2703" s="104"/>
      <c r="G2703" s="104"/>
      <c r="H2703" s="104"/>
      <c r="I2703" s="104"/>
      <c r="J2703" s="104"/>
      <c r="K2703" s="104"/>
      <c r="L2703" s="104"/>
      <c r="M2703" s="104"/>
      <c r="N2703" s="104"/>
      <c r="O2703" s="104"/>
      <c r="P2703" s="104"/>
      <c r="Q2703" s="104"/>
      <c r="R2703" s="104"/>
      <c r="S2703" s="104"/>
    </row>
    <row r="2704" spans="4:19">
      <c r="D2704" s="104"/>
      <c r="E2704" s="104"/>
      <c r="F2704" s="104"/>
      <c r="G2704" s="104"/>
      <c r="H2704" s="104"/>
      <c r="I2704" s="104"/>
      <c r="J2704" s="104"/>
      <c r="K2704" s="104"/>
      <c r="L2704" s="104"/>
      <c r="M2704" s="104"/>
      <c r="N2704" s="104"/>
      <c r="O2704" s="104"/>
      <c r="P2704" s="104"/>
      <c r="Q2704" s="104"/>
      <c r="R2704" s="104"/>
      <c r="S2704" s="104"/>
    </row>
    <row r="2705" spans="4:19">
      <c r="D2705" s="104"/>
      <c r="E2705" s="104"/>
      <c r="F2705" s="104"/>
      <c r="G2705" s="104"/>
      <c r="H2705" s="104"/>
      <c r="I2705" s="104"/>
      <c r="J2705" s="104"/>
      <c r="K2705" s="104"/>
      <c r="L2705" s="104"/>
      <c r="M2705" s="104"/>
      <c r="N2705" s="104"/>
      <c r="O2705" s="104"/>
      <c r="P2705" s="104"/>
      <c r="Q2705" s="104"/>
      <c r="R2705" s="104"/>
      <c r="S2705" s="104"/>
    </row>
    <row r="2706" spans="4:19">
      <c r="D2706" s="104"/>
      <c r="E2706" s="104"/>
      <c r="F2706" s="104"/>
      <c r="G2706" s="104"/>
      <c r="H2706" s="104"/>
      <c r="I2706" s="104"/>
      <c r="J2706" s="104"/>
      <c r="K2706" s="104"/>
      <c r="L2706" s="104"/>
      <c r="M2706" s="104"/>
      <c r="N2706" s="104"/>
      <c r="O2706" s="104"/>
      <c r="P2706" s="104"/>
      <c r="Q2706" s="104"/>
      <c r="R2706" s="104"/>
      <c r="S2706" s="104"/>
    </row>
    <row r="2707" spans="4:19">
      <c r="D2707" s="104"/>
      <c r="E2707" s="104"/>
      <c r="F2707" s="104"/>
      <c r="G2707" s="104"/>
      <c r="H2707" s="104"/>
      <c r="I2707" s="104"/>
      <c r="J2707" s="104"/>
      <c r="K2707" s="104"/>
      <c r="L2707" s="104"/>
      <c r="M2707" s="104"/>
      <c r="N2707" s="104"/>
      <c r="O2707" s="104"/>
      <c r="P2707" s="104"/>
      <c r="Q2707" s="104"/>
      <c r="R2707" s="104"/>
      <c r="S2707" s="104"/>
    </row>
    <row r="2708" spans="4:19">
      <c r="D2708" s="104"/>
      <c r="E2708" s="104"/>
      <c r="F2708" s="104"/>
      <c r="G2708" s="104"/>
      <c r="H2708" s="104"/>
      <c r="I2708" s="104"/>
      <c r="J2708" s="104"/>
      <c r="K2708" s="104"/>
      <c r="L2708" s="104"/>
      <c r="M2708" s="104"/>
      <c r="N2708" s="104"/>
      <c r="O2708" s="104"/>
      <c r="P2708" s="104"/>
      <c r="Q2708" s="104"/>
      <c r="R2708" s="104"/>
      <c r="S2708" s="104"/>
    </row>
    <row r="2709" spans="4:19">
      <c r="D2709" s="104"/>
      <c r="E2709" s="104"/>
      <c r="F2709" s="104"/>
      <c r="G2709" s="104"/>
      <c r="H2709" s="104"/>
      <c r="I2709" s="104"/>
      <c r="J2709" s="104"/>
      <c r="K2709" s="104"/>
      <c r="L2709" s="104"/>
      <c r="M2709" s="104"/>
      <c r="N2709" s="104"/>
      <c r="O2709" s="104"/>
      <c r="P2709" s="104"/>
      <c r="Q2709" s="104"/>
      <c r="R2709" s="104"/>
      <c r="S2709" s="104"/>
    </row>
    <row r="2710" spans="4:19">
      <c r="D2710" s="104"/>
      <c r="E2710" s="104"/>
      <c r="F2710" s="104"/>
      <c r="G2710" s="104"/>
      <c r="H2710" s="104"/>
      <c r="I2710" s="104"/>
      <c r="J2710" s="104"/>
      <c r="K2710" s="104"/>
      <c r="L2710" s="104"/>
      <c r="M2710" s="104"/>
      <c r="N2710" s="104"/>
      <c r="O2710" s="104"/>
      <c r="P2710" s="104"/>
      <c r="Q2710" s="104"/>
      <c r="R2710" s="104"/>
      <c r="S2710" s="104"/>
    </row>
    <row r="2711" spans="4:19">
      <c r="D2711" s="104"/>
      <c r="E2711" s="104"/>
      <c r="F2711" s="104"/>
      <c r="G2711" s="104"/>
      <c r="H2711" s="104"/>
      <c r="I2711" s="104"/>
      <c r="J2711" s="104"/>
      <c r="K2711" s="104"/>
      <c r="L2711" s="104"/>
      <c r="M2711" s="104"/>
      <c r="N2711" s="104"/>
      <c r="O2711" s="104"/>
      <c r="P2711" s="104"/>
      <c r="Q2711" s="104"/>
      <c r="R2711" s="104"/>
      <c r="S2711" s="104"/>
    </row>
    <row r="2712" spans="4:19">
      <c r="D2712" s="104"/>
      <c r="E2712" s="104"/>
      <c r="F2712" s="104"/>
      <c r="G2712" s="104"/>
      <c r="H2712" s="104"/>
      <c r="I2712" s="104"/>
      <c r="J2712" s="104"/>
      <c r="K2712" s="104"/>
      <c r="L2712" s="104"/>
      <c r="M2712" s="104"/>
      <c r="N2712" s="104"/>
      <c r="O2712" s="104"/>
      <c r="P2712" s="104"/>
      <c r="Q2712" s="104"/>
      <c r="R2712" s="104"/>
      <c r="S2712" s="104"/>
    </row>
    <row r="2713" spans="4:19">
      <c r="D2713" s="104"/>
      <c r="E2713" s="104"/>
      <c r="F2713" s="104"/>
      <c r="G2713" s="104"/>
      <c r="H2713" s="104"/>
      <c r="I2713" s="104"/>
      <c r="J2713" s="104"/>
      <c r="K2713" s="104"/>
      <c r="L2713" s="104"/>
      <c r="M2713" s="104"/>
      <c r="N2713" s="104"/>
      <c r="O2713" s="104"/>
      <c r="P2713" s="104"/>
      <c r="Q2713" s="104"/>
      <c r="R2713" s="104"/>
      <c r="S2713" s="104"/>
    </row>
    <row r="2714" spans="4:19">
      <c r="D2714" s="104"/>
      <c r="E2714" s="104"/>
      <c r="F2714" s="104"/>
      <c r="G2714" s="104"/>
      <c r="H2714" s="104"/>
      <c r="I2714" s="104"/>
      <c r="J2714" s="104"/>
      <c r="K2714" s="104"/>
      <c r="L2714" s="104"/>
      <c r="M2714" s="104"/>
      <c r="N2714" s="104"/>
      <c r="O2714" s="104"/>
      <c r="P2714" s="104"/>
      <c r="Q2714" s="104"/>
      <c r="R2714" s="104"/>
      <c r="S2714" s="104"/>
    </row>
    <row r="2715" spans="4:19">
      <c r="D2715" s="104"/>
      <c r="E2715" s="104"/>
      <c r="F2715" s="104"/>
      <c r="G2715" s="104"/>
      <c r="H2715" s="104"/>
      <c r="I2715" s="104"/>
      <c r="J2715" s="104"/>
      <c r="K2715" s="104"/>
      <c r="L2715" s="104"/>
      <c r="M2715" s="104"/>
      <c r="N2715" s="104"/>
      <c r="O2715" s="104"/>
      <c r="P2715" s="104"/>
      <c r="Q2715" s="104"/>
      <c r="R2715" s="104"/>
      <c r="S2715" s="104"/>
    </row>
    <row r="2716" spans="4:19">
      <c r="D2716" s="104"/>
      <c r="E2716" s="104"/>
      <c r="F2716" s="104"/>
      <c r="G2716" s="104"/>
      <c r="H2716" s="104"/>
      <c r="I2716" s="104"/>
      <c r="J2716" s="104"/>
      <c r="K2716" s="104"/>
      <c r="L2716" s="104"/>
      <c r="M2716" s="104"/>
      <c r="N2716" s="104"/>
      <c r="O2716" s="104"/>
      <c r="P2716" s="104"/>
      <c r="Q2716" s="104"/>
      <c r="R2716" s="104"/>
      <c r="S2716" s="104"/>
    </row>
    <row r="2717" spans="4:19">
      <c r="D2717" s="104"/>
      <c r="E2717" s="104"/>
      <c r="F2717" s="104"/>
      <c r="G2717" s="104"/>
      <c r="H2717" s="104"/>
      <c r="I2717" s="104"/>
      <c r="J2717" s="104"/>
      <c r="K2717" s="104"/>
      <c r="L2717" s="104"/>
      <c r="M2717" s="104"/>
      <c r="N2717" s="104"/>
      <c r="O2717" s="104"/>
      <c r="P2717" s="104"/>
      <c r="Q2717" s="104"/>
      <c r="R2717" s="104"/>
      <c r="S2717" s="104"/>
    </row>
    <row r="2718" spans="4:19">
      <c r="D2718" s="104"/>
      <c r="E2718" s="104"/>
      <c r="F2718" s="104"/>
      <c r="G2718" s="104"/>
      <c r="H2718" s="104"/>
      <c r="I2718" s="104"/>
      <c r="J2718" s="104"/>
      <c r="K2718" s="104"/>
      <c r="L2718" s="104"/>
      <c r="M2718" s="104"/>
      <c r="N2718" s="104"/>
      <c r="O2718" s="104"/>
      <c r="P2718" s="104"/>
      <c r="Q2718" s="104"/>
      <c r="R2718" s="104"/>
      <c r="S2718" s="104"/>
    </row>
    <row r="2719" spans="4:19">
      <c r="D2719" s="104"/>
      <c r="E2719" s="104"/>
      <c r="F2719" s="104"/>
      <c r="G2719" s="104"/>
      <c r="H2719" s="104"/>
      <c r="I2719" s="104"/>
      <c r="J2719" s="104"/>
      <c r="K2719" s="104"/>
      <c r="L2719" s="104"/>
      <c r="M2719" s="104"/>
      <c r="N2719" s="104"/>
      <c r="O2719" s="104"/>
      <c r="P2719" s="104"/>
      <c r="Q2719" s="104"/>
      <c r="R2719" s="104"/>
      <c r="S2719" s="104"/>
    </row>
    <row r="2720" spans="4:19">
      <c r="D2720" s="104"/>
      <c r="E2720" s="104"/>
      <c r="F2720" s="104"/>
      <c r="G2720" s="104"/>
      <c r="H2720" s="104"/>
      <c r="I2720" s="104"/>
      <c r="J2720" s="104"/>
      <c r="K2720" s="104"/>
      <c r="L2720" s="104"/>
      <c r="M2720" s="104"/>
      <c r="N2720" s="104"/>
      <c r="O2720" s="104"/>
      <c r="P2720" s="104"/>
      <c r="Q2720" s="104"/>
      <c r="R2720" s="104"/>
      <c r="S2720" s="104"/>
    </row>
    <row r="2721" spans="4:19">
      <c r="D2721" s="104"/>
      <c r="E2721" s="104"/>
      <c r="F2721" s="104"/>
      <c r="G2721" s="104"/>
      <c r="H2721" s="104"/>
      <c r="I2721" s="104"/>
      <c r="J2721" s="104"/>
      <c r="K2721" s="104"/>
      <c r="L2721" s="104"/>
      <c r="M2721" s="104"/>
      <c r="N2721" s="104"/>
      <c r="O2721" s="104"/>
      <c r="P2721" s="104"/>
      <c r="Q2721" s="104"/>
      <c r="R2721" s="104"/>
      <c r="S2721" s="104"/>
    </row>
    <row r="2722" spans="4:19">
      <c r="D2722" s="104"/>
      <c r="E2722" s="104"/>
      <c r="F2722" s="104"/>
      <c r="G2722" s="104"/>
      <c r="H2722" s="104"/>
      <c r="I2722" s="104"/>
      <c r="J2722" s="104"/>
      <c r="K2722" s="104"/>
      <c r="L2722" s="104"/>
      <c r="M2722" s="104"/>
      <c r="N2722" s="104"/>
      <c r="O2722" s="104"/>
      <c r="P2722" s="104"/>
      <c r="Q2722" s="104"/>
      <c r="R2722" s="104"/>
      <c r="S2722" s="104"/>
    </row>
    <row r="2723" spans="4:19">
      <c r="D2723" s="104"/>
      <c r="E2723" s="104"/>
      <c r="F2723" s="104"/>
      <c r="G2723" s="104"/>
      <c r="H2723" s="104"/>
      <c r="I2723" s="104"/>
      <c r="J2723" s="104"/>
      <c r="K2723" s="104"/>
      <c r="L2723" s="104"/>
      <c r="M2723" s="104"/>
      <c r="N2723" s="104"/>
      <c r="O2723" s="104"/>
      <c r="P2723" s="104"/>
      <c r="Q2723" s="104"/>
      <c r="R2723" s="104"/>
      <c r="S2723" s="104"/>
    </row>
    <row r="2724" spans="4:19">
      <c r="D2724" s="104"/>
      <c r="E2724" s="104"/>
      <c r="F2724" s="104"/>
      <c r="G2724" s="104"/>
      <c r="H2724" s="104"/>
      <c r="I2724" s="104"/>
      <c r="J2724" s="104"/>
      <c r="K2724" s="104"/>
      <c r="L2724" s="104"/>
      <c r="M2724" s="104"/>
      <c r="N2724" s="104"/>
      <c r="O2724" s="104"/>
      <c r="P2724" s="104"/>
      <c r="Q2724" s="104"/>
      <c r="R2724" s="104"/>
      <c r="S2724" s="104"/>
    </row>
    <row r="2725" spans="4:19">
      <c r="D2725" s="104"/>
      <c r="E2725" s="104"/>
      <c r="F2725" s="104"/>
      <c r="G2725" s="104"/>
      <c r="H2725" s="104"/>
      <c r="I2725" s="104"/>
      <c r="J2725" s="104"/>
      <c r="K2725" s="104"/>
      <c r="L2725" s="104"/>
      <c r="M2725" s="104"/>
      <c r="N2725" s="104"/>
      <c r="O2725" s="104"/>
      <c r="P2725" s="104"/>
      <c r="Q2725" s="104"/>
      <c r="R2725" s="104"/>
      <c r="S2725" s="104"/>
    </row>
    <row r="2726" spans="4:19">
      <c r="D2726" s="104"/>
      <c r="E2726" s="104"/>
      <c r="F2726" s="104"/>
      <c r="G2726" s="104"/>
      <c r="H2726" s="104"/>
      <c r="I2726" s="104"/>
      <c r="J2726" s="104"/>
      <c r="K2726" s="104"/>
      <c r="L2726" s="104"/>
      <c r="M2726" s="104"/>
      <c r="N2726" s="104"/>
      <c r="O2726" s="104"/>
      <c r="P2726" s="104"/>
      <c r="Q2726" s="104"/>
      <c r="R2726" s="104"/>
      <c r="S2726" s="104"/>
    </row>
    <row r="2727" spans="4:19">
      <c r="D2727" s="104"/>
      <c r="E2727" s="104"/>
      <c r="F2727" s="104"/>
      <c r="G2727" s="104"/>
      <c r="H2727" s="104"/>
      <c r="I2727" s="104"/>
      <c r="J2727" s="104"/>
      <c r="K2727" s="104"/>
      <c r="L2727" s="104"/>
      <c r="M2727" s="104"/>
      <c r="N2727" s="104"/>
      <c r="O2727" s="104"/>
      <c r="P2727" s="104"/>
      <c r="Q2727" s="104"/>
      <c r="R2727" s="104"/>
      <c r="S2727" s="104"/>
    </row>
    <row r="2728" spans="4:19">
      <c r="D2728" s="104"/>
      <c r="E2728" s="104"/>
      <c r="F2728" s="104"/>
      <c r="G2728" s="104"/>
      <c r="H2728" s="104"/>
      <c r="I2728" s="104"/>
      <c r="J2728" s="104"/>
      <c r="K2728" s="104"/>
      <c r="L2728" s="104"/>
      <c r="M2728" s="104"/>
      <c r="N2728" s="104"/>
      <c r="O2728" s="104"/>
      <c r="P2728" s="104"/>
      <c r="Q2728" s="104"/>
      <c r="R2728" s="104"/>
      <c r="S2728" s="104"/>
    </row>
    <row r="2729" spans="4:19">
      <c r="D2729" s="104"/>
      <c r="E2729" s="104"/>
      <c r="F2729" s="104"/>
      <c r="G2729" s="104"/>
      <c r="H2729" s="104"/>
      <c r="I2729" s="104"/>
      <c r="J2729" s="104"/>
      <c r="K2729" s="104"/>
      <c r="L2729" s="104"/>
      <c r="M2729" s="104"/>
      <c r="N2729" s="104"/>
      <c r="O2729" s="104"/>
      <c r="P2729" s="104"/>
      <c r="Q2729" s="104"/>
      <c r="R2729" s="104"/>
      <c r="S2729" s="104"/>
    </row>
    <row r="2730" spans="4:19">
      <c r="D2730" s="104"/>
      <c r="E2730" s="104"/>
      <c r="F2730" s="104"/>
      <c r="G2730" s="104"/>
      <c r="H2730" s="104"/>
      <c r="I2730" s="104"/>
      <c r="J2730" s="104"/>
      <c r="K2730" s="104"/>
      <c r="L2730" s="104"/>
      <c r="M2730" s="104"/>
      <c r="N2730" s="104"/>
      <c r="O2730" s="104"/>
      <c r="P2730" s="104"/>
      <c r="Q2730" s="104"/>
      <c r="R2730" s="104"/>
      <c r="S2730" s="104"/>
    </row>
    <row r="2731" spans="4:19">
      <c r="D2731" s="104"/>
      <c r="E2731" s="104"/>
      <c r="F2731" s="104"/>
      <c r="G2731" s="104"/>
      <c r="H2731" s="104"/>
      <c r="I2731" s="104"/>
      <c r="J2731" s="104"/>
      <c r="K2731" s="104"/>
      <c r="L2731" s="104"/>
      <c r="M2731" s="104"/>
      <c r="N2731" s="104"/>
      <c r="O2731" s="104"/>
      <c r="P2731" s="104"/>
      <c r="Q2731" s="104"/>
      <c r="R2731" s="104"/>
      <c r="S2731" s="104"/>
    </row>
    <row r="2732" spans="4:19">
      <c r="D2732" s="104"/>
      <c r="E2732" s="104"/>
      <c r="F2732" s="104"/>
      <c r="G2732" s="104"/>
      <c r="H2732" s="104"/>
      <c r="I2732" s="104"/>
      <c r="J2732" s="104"/>
      <c r="K2732" s="104"/>
      <c r="L2732" s="104"/>
      <c r="M2732" s="104"/>
      <c r="N2732" s="104"/>
      <c r="O2732" s="104"/>
      <c r="P2732" s="104"/>
      <c r="Q2732" s="104"/>
      <c r="R2732" s="104"/>
      <c r="S2732" s="104"/>
    </row>
    <row r="2733" spans="4:19">
      <c r="D2733" s="104"/>
      <c r="E2733" s="104"/>
      <c r="F2733" s="104"/>
      <c r="G2733" s="104"/>
      <c r="H2733" s="104"/>
      <c r="I2733" s="104"/>
      <c r="J2733" s="104"/>
      <c r="K2733" s="104"/>
      <c r="L2733" s="104"/>
      <c r="M2733" s="104"/>
      <c r="N2733" s="104"/>
      <c r="O2733" s="104"/>
      <c r="P2733" s="104"/>
      <c r="Q2733" s="104"/>
      <c r="R2733" s="104"/>
      <c r="S2733" s="104"/>
    </row>
    <row r="2734" spans="4:19">
      <c r="D2734" s="104"/>
      <c r="E2734" s="104"/>
      <c r="F2734" s="104"/>
      <c r="G2734" s="104"/>
      <c r="H2734" s="104"/>
      <c r="I2734" s="104"/>
      <c r="J2734" s="104"/>
      <c r="K2734" s="104"/>
      <c r="L2734" s="104"/>
      <c r="M2734" s="104"/>
      <c r="N2734" s="104"/>
      <c r="O2734" s="104"/>
      <c r="P2734" s="104"/>
      <c r="Q2734" s="104"/>
      <c r="R2734" s="104"/>
      <c r="S2734" s="104"/>
    </row>
    <row r="2735" spans="4:19">
      <c r="D2735" s="104"/>
      <c r="E2735" s="104"/>
      <c r="F2735" s="104"/>
      <c r="G2735" s="104"/>
      <c r="H2735" s="104"/>
      <c r="I2735" s="104"/>
      <c r="J2735" s="104"/>
      <c r="K2735" s="104"/>
      <c r="L2735" s="104"/>
      <c r="M2735" s="104"/>
      <c r="N2735" s="104"/>
      <c r="O2735" s="104"/>
      <c r="P2735" s="104"/>
      <c r="Q2735" s="104"/>
      <c r="R2735" s="104"/>
      <c r="S2735" s="104"/>
    </row>
    <row r="2736" spans="4:19">
      <c r="D2736" s="104"/>
      <c r="E2736" s="104"/>
      <c r="F2736" s="104"/>
      <c r="G2736" s="104"/>
      <c r="H2736" s="104"/>
      <c r="I2736" s="104"/>
      <c r="J2736" s="104"/>
      <c r="K2736" s="104"/>
      <c r="L2736" s="104"/>
      <c r="M2736" s="104"/>
      <c r="N2736" s="104"/>
      <c r="O2736" s="104"/>
      <c r="P2736" s="104"/>
      <c r="Q2736" s="104"/>
      <c r="R2736" s="104"/>
      <c r="S2736" s="104"/>
    </row>
    <row r="2737" spans="4:19">
      <c r="D2737" s="104"/>
      <c r="E2737" s="104"/>
      <c r="F2737" s="104"/>
      <c r="G2737" s="104"/>
      <c r="H2737" s="104"/>
      <c r="I2737" s="104"/>
      <c r="J2737" s="104"/>
      <c r="K2737" s="104"/>
      <c r="L2737" s="104"/>
      <c r="M2737" s="104"/>
      <c r="N2737" s="104"/>
      <c r="O2737" s="104"/>
      <c r="P2737" s="104"/>
      <c r="Q2737" s="104"/>
      <c r="R2737" s="104"/>
      <c r="S2737" s="104"/>
    </row>
    <row r="2738" spans="4:19">
      <c r="D2738" s="104"/>
      <c r="E2738" s="104"/>
      <c r="F2738" s="104"/>
      <c r="G2738" s="104"/>
      <c r="H2738" s="104"/>
      <c r="I2738" s="104"/>
      <c r="J2738" s="104"/>
      <c r="K2738" s="104"/>
      <c r="L2738" s="104"/>
      <c r="M2738" s="104"/>
      <c r="N2738" s="104"/>
      <c r="O2738" s="104"/>
      <c r="P2738" s="104"/>
      <c r="Q2738" s="104"/>
      <c r="R2738" s="104"/>
      <c r="S2738" s="104"/>
    </row>
    <row r="2739" spans="4:19">
      <c r="D2739" s="104"/>
      <c r="E2739" s="104"/>
      <c r="F2739" s="104"/>
      <c r="G2739" s="104"/>
      <c r="H2739" s="104"/>
      <c r="I2739" s="104"/>
      <c r="J2739" s="104"/>
      <c r="K2739" s="104"/>
      <c r="L2739" s="104"/>
      <c r="M2739" s="104"/>
      <c r="N2739" s="104"/>
      <c r="O2739" s="104"/>
      <c r="P2739" s="104"/>
      <c r="Q2739" s="104"/>
      <c r="R2739" s="104"/>
      <c r="S2739" s="104"/>
    </row>
    <row r="2740" spans="4:19">
      <c r="D2740" s="104"/>
      <c r="E2740" s="104"/>
      <c r="F2740" s="104"/>
      <c r="G2740" s="104"/>
      <c r="H2740" s="104"/>
      <c r="I2740" s="104"/>
      <c r="J2740" s="104"/>
      <c r="K2740" s="104"/>
      <c r="L2740" s="104"/>
      <c r="M2740" s="104"/>
      <c r="N2740" s="104"/>
      <c r="O2740" s="104"/>
      <c r="P2740" s="104"/>
      <c r="Q2740" s="104"/>
      <c r="R2740" s="104"/>
      <c r="S2740" s="104"/>
    </row>
    <row r="2741" spans="4:19">
      <c r="D2741" s="104"/>
      <c r="E2741" s="104"/>
      <c r="F2741" s="104"/>
      <c r="G2741" s="104"/>
      <c r="H2741" s="104"/>
      <c r="I2741" s="104"/>
      <c r="J2741" s="104"/>
      <c r="K2741" s="104"/>
      <c r="L2741" s="104"/>
      <c r="M2741" s="104"/>
      <c r="N2741" s="104"/>
      <c r="O2741" s="104"/>
      <c r="P2741" s="104"/>
      <c r="Q2741" s="104"/>
      <c r="R2741" s="104"/>
      <c r="S2741" s="104"/>
    </row>
    <row r="2742" spans="4:19">
      <c r="D2742" s="104"/>
      <c r="E2742" s="104"/>
      <c r="F2742" s="104"/>
      <c r="G2742" s="104"/>
      <c r="H2742" s="104"/>
      <c r="I2742" s="104"/>
      <c r="J2742" s="104"/>
      <c r="K2742" s="104"/>
      <c r="L2742" s="104"/>
      <c r="M2742" s="104"/>
      <c r="N2742" s="104"/>
      <c r="O2742" s="104"/>
      <c r="P2742" s="104"/>
      <c r="Q2742" s="104"/>
      <c r="R2742" s="104"/>
      <c r="S2742" s="104"/>
    </row>
    <row r="2743" spans="4:19">
      <c r="D2743" s="104"/>
      <c r="E2743" s="104"/>
      <c r="F2743" s="104"/>
      <c r="G2743" s="104"/>
      <c r="H2743" s="104"/>
      <c r="I2743" s="104"/>
      <c r="J2743" s="104"/>
      <c r="K2743" s="104"/>
      <c r="L2743" s="104"/>
      <c r="M2743" s="104"/>
      <c r="N2743" s="104"/>
      <c r="O2743" s="104"/>
      <c r="P2743" s="104"/>
      <c r="Q2743" s="104"/>
      <c r="R2743" s="104"/>
      <c r="S2743" s="104"/>
    </row>
    <row r="2744" spans="4:19">
      <c r="D2744" s="104"/>
      <c r="E2744" s="104"/>
      <c r="F2744" s="104"/>
      <c r="G2744" s="104"/>
      <c r="H2744" s="104"/>
      <c r="I2744" s="104"/>
      <c r="J2744" s="104"/>
      <c r="K2744" s="104"/>
      <c r="L2744" s="104"/>
      <c r="M2744" s="104"/>
      <c r="N2744" s="104"/>
      <c r="O2744" s="104"/>
      <c r="P2744" s="104"/>
      <c r="Q2744" s="104"/>
      <c r="R2744" s="104"/>
      <c r="S2744" s="104"/>
    </row>
    <row r="2745" spans="4:19">
      <c r="D2745" s="104"/>
      <c r="E2745" s="104"/>
      <c r="F2745" s="104"/>
      <c r="G2745" s="104"/>
      <c r="H2745" s="104"/>
      <c r="I2745" s="104"/>
      <c r="J2745" s="104"/>
      <c r="K2745" s="104"/>
      <c r="L2745" s="104"/>
      <c r="M2745" s="104"/>
      <c r="N2745" s="104"/>
      <c r="O2745" s="104"/>
      <c r="P2745" s="104"/>
      <c r="Q2745" s="104"/>
      <c r="R2745" s="104"/>
      <c r="S2745" s="104"/>
    </row>
    <row r="2746" spans="4:19">
      <c r="D2746" s="104"/>
      <c r="E2746" s="104"/>
      <c r="F2746" s="104"/>
      <c r="G2746" s="104"/>
      <c r="H2746" s="104"/>
      <c r="I2746" s="104"/>
      <c r="J2746" s="104"/>
      <c r="K2746" s="104"/>
      <c r="L2746" s="104"/>
      <c r="M2746" s="104"/>
      <c r="N2746" s="104"/>
      <c r="O2746" s="104"/>
      <c r="P2746" s="104"/>
      <c r="Q2746" s="104"/>
      <c r="R2746" s="104"/>
      <c r="S2746" s="104"/>
    </row>
    <row r="2747" spans="4:19">
      <c r="D2747" s="104"/>
      <c r="E2747" s="104"/>
      <c r="F2747" s="104"/>
      <c r="G2747" s="104"/>
      <c r="H2747" s="104"/>
      <c r="I2747" s="104"/>
      <c r="J2747" s="104"/>
      <c r="K2747" s="104"/>
      <c r="L2747" s="104"/>
      <c r="M2747" s="104"/>
      <c r="N2747" s="104"/>
      <c r="O2747" s="104"/>
      <c r="P2747" s="104"/>
      <c r="Q2747" s="104"/>
      <c r="R2747" s="104"/>
      <c r="S2747" s="104"/>
    </row>
    <row r="2748" spans="4:19">
      <c r="D2748" s="104"/>
      <c r="E2748" s="104"/>
      <c r="F2748" s="104"/>
      <c r="G2748" s="104"/>
      <c r="H2748" s="104"/>
      <c r="I2748" s="104"/>
      <c r="J2748" s="104"/>
      <c r="K2748" s="104"/>
      <c r="L2748" s="104"/>
      <c r="M2748" s="104"/>
      <c r="N2748" s="104"/>
      <c r="O2748" s="104"/>
      <c r="P2748" s="104"/>
      <c r="Q2748" s="104"/>
      <c r="R2748" s="104"/>
      <c r="S2748" s="104"/>
    </row>
    <row r="2749" spans="4:19">
      <c r="D2749" s="104"/>
      <c r="E2749" s="104"/>
      <c r="F2749" s="104"/>
      <c r="G2749" s="104"/>
      <c r="H2749" s="104"/>
      <c r="I2749" s="104"/>
      <c r="J2749" s="104"/>
      <c r="K2749" s="104"/>
      <c r="L2749" s="104"/>
      <c r="M2749" s="104"/>
      <c r="N2749" s="104"/>
      <c r="O2749" s="104"/>
      <c r="P2749" s="104"/>
      <c r="Q2749" s="104"/>
      <c r="R2749" s="104"/>
      <c r="S2749" s="104"/>
    </row>
    <row r="2750" spans="4:19">
      <c r="D2750" s="104"/>
      <c r="E2750" s="104"/>
      <c r="F2750" s="104"/>
      <c r="G2750" s="104"/>
      <c r="H2750" s="104"/>
      <c r="I2750" s="104"/>
      <c r="J2750" s="104"/>
      <c r="K2750" s="104"/>
      <c r="L2750" s="104"/>
      <c r="M2750" s="104"/>
      <c r="N2750" s="104"/>
      <c r="O2750" s="104"/>
      <c r="P2750" s="104"/>
      <c r="Q2750" s="104"/>
      <c r="R2750" s="104"/>
      <c r="S2750" s="104"/>
    </row>
    <row r="2751" spans="4:19">
      <c r="D2751" s="104"/>
      <c r="E2751" s="104"/>
      <c r="F2751" s="104"/>
      <c r="G2751" s="104"/>
      <c r="H2751" s="104"/>
      <c r="I2751" s="104"/>
      <c r="J2751" s="104"/>
      <c r="K2751" s="104"/>
      <c r="L2751" s="104"/>
      <c r="M2751" s="104"/>
      <c r="N2751" s="104"/>
      <c r="O2751" s="104"/>
      <c r="P2751" s="104"/>
      <c r="Q2751" s="104"/>
      <c r="R2751" s="104"/>
      <c r="S2751" s="104"/>
    </row>
    <row r="2752" spans="4:19">
      <c r="D2752" s="104"/>
      <c r="E2752" s="104"/>
      <c r="F2752" s="104"/>
      <c r="G2752" s="104"/>
      <c r="H2752" s="104"/>
      <c r="I2752" s="104"/>
      <c r="J2752" s="104"/>
      <c r="K2752" s="104"/>
      <c r="L2752" s="104"/>
      <c r="M2752" s="104"/>
      <c r="N2752" s="104"/>
      <c r="O2752" s="104"/>
      <c r="P2752" s="104"/>
      <c r="Q2752" s="104"/>
      <c r="R2752" s="104"/>
      <c r="S2752" s="104"/>
    </row>
    <row r="2753" spans="4:19">
      <c r="D2753" s="104"/>
      <c r="E2753" s="104"/>
      <c r="F2753" s="104"/>
      <c r="G2753" s="104"/>
      <c r="H2753" s="104"/>
      <c r="I2753" s="104"/>
      <c r="J2753" s="104"/>
      <c r="K2753" s="104"/>
      <c r="L2753" s="104"/>
      <c r="M2753" s="104"/>
      <c r="N2753" s="104"/>
      <c r="O2753" s="104"/>
      <c r="P2753" s="104"/>
      <c r="Q2753" s="104"/>
      <c r="R2753" s="104"/>
      <c r="S2753" s="104"/>
    </row>
    <row r="2754" spans="4:19">
      <c r="D2754" s="104"/>
      <c r="E2754" s="104"/>
      <c r="F2754" s="104"/>
      <c r="G2754" s="104"/>
      <c r="H2754" s="104"/>
      <c r="I2754" s="104"/>
      <c r="J2754" s="104"/>
      <c r="K2754" s="104"/>
      <c r="L2754" s="104"/>
      <c r="M2754" s="104"/>
      <c r="N2754" s="104"/>
      <c r="O2754" s="104"/>
      <c r="P2754" s="104"/>
      <c r="Q2754" s="104"/>
      <c r="R2754" s="104"/>
      <c r="S2754" s="104"/>
    </row>
    <row r="2755" spans="4:19">
      <c r="D2755" s="104"/>
      <c r="E2755" s="104"/>
      <c r="F2755" s="104"/>
      <c r="G2755" s="104"/>
      <c r="H2755" s="104"/>
      <c r="I2755" s="104"/>
      <c r="J2755" s="104"/>
      <c r="K2755" s="104"/>
      <c r="L2755" s="104"/>
      <c r="M2755" s="104"/>
      <c r="N2755" s="104"/>
      <c r="O2755" s="104"/>
      <c r="P2755" s="104"/>
      <c r="Q2755" s="104"/>
      <c r="R2755" s="104"/>
      <c r="S2755" s="104"/>
    </row>
    <row r="2756" spans="4:19">
      <c r="D2756" s="104"/>
      <c r="E2756" s="104"/>
      <c r="F2756" s="104"/>
      <c r="G2756" s="104"/>
      <c r="H2756" s="104"/>
      <c r="I2756" s="104"/>
      <c r="J2756" s="104"/>
      <c r="K2756" s="104"/>
      <c r="L2756" s="104"/>
      <c r="M2756" s="104"/>
      <c r="N2756" s="104"/>
      <c r="O2756" s="104"/>
      <c r="P2756" s="104"/>
      <c r="Q2756" s="104"/>
      <c r="R2756" s="104"/>
      <c r="S2756" s="104"/>
    </row>
    <row r="2757" spans="4:19">
      <c r="D2757" s="104"/>
      <c r="E2757" s="104"/>
      <c r="F2757" s="104"/>
      <c r="G2757" s="104"/>
      <c r="H2757" s="104"/>
      <c r="I2757" s="104"/>
      <c r="J2757" s="104"/>
      <c r="K2757" s="104"/>
      <c r="L2757" s="104"/>
      <c r="M2757" s="104"/>
      <c r="N2757" s="104"/>
      <c r="O2757" s="104"/>
      <c r="P2757" s="104"/>
      <c r="Q2757" s="104"/>
      <c r="R2757" s="104"/>
      <c r="S2757" s="104"/>
    </row>
    <row r="2758" spans="4:19">
      <c r="D2758" s="104"/>
      <c r="E2758" s="104"/>
      <c r="F2758" s="104"/>
      <c r="G2758" s="104"/>
      <c r="H2758" s="104"/>
      <c r="I2758" s="104"/>
      <c r="J2758" s="104"/>
      <c r="K2758" s="104"/>
      <c r="L2758" s="104"/>
      <c r="M2758" s="104"/>
      <c r="N2758" s="104"/>
      <c r="O2758" s="104"/>
      <c r="P2758" s="104"/>
      <c r="Q2758" s="104"/>
      <c r="R2758" s="104"/>
      <c r="S2758" s="104"/>
    </row>
    <row r="2759" spans="4:19">
      <c r="D2759" s="104"/>
      <c r="E2759" s="104"/>
      <c r="F2759" s="104"/>
      <c r="G2759" s="104"/>
      <c r="H2759" s="104"/>
      <c r="I2759" s="104"/>
      <c r="J2759" s="104"/>
      <c r="K2759" s="104"/>
      <c r="L2759" s="104"/>
      <c r="M2759" s="104"/>
      <c r="N2759" s="104"/>
      <c r="O2759" s="104"/>
      <c r="P2759" s="104"/>
      <c r="Q2759" s="104"/>
      <c r="R2759" s="104"/>
      <c r="S2759" s="104"/>
    </row>
    <row r="2760" spans="4:19">
      <c r="D2760" s="104"/>
      <c r="E2760" s="104"/>
      <c r="F2760" s="104"/>
      <c r="G2760" s="104"/>
      <c r="H2760" s="104"/>
      <c r="I2760" s="104"/>
      <c r="J2760" s="104"/>
      <c r="K2760" s="104"/>
      <c r="L2760" s="104"/>
      <c r="M2760" s="104"/>
      <c r="N2760" s="104"/>
      <c r="O2760" s="104"/>
      <c r="P2760" s="104"/>
      <c r="Q2760" s="104"/>
      <c r="R2760" s="104"/>
      <c r="S2760" s="104"/>
    </row>
    <row r="2761" spans="4:19">
      <c r="D2761" s="104"/>
      <c r="E2761" s="104"/>
      <c r="F2761" s="104"/>
      <c r="G2761" s="104"/>
      <c r="H2761" s="104"/>
      <c r="I2761" s="104"/>
      <c r="J2761" s="104"/>
      <c r="K2761" s="104"/>
      <c r="L2761" s="104"/>
      <c r="M2761" s="104"/>
      <c r="N2761" s="104"/>
      <c r="O2761" s="104"/>
      <c r="P2761" s="104"/>
      <c r="Q2761" s="104"/>
      <c r="R2761" s="104"/>
      <c r="S2761" s="104"/>
    </row>
    <row r="2762" spans="4:19">
      <c r="D2762" s="104"/>
      <c r="E2762" s="104"/>
      <c r="F2762" s="104"/>
      <c r="G2762" s="104"/>
      <c r="H2762" s="104"/>
      <c r="I2762" s="104"/>
      <c r="J2762" s="104"/>
      <c r="K2762" s="104"/>
      <c r="L2762" s="104"/>
      <c r="M2762" s="104"/>
      <c r="N2762" s="104"/>
      <c r="O2762" s="104"/>
      <c r="P2762" s="104"/>
      <c r="Q2762" s="104"/>
      <c r="R2762" s="104"/>
      <c r="S2762" s="104"/>
    </row>
    <row r="2763" spans="4:19">
      <c r="D2763" s="104"/>
      <c r="E2763" s="104"/>
      <c r="F2763" s="104"/>
      <c r="G2763" s="104"/>
      <c r="H2763" s="104"/>
      <c r="I2763" s="104"/>
      <c r="J2763" s="104"/>
      <c r="K2763" s="104"/>
      <c r="L2763" s="104"/>
      <c r="M2763" s="104"/>
      <c r="N2763" s="104"/>
      <c r="O2763" s="104"/>
      <c r="P2763" s="104"/>
      <c r="Q2763" s="104"/>
      <c r="R2763" s="104"/>
      <c r="S2763" s="104"/>
    </row>
    <row r="2764" spans="4:19">
      <c r="D2764" s="104"/>
      <c r="E2764" s="104"/>
      <c r="F2764" s="104"/>
      <c r="G2764" s="104"/>
      <c r="H2764" s="104"/>
      <c r="I2764" s="104"/>
      <c r="J2764" s="104"/>
      <c r="K2764" s="104"/>
      <c r="L2764" s="104"/>
      <c r="M2764" s="104"/>
      <c r="N2764" s="104"/>
      <c r="O2764" s="104"/>
      <c r="P2764" s="104"/>
      <c r="Q2764" s="104"/>
      <c r="R2764" s="104"/>
      <c r="S2764" s="104"/>
    </row>
    <row r="2765" spans="4:19">
      <c r="D2765" s="104"/>
      <c r="E2765" s="104"/>
      <c r="F2765" s="104"/>
      <c r="G2765" s="104"/>
      <c r="H2765" s="104"/>
      <c r="I2765" s="104"/>
      <c r="J2765" s="104"/>
      <c r="K2765" s="104"/>
      <c r="L2765" s="104"/>
      <c r="M2765" s="104"/>
      <c r="N2765" s="104"/>
      <c r="O2765" s="104"/>
      <c r="P2765" s="104"/>
      <c r="Q2765" s="104"/>
      <c r="R2765" s="104"/>
      <c r="S2765" s="104"/>
    </row>
    <row r="2766" spans="4:19">
      <c r="D2766" s="104"/>
      <c r="E2766" s="104"/>
      <c r="F2766" s="104"/>
      <c r="G2766" s="104"/>
      <c r="H2766" s="104"/>
      <c r="I2766" s="104"/>
      <c r="J2766" s="104"/>
      <c r="K2766" s="104"/>
      <c r="L2766" s="104"/>
      <c r="M2766" s="104"/>
      <c r="N2766" s="104"/>
      <c r="O2766" s="104"/>
      <c r="P2766" s="104"/>
      <c r="Q2766" s="104"/>
      <c r="R2766" s="104"/>
      <c r="S2766" s="104"/>
    </row>
    <row r="2767" spans="4:19">
      <c r="D2767" s="104"/>
      <c r="E2767" s="104"/>
      <c r="F2767" s="104"/>
      <c r="G2767" s="104"/>
      <c r="H2767" s="104"/>
      <c r="I2767" s="104"/>
      <c r="J2767" s="104"/>
      <c r="K2767" s="104"/>
      <c r="L2767" s="104"/>
      <c r="M2767" s="104"/>
      <c r="N2767" s="104"/>
      <c r="O2767" s="104"/>
      <c r="P2767" s="104"/>
      <c r="Q2767" s="104"/>
      <c r="R2767" s="104"/>
      <c r="S2767" s="104"/>
    </row>
    <row r="2768" spans="4:19">
      <c r="D2768" s="104"/>
      <c r="E2768" s="104"/>
      <c r="F2768" s="104"/>
      <c r="G2768" s="104"/>
      <c r="H2768" s="104"/>
      <c r="I2768" s="104"/>
      <c r="J2768" s="104"/>
      <c r="K2768" s="104"/>
      <c r="L2768" s="104"/>
      <c r="M2768" s="104"/>
      <c r="N2768" s="104"/>
      <c r="O2768" s="104"/>
      <c r="P2768" s="104"/>
      <c r="Q2768" s="104"/>
      <c r="R2768" s="104"/>
      <c r="S2768" s="104"/>
    </row>
    <row r="2769" spans="4:19">
      <c r="D2769" s="104"/>
      <c r="E2769" s="104"/>
      <c r="F2769" s="104"/>
      <c r="G2769" s="104"/>
      <c r="H2769" s="104"/>
      <c r="I2769" s="104"/>
      <c r="J2769" s="104"/>
      <c r="K2769" s="104"/>
      <c r="L2769" s="104"/>
      <c r="M2769" s="104"/>
      <c r="N2769" s="104"/>
      <c r="O2769" s="104"/>
      <c r="P2769" s="104"/>
      <c r="Q2769" s="104"/>
      <c r="R2769" s="104"/>
      <c r="S2769" s="104"/>
    </row>
    <row r="2770" spans="4:19">
      <c r="D2770" s="104"/>
      <c r="E2770" s="104"/>
      <c r="F2770" s="104"/>
      <c r="G2770" s="104"/>
      <c r="H2770" s="104"/>
      <c r="I2770" s="104"/>
      <c r="J2770" s="104"/>
      <c r="K2770" s="104"/>
      <c r="L2770" s="104"/>
      <c r="M2770" s="104"/>
      <c r="N2770" s="104"/>
      <c r="O2770" s="104"/>
      <c r="P2770" s="104"/>
      <c r="Q2770" s="104"/>
      <c r="R2770" s="104"/>
      <c r="S2770" s="104"/>
    </row>
    <row r="2771" spans="4:19">
      <c r="D2771" s="104"/>
      <c r="E2771" s="104"/>
      <c r="F2771" s="104"/>
      <c r="G2771" s="104"/>
      <c r="H2771" s="104"/>
      <c r="I2771" s="104"/>
      <c r="J2771" s="104"/>
      <c r="K2771" s="104"/>
      <c r="L2771" s="104"/>
      <c r="M2771" s="104"/>
      <c r="N2771" s="104"/>
      <c r="O2771" s="104"/>
      <c r="P2771" s="104"/>
      <c r="Q2771" s="104"/>
      <c r="R2771" s="104"/>
      <c r="S2771" s="104"/>
    </row>
    <row r="2772" spans="4:19">
      <c r="D2772" s="104"/>
      <c r="E2772" s="104"/>
      <c r="F2772" s="104"/>
      <c r="G2772" s="104"/>
      <c r="H2772" s="104"/>
      <c r="I2772" s="104"/>
      <c r="J2772" s="104"/>
      <c r="K2772" s="104"/>
      <c r="L2772" s="104"/>
      <c r="M2772" s="104"/>
      <c r="N2772" s="104"/>
      <c r="O2772" s="104"/>
      <c r="P2772" s="104"/>
      <c r="Q2772" s="104"/>
      <c r="R2772" s="104"/>
      <c r="S2772" s="104"/>
    </row>
    <row r="2773" spans="4:19">
      <c r="D2773" s="104"/>
      <c r="E2773" s="104"/>
      <c r="F2773" s="104"/>
      <c r="G2773" s="104"/>
      <c r="H2773" s="104"/>
      <c r="I2773" s="104"/>
      <c r="J2773" s="104"/>
      <c r="K2773" s="104"/>
      <c r="L2773" s="104"/>
      <c r="M2773" s="104"/>
      <c r="N2773" s="104"/>
      <c r="O2773" s="104"/>
      <c r="P2773" s="104"/>
      <c r="Q2773" s="104"/>
      <c r="R2773" s="104"/>
      <c r="S2773" s="104"/>
    </row>
    <row r="2774" spans="4:19">
      <c r="D2774" s="104"/>
      <c r="E2774" s="104"/>
      <c r="F2774" s="104"/>
      <c r="G2774" s="104"/>
      <c r="H2774" s="104"/>
      <c r="I2774" s="104"/>
      <c r="J2774" s="104"/>
      <c r="K2774" s="104"/>
      <c r="L2774" s="104"/>
      <c r="M2774" s="104"/>
      <c r="N2774" s="104"/>
      <c r="O2774" s="104"/>
      <c r="P2774" s="104"/>
      <c r="Q2774" s="104"/>
      <c r="R2774" s="104"/>
      <c r="S2774" s="104"/>
    </row>
    <row r="2775" spans="4:19">
      <c r="D2775" s="104"/>
      <c r="E2775" s="104"/>
      <c r="F2775" s="104"/>
      <c r="G2775" s="104"/>
      <c r="H2775" s="104"/>
      <c r="I2775" s="104"/>
      <c r="J2775" s="104"/>
      <c r="K2775" s="104"/>
      <c r="L2775" s="104"/>
      <c r="M2775" s="104"/>
      <c r="N2775" s="104"/>
      <c r="O2775" s="104"/>
      <c r="P2775" s="104"/>
      <c r="Q2775" s="104"/>
      <c r="R2775" s="104"/>
      <c r="S2775" s="104"/>
    </row>
    <row r="2776" spans="4:19">
      <c r="D2776" s="104"/>
      <c r="E2776" s="104"/>
      <c r="F2776" s="104"/>
      <c r="G2776" s="104"/>
      <c r="H2776" s="104"/>
      <c r="I2776" s="104"/>
      <c r="J2776" s="104"/>
      <c r="K2776" s="104"/>
      <c r="L2776" s="104"/>
      <c r="M2776" s="104"/>
      <c r="N2776" s="104"/>
      <c r="O2776" s="104"/>
      <c r="P2776" s="104"/>
      <c r="Q2776" s="104"/>
      <c r="R2776" s="104"/>
      <c r="S2776" s="104"/>
    </row>
    <row r="2777" spans="4:19">
      <c r="D2777" s="104"/>
      <c r="E2777" s="104"/>
      <c r="F2777" s="104"/>
      <c r="G2777" s="104"/>
      <c r="H2777" s="104"/>
      <c r="I2777" s="104"/>
      <c r="J2777" s="104"/>
      <c r="K2777" s="104"/>
      <c r="L2777" s="104"/>
      <c r="M2777" s="104"/>
      <c r="N2777" s="104"/>
      <c r="O2777" s="104"/>
      <c r="P2777" s="104"/>
      <c r="Q2777" s="104"/>
      <c r="R2777" s="104"/>
      <c r="S2777" s="104"/>
    </row>
    <row r="2778" spans="4:19">
      <c r="D2778" s="104"/>
      <c r="E2778" s="104"/>
      <c r="F2778" s="104"/>
      <c r="G2778" s="104"/>
      <c r="H2778" s="104"/>
      <c r="I2778" s="104"/>
      <c r="J2778" s="104"/>
      <c r="K2778" s="104"/>
      <c r="L2778" s="104"/>
      <c r="M2778" s="104"/>
      <c r="N2778" s="104"/>
      <c r="O2778" s="104"/>
      <c r="P2778" s="104"/>
      <c r="Q2778" s="104"/>
      <c r="R2778" s="104"/>
      <c r="S2778" s="104"/>
    </row>
    <row r="2779" spans="4:19">
      <c r="D2779" s="104"/>
      <c r="E2779" s="104"/>
      <c r="F2779" s="104"/>
      <c r="G2779" s="104"/>
      <c r="H2779" s="104"/>
      <c r="I2779" s="104"/>
      <c r="J2779" s="104"/>
      <c r="K2779" s="104"/>
      <c r="L2779" s="104"/>
      <c r="M2779" s="104"/>
      <c r="N2779" s="104"/>
      <c r="O2779" s="104"/>
      <c r="P2779" s="104"/>
      <c r="Q2779" s="104"/>
      <c r="R2779" s="104"/>
      <c r="S2779" s="104"/>
    </row>
    <row r="2780" spans="4:19">
      <c r="D2780" s="104"/>
      <c r="E2780" s="104"/>
      <c r="F2780" s="104"/>
      <c r="G2780" s="104"/>
      <c r="H2780" s="104"/>
      <c r="I2780" s="104"/>
      <c r="J2780" s="104"/>
      <c r="K2780" s="104"/>
      <c r="L2780" s="104"/>
      <c r="M2780" s="104"/>
      <c r="N2780" s="104"/>
      <c r="O2780" s="104"/>
      <c r="P2780" s="104"/>
      <c r="Q2780" s="104"/>
      <c r="R2780" s="104"/>
      <c r="S2780" s="104"/>
    </row>
    <row r="2781" spans="4:19">
      <c r="D2781" s="104"/>
      <c r="E2781" s="104"/>
      <c r="F2781" s="104"/>
      <c r="G2781" s="104"/>
      <c r="H2781" s="104"/>
      <c r="I2781" s="104"/>
      <c r="J2781" s="104"/>
      <c r="K2781" s="104"/>
      <c r="L2781" s="104"/>
      <c r="M2781" s="104"/>
      <c r="N2781" s="104"/>
      <c r="O2781" s="104"/>
      <c r="P2781" s="104"/>
      <c r="Q2781" s="104"/>
      <c r="R2781" s="104"/>
      <c r="S2781" s="104"/>
    </row>
    <row r="2782" spans="4:19">
      <c r="D2782" s="104"/>
      <c r="E2782" s="104"/>
      <c r="F2782" s="104"/>
      <c r="G2782" s="104"/>
      <c r="H2782" s="104"/>
      <c r="I2782" s="104"/>
      <c r="J2782" s="104"/>
      <c r="K2782" s="104"/>
      <c r="L2782" s="104"/>
      <c r="M2782" s="104"/>
      <c r="N2782" s="104"/>
      <c r="O2782" s="104"/>
      <c r="P2782" s="104"/>
      <c r="Q2782" s="104"/>
      <c r="R2782" s="104"/>
      <c r="S2782" s="104"/>
    </row>
    <row r="2783" spans="4:19">
      <c r="D2783" s="104"/>
      <c r="E2783" s="104"/>
      <c r="F2783" s="104"/>
      <c r="G2783" s="104"/>
      <c r="H2783" s="104"/>
      <c r="I2783" s="104"/>
      <c r="J2783" s="104"/>
      <c r="K2783" s="104"/>
      <c r="L2783" s="104"/>
      <c r="M2783" s="104"/>
      <c r="N2783" s="104"/>
      <c r="O2783" s="104"/>
      <c r="P2783" s="104"/>
      <c r="Q2783" s="104"/>
      <c r="R2783" s="104"/>
      <c r="S2783" s="104"/>
    </row>
    <row r="2784" spans="4:19">
      <c r="D2784" s="104"/>
      <c r="E2784" s="104"/>
      <c r="F2784" s="104"/>
      <c r="G2784" s="104"/>
      <c r="H2784" s="104"/>
      <c r="I2784" s="104"/>
      <c r="J2784" s="104"/>
      <c r="K2784" s="104"/>
      <c r="L2784" s="104"/>
      <c r="M2784" s="104"/>
      <c r="N2784" s="104"/>
      <c r="O2784" s="104"/>
      <c r="P2784" s="104"/>
      <c r="Q2784" s="104"/>
      <c r="R2784" s="104"/>
      <c r="S2784" s="104"/>
    </row>
    <row r="2785" spans="4:19">
      <c r="D2785" s="104"/>
      <c r="E2785" s="104"/>
      <c r="F2785" s="104"/>
      <c r="G2785" s="104"/>
      <c r="H2785" s="104"/>
      <c r="I2785" s="104"/>
      <c r="J2785" s="104"/>
      <c r="K2785" s="104"/>
      <c r="L2785" s="104"/>
      <c r="M2785" s="104"/>
      <c r="N2785" s="104"/>
      <c r="O2785" s="104"/>
      <c r="P2785" s="104"/>
      <c r="Q2785" s="104"/>
      <c r="R2785" s="104"/>
      <c r="S2785" s="104"/>
    </row>
    <row r="2786" spans="4:19">
      <c r="D2786" s="104"/>
      <c r="E2786" s="104"/>
      <c r="F2786" s="104"/>
      <c r="G2786" s="104"/>
      <c r="H2786" s="104"/>
      <c r="I2786" s="104"/>
      <c r="J2786" s="104"/>
      <c r="K2786" s="104"/>
      <c r="L2786" s="104"/>
      <c r="M2786" s="104"/>
      <c r="N2786" s="104"/>
      <c r="O2786" s="104"/>
      <c r="P2786" s="104"/>
      <c r="Q2786" s="104"/>
      <c r="R2786" s="104"/>
      <c r="S2786" s="104"/>
    </row>
    <row r="2787" spans="4:19">
      <c r="D2787" s="104"/>
      <c r="E2787" s="104"/>
      <c r="F2787" s="104"/>
      <c r="G2787" s="104"/>
      <c r="H2787" s="104"/>
      <c r="I2787" s="104"/>
      <c r="J2787" s="104"/>
      <c r="K2787" s="104"/>
      <c r="L2787" s="104"/>
      <c r="M2787" s="104"/>
      <c r="N2787" s="104"/>
      <c r="O2787" s="104"/>
      <c r="P2787" s="104"/>
      <c r="Q2787" s="104"/>
      <c r="R2787" s="104"/>
      <c r="S2787" s="104"/>
    </row>
    <row r="2788" spans="4:19">
      <c r="D2788" s="104"/>
      <c r="E2788" s="104"/>
      <c r="F2788" s="104"/>
      <c r="G2788" s="104"/>
      <c r="H2788" s="104"/>
      <c r="I2788" s="104"/>
      <c r="J2788" s="104"/>
      <c r="K2788" s="104"/>
      <c r="L2788" s="104"/>
      <c r="M2788" s="104"/>
      <c r="N2788" s="104"/>
      <c r="O2788" s="104"/>
      <c r="P2788" s="104"/>
      <c r="Q2788" s="104"/>
      <c r="R2788" s="104"/>
      <c r="S2788" s="104"/>
    </row>
    <row r="2789" spans="4:19">
      <c r="D2789" s="104"/>
      <c r="E2789" s="104"/>
      <c r="F2789" s="104"/>
      <c r="G2789" s="104"/>
      <c r="H2789" s="104"/>
      <c r="I2789" s="104"/>
      <c r="J2789" s="104"/>
      <c r="K2789" s="104"/>
      <c r="L2789" s="104"/>
      <c r="M2789" s="104"/>
      <c r="N2789" s="104"/>
      <c r="O2789" s="104"/>
      <c r="P2789" s="104"/>
      <c r="Q2789" s="104"/>
      <c r="R2789" s="104"/>
      <c r="S2789" s="104"/>
    </row>
    <row r="2790" spans="4:19">
      <c r="D2790" s="104"/>
      <c r="E2790" s="104"/>
      <c r="F2790" s="104"/>
      <c r="G2790" s="104"/>
      <c r="H2790" s="104"/>
      <c r="I2790" s="104"/>
      <c r="J2790" s="104"/>
      <c r="K2790" s="104"/>
      <c r="L2790" s="104"/>
      <c r="M2790" s="104"/>
      <c r="N2790" s="104"/>
      <c r="O2790" s="104"/>
      <c r="P2790" s="104"/>
      <c r="Q2790" s="104"/>
      <c r="R2790" s="104"/>
      <c r="S2790" s="104"/>
    </row>
    <row r="2791" spans="4:19">
      <c r="D2791" s="104"/>
      <c r="E2791" s="104"/>
      <c r="F2791" s="104"/>
      <c r="G2791" s="104"/>
      <c r="H2791" s="104"/>
      <c r="I2791" s="104"/>
      <c r="J2791" s="104"/>
      <c r="K2791" s="104"/>
      <c r="L2791" s="104"/>
      <c r="M2791" s="104"/>
      <c r="N2791" s="104"/>
      <c r="O2791" s="104"/>
      <c r="P2791" s="104"/>
      <c r="Q2791" s="104"/>
      <c r="R2791" s="104"/>
      <c r="S2791" s="104"/>
    </row>
    <row r="2792" spans="4:19">
      <c r="D2792" s="104"/>
      <c r="E2792" s="104"/>
      <c r="F2792" s="104"/>
      <c r="G2792" s="104"/>
      <c r="H2792" s="104"/>
      <c r="I2792" s="104"/>
      <c r="J2792" s="104"/>
      <c r="K2792" s="104"/>
      <c r="L2792" s="104"/>
      <c r="M2792" s="104"/>
      <c r="N2792" s="104"/>
      <c r="O2792" s="104"/>
      <c r="P2792" s="104"/>
      <c r="Q2792" s="104"/>
      <c r="R2792" s="104"/>
      <c r="S2792" s="104"/>
    </row>
    <row r="2793" spans="4:19">
      <c r="D2793" s="104"/>
      <c r="E2793" s="104"/>
      <c r="F2793" s="104"/>
      <c r="G2793" s="104"/>
      <c r="H2793" s="104"/>
      <c r="I2793" s="104"/>
      <c r="J2793" s="104"/>
      <c r="K2793" s="104"/>
      <c r="L2793" s="104"/>
      <c r="M2793" s="104"/>
      <c r="N2793" s="104"/>
      <c r="O2793" s="104"/>
      <c r="P2793" s="104"/>
      <c r="Q2793" s="104"/>
      <c r="R2793" s="104"/>
      <c r="S2793" s="104"/>
    </row>
    <row r="2794" spans="4:19">
      <c r="D2794" s="104"/>
      <c r="E2794" s="104"/>
      <c r="F2794" s="104"/>
      <c r="G2794" s="104"/>
      <c r="H2794" s="104"/>
      <c r="I2794" s="104"/>
      <c r="J2794" s="104"/>
      <c r="K2794" s="104"/>
      <c r="L2794" s="104"/>
      <c r="M2794" s="104"/>
      <c r="N2794" s="104"/>
      <c r="O2794" s="104"/>
      <c r="P2794" s="104"/>
      <c r="Q2794" s="104"/>
      <c r="R2794" s="104"/>
      <c r="S2794" s="104"/>
    </row>
    <row r="2795" spans="4:19">
      <c r="D2795" s="104"/>
      <c r="E2795" s="104"/>
      <c r="F2795" s="104"/>
      <c r="G2795" s="104"/>
      <c r="H2795" s="104"/>
      <c r="I2795" s="104"/>
      <c r="J2795" s="104"/>
      <c r="K2795" s="104"/>
      <c r="L2795" s="104"/>
      <c r="M2795" s="104"/>
      <c r="N2795" s="104"/>
      <c r="O2795" s="104"/>
      <c r="P2795" s="104"/>
      <c r="Q2795" s="104"/>
      <c r="R2795" s="104"/>
      <c r="S2795" s="104"/>
    </row>
    <row r="2796" spans="4:19">
      <c r="D2796" s="104"/>
      <c r="E2796" s="104"/>
      <c r="F2796" s="104"/>
      <c r="G2796" s="104"/>
      <c r="H2796" s="104"/>
      <c r="I2796" s="104"/>
      <c r="J2796" s="104"/>
      <c r="K2796" s="104"/>
      <c r="L2796" s="104"/>
      <c r="M2796" s="104"/>
      <c r="N2796" s="104"/>
      <c r="O2796" s="104"/>
      <c r="P2796" s="104"/>
      <c r="Q2796" s="104"/>
      <c r="R2796" s="104"/>
      <c r="S2796" s="104"/>
    </row>
    <row r="2797" spans="4:19">
      <c r="D2797" s="104"/>
      <c r="E2797" s="104"/>
      <c r="F2797" s="104"/>
      <c r="G2797" s="104"/>
      <c r="H2797" s="104"/>
      <c r="I2797" s="104"/>
      <c r="J2797" s="104"/>
      <c r="K2797" s="104"/>
      <c r="L2797" s="104"/>
      <c r="M2797" s="104"/>
      <c r="N2797" s="104"/>
      <c r="O2797" s="104"/>
      <c r="P2797" s="104"/>
      <c r="Q2797" s="104"/>
      <c r="R2797" s="104"/>
      <c r="S2797" s="104"/>
    </row>
    <row r="2798" spans="4:19">
      <c r="D2798" s="104"/>
      <c r="E2798" s="104"/>
      <c r="F2798" s="104"/>
      <c r="G2798" s="104"/>
      <c r="H2798" s="104"/>
      <c r="I2798" s="104"/>
      <c r="J2798" s="104"/>
      <c r="K2798" s="104"/>
      <c r="L2798" s="104"/>
      <c r="M2798" s="104"/>
      <c r="N2798" s="104"/>
      <c r="O2798" s="104"/>
      <c r="P2798" s="104"/>
      <c r="Q2798" s="104"/>
      <c r="R2798" s="104"/>
      <c r="S2798" s="104"/>
    </row>
    <row r="2799" spans="4:19">
      <c r="D2799" s="104"/>
      <c r="E2799" s="104"/>
      <c r="F2799" s="104"/>
      <c r="G2799" s="104"/>
      <c r="H2799" s="104"/>
      <c r="I2799" s="104"/>
      <c r="J2799" s="104"/>
      <c r="K2799" s="104"/>
      <c r="L2799" s="104"/>
      <c r="M2799" s="104"/>
      <c r="N2799" s="104"/>
      <c r="O2799" s="104"/>
      <c r="P2799" s="104"/>
      <c r="Q2799" s="104"/>
      <c r="R2799" s="104"/>
      <c r="S2799" s="104"/>
    </row>
    <row r="2800" spans="4:19">
      <c r="D2800" s="104"/>
      <c r="E2800" s="104"/>
      <c r="F2800" s="104"/>
      <c r="G2800" s="104"/>
      <c r="H2800" s="104"/>
      <c r="I2800" s="104"/>
      <c r="J2800" s="104"/>
      <c r="K2800" s="104"/>
      <c r="L2800" s="104"/>
      <c r="M2800" s="104"/>
      <c r="N2800" s="104"/>
      <c r="O2800" s="104"/>
      <c r="P2800" s="104"/>
      <c r="Q2800" s="104"/>
      <c r="R2800" s="104"/>
      <c r="S2800" s="104"/>
    </row>
    <row r="2801" spans="4:19">
      <c r="D2801" s="104"/>
      <c r="E2801" s="104"/>
      <c r="F2801" s="104"/>
      <c r="G2801" s="104"/>
      <c r="H2801" s="104"/>
      <c r="I2801" s="104"/>
      <c r="J2801" s="104"/>
      <c r="K2801" s="104"/>
      <c r="L2801" s="104"/>
      <c r="M2801" s="104"/>
      <c r="N2801" s="104"/>
      <c r="O2801" s="104"/>
      <c r="P2801" s="104"/>
      <c r="Q2801" s="104"/>
      <c r="R2801" s="104"/>
      <c r="S2801" s="104"/>
    </row>
    <row r="2802" spans="4:19">
      <c r="D2802" s="104"/>
      <c r="E2802" s="104"/>
      <c r="F2802" s="104"/>
      <c r="G2802" s="104"/>
      <c r="H2802" s="104"/>
      <c r="I2802" s="104"/>
      <c r="J2802" s="104"/>
      <c r="K2802" s="104"/>
      <c r="L2802" s="104"/>
      <c r="M2802" s="104"/>
      <c r="N2802" s="104"/>
      <c r="O2802" s="104"/>
      <c r="P2802" s="104"/>
      <c r="Q2802" s="104"/>
      <c r="R2802" s="104"/>
      <c r="S2802" s="104"/>
    </row>
    <row r="2803" spans="4:19">
      <c r="D2803" s="104"/>
      <c r="E2803" s="104"/>
      <c r="F2803" s="104"/>
      <c r="G2803" s="104"/>
      <c r="H2803" s="104"/>
      <c r="I2803" s="104"/>
      <c r="J2803" s="104"/>
      <c r="K2803" s="104"/>
      <c r="L2803" s="104"/>
      <c r="M2803" s="104"/>
      <c r="N2803" s="104"/>
      <c r="O2803" s="104"/>
      <c r="P2803" s="104"/>
      <c r="Q2803" s="104"/>
      <c r="R2803" s="104"/>
      <c r="S2803" s="104"/>
    </row>
    <row r="2804" spans="4:19">
      <c r="D2804" s="104"/>
      <c r="E2804" s="104"/>
      <c r="F2804" s="104"/>
      <c r="G2804" s="104"/>
      <c r="H2804" s="104"/>
      <c r="I2804" s="104"/>
      <c r="J2804" s="104"/>
      <c r="K2804" s="104"/>
      <c r="L2804" s="104"/>
      <c r="M2804" s="104"/>
      <c r="N2804" s="104"/>
      <c r="O2804" s="104"/>
      <c r="P2804" s="104"/>
      <c r="Q2804" s="104"/>
      <c r="R2804" s="104"/>
      <c r="S2804" s="104"/>
    </row>
    <row r="2805" spans="4:19">
      <c r="D2805" s="104"/>
      <c r="E2805" s="104"/>
      <c r="F2805" s="104"/>
      <c r="G2805" s="104"/>
      <c r="H2805" s="104"/>
      <c r="I2805" s="104"/>
      <c r="J2805" s="104"/>
      <c r="K2805" s="104"/>
      <c r="L2805" s="104"/>
      <c r="M2805" s="104"/>
      <c r="N2805" s="104"/>
      <c r="O2805" s="104"/>
      <c r="P2805" s="104"/>
      <c r="Q2805" s="104"/>
      <c r="R2805" s="104"/>
      <c r="S2805" s="104"/>
    </row>
    <row r="2806" spans="4:19">
      <c r="D2806" s="104"/>
      <c r="E2806" s="104"/>
      <c r="F2806" s="104"/>
      <c r="G2806" s="104"/>
      <c r="H2806" s="104"/>
      <c r="I2806" s="104"/>
      <c r="J2806" s="104"/>
      <c r="K2806" s="104"/>
      <c r="L2806" s="104"/>
      <c r="M2806" s="104"/>
      <c r="N2806" s="104"/>
      <c r="O2806" s="104"/>
      <c r="P2806" s="104"/>
      <c r="Q2806" s="104"/>
      <c r="R2806" s="104"/>
      <c r="S2806" s="104"/>
    </row>
    <row r="2807" spans="4:19">
      <c r="D2807" s="104"/>
      <c r="E2807" s="104"/>
      <c r="F2807" s="104"/>
      <c r="G2807" s="104"/>
      <c r="H2807" s="104"/>
      <c r="I2807" s="104"/>
      <c r="J2807" s="104"/>
      <c r="K2807" s="104"/>
      <c r="L2807" s="104"/>
      <c r="M2807" s="104"/>
      <c r="N2807" s="104"/>
      <c r="O2807" s="104"/>
      <c r="P2807" s="104"/>
      <c r="Q2807" s="104"/>
      <c r="R2807" s="104"/>
      <c r="S2807" s="104"/>
    </row>
    <row r="2808" spans="4:19">
      <c r="D2808" s="104"/>
      <c r="E2808" s="104"/>
      <c r="F2808" s="104"/>
      <c r="G2808" s="104"/>
      <c r="H2808" s="104"/>
      <c r="I2808" s="104"/>
      <c r="J2808" s="104"/>
      <c r="K2808" s="104"/>
      <c r="L2808" s="104"/>
      <c r="M2808" s="104"/>
      <c r="N2808" s="104"/>
      <c r="O2808" s="104"/>
      <c r="P2808" s="104"/>
      <c r="Q2808" s="104"/>
      <c r="R2808" s="104"/>
      <c r="S2808" s="104"/>
    </row>
    <row r="2809" spans="4:19">
      <c r="D2809" s="104"/>
      <c r="E2809" s="104"/>
      <c r="F2809" s="104"/>
      <c r="G2809" s="104"/>
      <c r="H2809" s="104"/>
      <c r="I2809" s="104"/>
      <c r="J2809" s="104"/>
      <c r="K2809" s="104"/>
      <c r="L2809" s="104"/>
      <c r="M2809" s="104"/>
      <c r="N2809" s="104"/>
      <c r="O2809" s="104"/>
      <c r="P2809" s="104"/>
      <c r="Q2809" s="104"/>
      <c r="R2809" s="104"/>
      <c r="S2809" s="104"/>
    </row>
    <row r="2810" spans="4:19">
      <c r="D2810" s="104"/>
      <c r="E2810" s="104"/>
      <c r="F2810" s="104"/>
      <c r="G2810" s="104"/>
      <c r="H2810" s="104"/>
      <c r="I2810" s="104"/>
      <c r="J2810" s="104"/>
      <c r="K2810" s="104"/>
      <c r="L2810" s="104"/>
      <c r="M2810" s="104"/>
      <c r="N2810" s="104"/>
      <c r="O2810" s="104"/>
      <c r="P2810" s="104"/>
      <c r="Q2810" s="104"/>
      <c r="R2810" s="104"/>
      <c r="S2810" s="104"/>
    </row>
    <row r="2811" spans="4:19">
      <c r="D2811" s="104"/>
      <c r="E2811" s="104"/>
      <c r="F2811" s="104"/>
      <c r="G2811" s="104"/>
      <c r="H2811" s="104"/>
      <c r="I2811" s="104"/>
      <c r="J2811" s="104"/>
      <c r="K2811" s="104"/>
      <c r="L2811" s="104"/>
      <c r="M2811" s="104"/>
      <c r="N2811" s="104"/>
      <c r="O2811" s="104"/>
      <c r="P2811" s="104"/>
      <c r="Q2811" s="104"/>
      <c r="R2811" s="104"/>
      <c r="S2811" s="104"/>
    </row>
    <row r="2812" spans="4:19">
      <c r="D2812" s="104"/>
      <c r="E2812" s="104"/>
      <c r="F2812" s="104"/>
      <c r="G2812" s="104"/>
      <c r="H2812" s="104"/>
      <c r="I2812" s="104"/>
      <c r="J2812" s="104"/>
      <c r="K2812" s="104"/>
      <c r="L2812" s="104"/>
      <c r="M2812" s="104"/>
      <c r="N2812" s="104"/>
      <c r="O2812" s="104"/>
      <c r="P2812" s="104"/>
      <c r="Q2812" s="104"/>
      <c r="R2812" s="104"/>
      <c r="S2812" s="104"/>
    </row>
    <row r="2813" spans="4:19">
      <c r="D2813" s="104"/>
      <c r="E2813" s="104"/>
      <c r="F2813" s="104"/>
      <c r="G2813" s="104"/>
      <c r="H2813" s="104"/>
      <c r="I2813" s="104"/>
      <c r="J2813" s="104"/>
      <c r="K2813" s="104"/>
      <c r="L2813" s="104"/>
      <c r="M2813" s="104"/>
      <c r="N2813" s="104"/>
      <c r="O2813" s="104"/>
      <c r="P2813" s="104"/>
      <c r="Q2813" s="104"/>
      <c r="R2813" s="104"/>
      <c r="S2813" s="104"/>
    </row>
    <row r="2814" spans="4:19">
      <c r="D2814" s="104"/>
      <c r="E2814" s="104"/>
      <c r="F2814" s="104"/>
      <c r="G2814" s="104"/>
      <c r="H2814" s="104"/>
      <c r="I2814" s="104"/>
      <c r="J2814" s="104"/>
      <c r="K2814" s="104"/>
      <c r="L2814" s="104"/>
      <c r="M2814" s="104"/>
      <c r="N2814" s="104"/>
      <c r="O2814" s="104"/>
      <c r="P2814" s="104"/>
      <c r="Q2814" s="104"/>
      <c r="R2814" s="104"/>
      <c r="S2814" s="104"/>
    </row>
    <row r="2815" spans="4:19">
      <c r="D2815" s="104"/>
      <c r="E2815" s="104"/>
      <c r="F2815" s="104"/>
      <c r="G2815" s="104"/>
      <c r="H2815" s="104"/>
      <c r="I2815" s="104"/>
      <c r="J2815" s="104"/>
      <c r="K2815" s="104"/>
      <c r="L2815" s="104"/>
      <c r="M2815" s="104"/>
      <c r="N2815" s="104"/>
      <c r="O2815" s="104"/>
      <c r="P2815" s="104"/>
      <c r="Q2815" s="104"/>
      <c r="R2815" s="104"/>
      <c r="S2815" s="104"/>
    </row>
    <row r="2816" spans="4:19">
      <c r="D2816" s="104"/>
      <c r="E2816" s="104"/>
      <c r="F2816" s="104"/>
      <c r="G2816" s="104"/>
      <c r="H2816" s="104"/>
      <c r="I2816" s="104"/>
      <c r="J2816" s="104"/>
      <c r="K2816" s="104"/>
      <c r="L2816" s="104"/>
      <c r="M2816" s="104"/>
      <c r="N2816" s="104"/>
      <c r="O2816" s="104"/>
      <c r="P2816" s="104"/>
      <c r="Q2816" s="104"/>
      <c r="R2816" s="104"/>
      <c r="S2816" s="104"/>
    </row>
    <row r="2817" spans="4:19">
      <c r="D2817" s="104"/>
      <c r="E2817" s="104"/>
      <c r="F2817" s="104"/>
      <c r="G2817" s="104"/>
      <c r="H2817" s="104"/>
      <c r="I2817" s="104"/>
      <c r="J2817" s="104"/>
      <c r="K2817" s="104"/>
      <c r="L2817" s="104"/>
      <c r="M2817" s="104"/>
      <c r="N2817" s="104"/>
      <c r="O2817" s="104"/>
      <c r="P2817" s="104"/>
      <c r="Q2817" s="104"/>
      <c r="R2817" s="104"/>
      <c r="S2817" s="104"/>
    </row>
    <row r="2818" spans="4:19">
      <c r="D2818" s="104"/>
      <c r="E2818" s="104"/>
      <c r="F2818" s="104"/>
      <c r="G2818" s="104"/>
      <c r="H2818" s="104"/>
      <c r="I2818" s="104"/>
      <c r="J2818" s="104"/>
      <c r="K2818" s="104"/>
      <c r="L2818" s="104"/>
      <c r="M2818" s="104"/>
      <c r="N2818" s="104"/>
      <c r="O2818" s="104"/>
      <c r="P2818" s="104"/>
      <c r="Q2818" s="104"/>
      <c r="R2818" s="104"/>
      <c r="S2818" s="104"/>
    </row>
    <row r="2819" spans="4:19">
      <c r="D2819" s="104"/>
      <c r="E2819" s="104"/>
      <c r="F2819" s="104"/>
      <c r="G2819" s="104"/>
      <c r="H2819" s="104"/>
      <c r="I2819" s="104"/>
      <c r="J2819" s="104"/>
      <c r="K2819" s="104"/>
      <c r="L2819" s="104"/>
      <c r="M2819" s="104"/>
      <c r="N2819" s="104"/>
      <c r="O2819" s="104"/>
      <c r="P2819" s="104"/>
      <c r="Q2819" s="104"/>
      <c r="R2819" s="104"/>
      <c r="S2819" s="104"/>
    </row>
    <row r="2820" spans="4:19">
      <c r="D2820" s="104"/>
      <c r="E2820" s="104"/>
      <c r="F2820" s="104"/>
      <c r="G2820" s="104"/>
      <c r="H2820" s="104"/>
      <c r="I2820" s="104"/>
      <c r="J2820" s="104"/>
      <c r="K2820" s="104"/>
      <c r="L2820" s="104"/>
      <c r="M2820" s="104"/>
      <c r="N2820" s="104"/>
      <c r="O2820" s="104"/>
      <c r="P2820" s="104"/>
      <c r="Q2820" s="104"/>
      <c r="R2820" s="104"/>
      <c r="S2820" s="104"/>
    </row>
    <row r="2821" spans="4:19">
      <c r="D2821" s="104"/>
      <c r="E2821" s="104"/>
      <c r="F2821" s="104"/>
      <c r="G2821" s="104"/>
      <c r="H2821" s="104"/>
      <c r="I2821" s="104"/>
      <c r="J2821" s="104"/>
      <c r="K2821" s="104"/>
      <c r="L2821" s="104"/>
      <c r="M2821" s="104"/>
      <c r="N2821" s="104"/>
      <c r="O2821" s="104"/>
      <c r="P2821" s="104"/>
      <c r="Q2821" s="104"/>
      <c r="R2821" s="104"/>
      <c r="S2821" s="104"/>
    </row>
    <row r="2822" spans="4:19">
      <c r="D2822" s="104"/>
      <c r="E2822" s="104"/>
      <c r="F2822" s="104"/>
      <c r="G2822" s="104"/>
      <c r="H2822" s="104"/>
      <c r="I2822" s="104"/>
      <c r="J2822" s="104"/>
      <c r="K2822" s="104"/>
      <c r="L2822" s="104"/>
      <c r="M2822" s="104"/>
      <c r="N2822" s="104"/>
      <c r="O2822" s="104"/>
      <c r="P2822" s="104"/>
      <c r="Q2822" s="104"/>
      <c r="R2822" s="104"/>
      <c r="S2822" s="104"/>
    </row>
    <row r="2823" spans="4:19">
      <c r="D2823" s="104"/>
      <c r="E2823" s="104"/>
      <c r="F2823" s="104"/>
      <c r="G2823" s="104"/>
      <c r="H2823" s="104"/>
      <c r="I2823" s="104"/>
      <c r="J2823" s="104"/>
      <c r="K2823" s="104"/>
      <c r="L2823" s="104"/>
      <c r="M2823" s="104"/>
      <c r="N2823" s="104"/>
      <c r="O2823" s="104"/>
      <c r="P2823" s="104"/>
      <c r="Q2823" s="104"/>
      <c r="R2823" s="104"/>
      <c r="S2823" s="104"/>
    </row>
    <row r="2824" spans="4:19">
      <c r="D2824" s="104"/>
      <c r="E2824" s="104"/>
      <c r="F2824" s="104"/>
      <c r="G2824" s="104"/>
      <c r="H2824" s="104"/>
      <c r="I2824" s="104"/>
      <c r="J2824" s="104"/>
      <c r="K2824" s="104"/>
      <c r="L2824" s="104"/>
      <c r="M2824" s="104"/>
      <c r="N2824" s="104"/>
      <c r="O2824" s="104"/>
      <c r="P2824" s="104"/>
      <c r="Q2824" s="104"/>
      <c r="R2824" s="104"/>
      <c r="S2824" s="104"/>
    </row>
    <row r="2825" spans="4:19">
      <c r="D2825" s="104"/>
      <c r="E2825" s="104"/>
      <c r="F2825" s="104"/>
      <c r="G2825" s="104"/>
      <c r="H2825" s="104"/>
      <c r="I2825" s="104"/>
      <c r="J2825" s="104"/>
      <c r="K2825" s="104"/>
      <c r="L2825" s="104"/>
      <c r="M2825" s="104"/>
      <c r="N2825" s="104"/>
      <c r="O2825" s="104"/>
      <c r="P2825" s="104"/>
      <c r="Q2825" s="104"/>
      <c r="R2825" s="104"/>
      <c r="S2825" s="104"/>
    </row>
    <row r="2826" spans="4:19">
      <c r="D2826" s="104"/>
      <c r="E2826" s="104"/>
      <c r="F2826" s="104"/>
      <c r="G2826" s="104"/>
      <c r="H2826" s="104"/>
      <c r="I2826" s="104"/>
      <c r="J2826" s="104"/>
      <c r="K2826" s="104"/>
      <c r="L2826" s="104"/>
      <c r="M2826" s="104"/>
      <c r="N2826" s="104"/>
      <c r="O2826" s="104"/>
      <c r="P2826" s="104"/>
      <c r="Q2826" s="104"/>
      <c r="R2826" s="104"/>
      <c r="S2826" s="104"/>
    </row>
    <row r="2827" spans="4:19">
      <c r="D2827" s="104"/>
      <c r="E2827" s="104"/>
      <c r="F2827" s="104"/>
      <c r="G2827" s="104"/>
      <c r="H2827" s="104"/>
      <c r="I2827" s="104"/>
      <c r="J2827" s="104"/>
      <c r="K2827" s="104"/>
      <c r="L2827" s="104"/>
      <c r="M2827" s="104"/>
      <c r="N2827" s="104"/>
      <c r="O2827" s="104"/>
      <c r="P2827" s="104"/>
      <c r="Q2827" s="104"/>
      <c r="R2827" s="104"/>
      <c r="S2827" s="104"/>
    </row>
    <row r="2828" spans="4:19">
      <c r="D2828" s="104"/>
      <c r="E2828" s="104"/>
      <c r="F2828" s="104"/>
      <c r="G2828" s="104"/>
      <c r="H2828" s="104"/>
      <c r="I2828" s="104"/>
      <c r="J2828" s="104"/>
      <c r="K2828" s="104"/>
      <c r="L2828" s="104"/>
      <c r="M2828" s="104"/>
      <c r="N2828" s="104"/>
      <c r="O2828" s="104"/>
      <c r="P2828" s="104"/>
      <c r="Q2828" s="104"/>
      <c r="R2828" s="104"/>
      <c r="S2828" s="104"/>
    </row>
    <row r="2829" spans="4:19">
      <c r="D2829" s="104"/>
      <c r="E2829" s="104"/>
      <c r="F2829" s="104"/>
      <c r="G2829" s="104"/>
      <c r="H2829" s="104"/>
      <c r="I2829" s="104"/>
      <c r="J2829" s="104"/>
      <c r="K2829" s="104"/>
      <c r="L2829" s="104"/>
      <c r="M2829" s="104"/>
      <c r="N2829" s="104"/>
      <c r="O2829" s="104"/>
      <c r="P2829" s="104"/>
      <c r="Q2829" s="104"/>
      <c r="R2829" s="104"/>
      <c r="S2829" s="104"/>
    </row>
    <row r="2830" spans="4:19">
      <c r="D2830" s="104"/>
      <c r="E2830" s="104"/>
      <c r="F2830" s="104"/>
      <c r="G2830" s="104"/>
      <c r="H2830" s="104"/>
      <c r="I2830" s="104"/>
      <c r="J2830" s="104"/>
      <c r="K2830" s="104"/>
      <c r="L2830" s="104"/>
      <c r="M2830" s="104"/>
      <c r="N2830" s="104"/>
      <c r="O2830" s="104"/>
      <c r="P2830" s="104"/>
      <c r="Q2830" s="104"/>
      <c r="R2830" s="104"/>
      <c r="S2830" s="104"/>
    </row>
    <row r="2831" spans="4:19">
      <c r="D2831" s="104"/>
      <c r="E2831" s="104"/>
      <c r="F2831" s="104"/>
      <c r="G2831" s="104"/>
      <c r="H2831" s="104"/>
      <c r="I2831" s="104"/>
      <c r="J2831" s="104"/>
      <c r="K2831" s="104"/>
      <c r="L2831" s="104"/>
      <c r="M2831" s="104"/>
      <c r="N2831" s="104"/>
      <c r="O2831" s="104"/>
      <c r="P2831" s="104"/>
      <c r="Q2831" s="104"/>
      <c r="R2831" s="104"/>
      <c r="S2831" s="104"/>
    </row>
    <row r="2832" spans="4:19">
      <c r="D2832" s="104"/>
      <c r="E2832" s="104"/>
      <c r="F2832" s="104"/>
      <c r="G2832" s="104"/>
      <c r="H2832" s="104"/>
      <c r="I2832" s="104"/>
      <c r="J2832" s="104"/>
      <c r="K2832" s="104"/>
      <c r="L2832" s="104"/>
      <c r="M2832" s="104"/>
      <c r="N2832" s="104"/>
      <c r="O2832" s="104"/>
      <c r="P2832" s="104"/>
      <c r="Q2832" s="104"/>
      <c r="R2832" s="104"/>
      <c r="S2832" s="104"/>
    </row>
    <row r="2833" spans="4:19">
      <c r="D2833" s="104"/>
      <c r="E2833" s="104"/>
      <c r="F2833" s="104"/>
      <c r="G2833" s="104"/>
      <c r="H2833" s="104"/>
      <c r="I2833" s="104"/>
      <c r="J2833" s="104"/>
      <c r="K2833" s="104"/>
      <c r="L2833" s="104"/>
      <c r="M2833" s="104"/>
      <c r="N2833" s="104"/>
      <c r="O2833" s="104"/>
      <c r="P2833" s="104"/>
      <c r="Q2833" s="104"/>
      <c r="R2833" s="104"/>
      <c r="S2833" s="104"/>
    </row>
    <row r="2834" spans="4:19">
      <c r="D2834" s="104"/>
      <c r="E2834" s="104"/>
      <c r="F2834" s="104"/>
      <c r="G2834" s="104"/>
      <c r="H2834" s="104"/>
      <c r="I2834" s="104"/>
      <c r="J2834" s="104"/>
      <c r="K2834" s="104"/>
      <c r="L2834" s="104"/>
      <c r="M2834" s="104"/>
      <c r="N2834" s="104"/>
      <c r="O2834" s="104"/>
      <c r="P2834" s="104"/>
      <c r="Q2834" s="104"/>
      <c r="R2834" s="104"/>
      <c r="S2834" s="104"/>
    </row>
    <row r="2835" spans="4:19">
      <c r="D2835" s="104"/>
      <c r="E2835" s="104"/>
      <c r="F2835" s="104"/>
      <c r="G2835" s="104"/>
      <c r="H2835" s="104"/>
      <c r="I2835" s="104"/>
      <c r="J2835" s="104"/>
      <c r="K2835" s="104"/>
      <c r="L2835" s="104"/>
      <c r="M2835" s="104"/>
      <c r="N2835" s="104"/>
      <c r="O2835" s="104"/>
      <c r="P2835" s="104"/>
      <c r="Q2835" s="104"/>
      <c r="R2835" s="104"/>
      <c r="S2835" s="104"/>
    </row>
    <row r="2836" spans="4:19">
      <c r="D2836" s="104"/>
      <c r="E2836" s="104"/>
      <c r="F2836" s="104"/>
      <c r="G2836" s="104"/>
      <c r="H2836" s="104"/>
      <c r="I2836" s="104"/>
      <c r="J2836" s="104"/>
      <c r="K2836" s="104"/>
      <c r="L2836" s="104"/>
      <c r="M2836" s="104"/>
      <c r="N2836" s="104"/>
      <c r="O2836" s="104"/>
      <c r="P2836" s="104"/>
      <c r="Q2836" s="104"/>
      <c r="R2836" s="104"/>
      <c r="S2836" s="104"/>
    </row>
    <row r="2837" spans="4:19">
      <c r="D2837" s="104"/>
      <c r="E2837" s="104"/>
      <c r="F2837" s="104"/>
      <c r="G2837" s="104"/>
      <c r="H2837" s="104"/>
      <c r="I2837" s="104"/>
      <c r="J2837" s="104"/>
      <c r="K2837" s="104"/>
      <c r="L2837" s="104"/>
      <c r="M2837" s="104"/>
      <c r="N2837" s="104"/>
      <c r="O2837" s="104"/>
      <c r="P2837" s="104"/>
      <c r="Q2837" s="104"/>
      <c r="R2837" s="104"/>
      <c r="S2837" s="104"/>
    </row>
    <row r="2838" spans="4:19">
      <c r="D2838" s="104"/>
      <c r="E2838" s="104"/>
      <c r="F2838" s="104"/>
      <c r="G2838" s="104"/>
      <c r="H2838" s="104"/>
      <c r="I2838" s="104"/>
      <c r="J2838" s="104"/>
      <c r="K2838" s="104"/>
      <c r="L2838" s="104"/>
      <c r="M2838" s="104"/>
      <c r="N2838" s="104"/>
      <c r="O2838" s="104"/>
      <c r="P2838" s="104"/>
      <c r="Q2838" s="104"/>
      <c r="R2838" s="104"/>
      <c r="S2838" s="104"/>
    </row>
    <row r="2839" spans="4:19">
      <c r="D2839" s="104"/>
      <c r="E2839" s="104"/>
      <c r="F2839" s="104"/>
      <c r="G2839" s="104"/>
      <c r="H2839" s="104"/>
      <c r="I2839" s="104"/>
      <c r="J2839" s="104"/>
      <c r="K2839" s="104"/>
      <c r="L2839" s="104"/>
      <c r="M2839" s="104"/>
      <c r="N2839" s="104"/>
      <c r="O2839" s="104"/>
      <c r="P2839" s="104"/>
      <c r="Q2839" s="104"/>
      <c r="R2839" s="104"/>
      <c r="S2839" s="104"/>
    </row>
    <row r="2840" spans="4:19">
      <c r="D2840" s="104"/>
      <c r="E2840" s="104"/>
      <c r="F2840" s="104"/>
      <c r="G2840" s="104"/>
      <c r="H2840" s="104"/>
      <c r="I2840" s="104"/>
      <c r="J2840" s="104"/>
      <c r="K2840" s="104"/>
      <c r="L2840" s="104"/>
      <c r="M2840" s="104"/>
      <c r="N2840" s="104"/>
      <c r="O2840" s="104"/>
      <c r="P2840" s="104"/>
      <c r="Q2840" s="104"/>
      <c r="R2840" s="104"/>
      <c r="S2840" s="104"/>
    </row>
    <row r="2841" spans="4:19">
      <c r="D2841" s="104"/>
      <c r="E2841" s="104"/>
      <c r="F2841" s="104"/>
      <c r="G2841" s="104"/>
      <c r="H2841" s="104"/>
      <c r="I2841" s="104"/>
      <c r="J2841" s="104"/>
      <c r="K2841" s="104"/>
      <c r="L2841" s="104"/>
      <c r="M2841" s="104"/>
      <c r="N2841" s="104"/>
      <c r="O2841" s="104"/>
      <c r="P2841" s="104"/>
      <c r="Q2841" s="104"/>
      <c r="R2841" s="104"/>
      <c r="S2841" s="104"/>
    </row>
    <row r="2842" spans="4:19">
      <c r="D2842" s="104"/>
      <c r="E2842" s="104"/>
      <c r="F2842" s="104"/>
      <c r="G2842" s="104"/>
      <c r="H2842" s="104"/>
      <c r="I2842" s="104"/>
      <c r="J2842" s="104"/>
      <c r="K2842" s="104"/>
      <c r="L2842" s="104"/>
      <c r="M2842" s="104"/>
      <c r="N2842" s="104"/>
      <c r="O2842" s="104"/>
      <c r="P2842" s="104"/>
      <c r="Q2842" s="104"/>
      <c r="R2842" s="104"/>
      <c r="S2842" s="104"/>
    </row>
    <row r="2843" spans="4:19">
      <c r="D2843" s="104"/>
      <c r="E2843" s="104"/>
      <c r="F2843" s="104"/>
      <c r="G2843" s="104"/>
      <c r="H2843" s="104"/>
      <c r="I2843" s="104"/>
      <c r="J2843" s="104"/>
      <c r="K2843" s="104"/>
      <c r="L2843" s="104"/>
      <c r="M2843" s="104"/>
      <c r="N2843" s="104"/>
      <c r="O2843" s="104"/>
      <c r="P2843" s="104"/>
      <c r="Q2843" s="104"/>
      <c r="R2843" s="104"/>
      <c r="S2843" s="104"/>
    </row>
    <row r="2844" spans="4:19">
      <c r="D2844" s="104"/>
      <c r="E2844" s="104"/>
      <c r="F2844" s="104"/>
      <c r="G2844" s="104"/>
      <c r="H2844" s="104"/>
      <c r="I2844" s="104"/>
      <c r="J2844" s="104"/>
      <c r="K2844" s="104"/>
      <c r="L2844" s="104"/>
      <c r="M2844" s="104"/>
      <c r="N2844" s="104"/>
      <c r="O2844" s="104"/>
      <c r="P2844" s="104"/>
      <c r="Q2844" s="104"/>
      <c r="R2844" s="104"/>
      <c r="S2844" s="104"/>
    </row>
    <row r="2845" spans="4:19">
      <c r="D2845" s="104"/>
      <c r="E2845" s="104"/>
      <c r="F2845" s="104"/>
      <c r="G2845" s="104"/>
      <c r="H2845" s="104"/>
      <c r="I2845" s="104"/>
      <c r="J2845" s="104"/>
      <c r="K2845" s="104"/>
      <c r="L2845" s="104"/>
      <c r="M2845" s="104"/>
      <c r="N2845" s="104"/>
      <c r="O2845" s="104"/>
      <c r="P2845" s="104"/>
      <c r="Q2845" s="104"/>
      <c r="R2845" s="104"/>
      <c r="S2845" s="104"/>
    </row>
    <row r="2846" spans="4:19">
      <c r="D2846" s="104"/>
      <c r="E2846" s="104"/>
      <c r="F2846" s="104"/>
      <c r="G2846" s="104"/>
      <c r="H2846" s="104"/>
      <c r="I2846" s="104"/>
      <c r="J2846" s="104"/>
      <c r="K2846" s="104"/>
      <c r="L2846" s="104"/>
      <c r="M2846" s="104"/>
      <c r="N2846" s="104"/>
      <c r="O2846" s="104"/>
      <c r="P2846" s="104"/>
      <c r="Q2846" s="104"/>
      <c r="R2846" s="104"/>
      <c r="S2846" s="104"/>
    </row>
    <row r="2847" spans="4:19">
      <c r="D2847" s="104"/>
      <c r="E2847" s="104"/>
      <c r="F2847" s="104"/>
      <c r="G2847" s="104"/>
      <c r="H2847" s="104"/>
      <c r="I2847" s="104"/>
      <c r="J2847" s="104"/>
      <c r="K2847" s="104"/>
      <c r="L2847" s="104"/>
      <c r="M2847" s="104"/>
      <c r="N2847" s="104"/>
      <c r="O2847" s="104"/>
      <c r="P2847" s="104"/>
      <c r="Q2847" s="104"/>
      <c r="R2847" s="104"/>
      <c r="S2847" s="104"/>
    </row>
    <row r="2848" spans="4:19">
      <c r="D2848" s="104"/>
      <c r="E2848" s="104"/>
      <c r="F2848" s="104"/>
      <c r="G2848" s="104"/>
      <c r="H2848" s="104"/>
      <c r="I2848" s="104"/>
      <c r="J2848" s="104"/>
      <c r="K2848" s="104"/>
      <c r="L2848" s="104"/>
      <c r="M2848" s="104"/>
      <c r="N2848" s="104"/>
      <c r="O2848" s="104"/>
      <c r="P2848" s="104"/>
      <c r="Q2848" s="104"/>
      <c r="R2848" s="104"/>
      <c r="S2848" s="104"/>
    </row>
    <row r="2849" spans="4:19">
      <c r="D2849" s="104"/>
      <c r="E2849" s="104"/>
      <c r="F2849" s="104"/>
      <c r="G2849" s="104"/>
      <c r="H2849" s="104"/>
      <c r="I2849" s="104"/>
      <c r="J2849" s="104"/>
      <c r="K2849" s="104"/>
      <c r="L2849" s="104"/>
      <c r="M2849" s="104"/>
      <c r="N2849" s="104"/>
      <c r="O2849" s="104"/>
      <c r="P2849" s="104"/>
      <c r="Q2849" s="104"/>
      <c r="R2849" s="104"/>
      <c r="S2849" s="104"/>
    </row>
    <row r="2850" spans="4:19">
      <c r="D2850" s="104"/>
      <c r="E2850" s="104"/>
      <c r="F2850" s="104"/>
      <c r="G2850" s="104"/>
      <c r="H2850" s="104"/>
      <c r="I2850" s="104"/>
      <c r="J2850" s="104"/>
      <c r="K2850" s="104"/>
      <c r="L2850" s="104"/>
      <c r="M2850" s="104"/>
      <c r="N2850" s="104"/>
      <c r="O2850" s="104"/>
      <c r="P2850" s="104"/>
      <c r="Q2850" s="104"/>
      <c r="R2850" s="104"/>
      <c r="S2850" s="104"/>
    </row>
    <row r="2851" spans="4:19">
      <c r="D2851" s="104"/>
      <c r="E2851" s="104"/>
      <c r="F2851" s="104"/>
      <c r="G2851" s="104"/>
      <c r="H2851" s="104"/>
      <c r="I2851" s="104"/>
      <c r="J2851" s="104"/>
      <c r="K2851" s="104"/>
      <c r="L2851" s="104"/>
      <c r="M2851" s="104"/>
      <c r="N2851" s="104"/>
      <c r="O2851" s="104"/>
      <c r="P2851" s="104"/>
      <c r="Q2851" s="104"/>
      <c r="R2851" s="104"/>
      <c r="S2851" s="104"/>
    </row>
    <row r="2852" spans="4:19">
      <c r="D2852" s="104"/>
      <c r="E2852" s="104"/>
      <c r="F2852" s="104"/>
      <c r="G2852" s="104"/>
      <c r="H2852" s="104"/>
      <c r="I2852" s="104"/>
      <c r="J2852" s="104"/>
      <c r="K2852" s="104"/>
      <c r="L2852" s="104"/>
      <c r="M2852" s="104"/>
      <c r="N2852" s="104"/>
      <c r="O2852" s="104"/>
      <c r="P2852" s="104"/>
      <c r="Q2852" s="104"/>
      <c r="R2852" s="104"/>
      <c r="S2852" s="104"/>
    </row>
    <row r="2853" spans="4:19">
      <c r="D2853" s="104"/>
      <c r="E2853" s="104"/>
      <c r="F2853" s="104"/>
      <c r="G2853" s="104"/>
      <c r="H2853" s="104"/>
      <c r="I2853" s="104"/>
      <c r="J2853" s="104"/>
      <c r="K2853" s="104"/>
      <c r="L2853" s="104"/>
      <c r="M2853" s="104"/>
      <c r="N2853" s="104"/>
      <c r="O2853" s="104"/>
      <c r="P2853" s="104"/>
      <c r="Q2853" s="104"/>
      <c r="R2853" s="104"/>
      <c r="S2853" s="104"/>
    </row>
    <row r="2854" spans="4:19">
      <c r="D2854" s="104"/>
      <c r="E2854" s="104"/>
      <c r="F2854" s="104"/>
      <c r="G2854" s="104"/>
      <c r="H2854" s="104"/>
      <c r="I2854" s="104"/>
      <c r="J2854" s="104"/>
      <c r="K2854" s="104"/>
      <c r="L2854" s="104"/>
      <c r="M2854" s="104"/>
      <c r="N2854" s="104"/>
      <c r="O2854" s="104"/>
      <c r="P2854" s="104"/>
      <c r="Q2854" s="104"/>
      <c r="R2854" s="104"/>
      <c r="S2854" s="104"/>
    </row>
    <row r="2855" spans="4:19">
      <c r="D2855" s="104"/>
      <c r="E2855" s="104"/>
      <c r="F2855" s="104"/>
      <c r="G2855" s="104"/>
      <c r="H2855" s="104"/>
      <c r="I2855" s="104"/>
      <c r="J2855" s="104"/>
      <c r="K2855" s="104"/>
      <c r="L2855" s="104"/>
      <c r="M2855" s="104"/>
      <c r="N2855" s="104"/>
      <c r="O2855" s="104"/>
      <c r="P2855" s="104"/>
      <c r="Q2855" s="104"/>
      <c r="R2855" s="104"/>
      <c r="S2855" s="104"/>
    </row>
    <row r="2856" spans="4:19">
      <c r="D2856" s="104"/>
      <c r="E2856" s="104"/>
      <c r="F2856" s="104"/>
      <c r="G2856" s="104"/>
      <c r="H2856" s="104"/>
      <c r="I2856" s="104"/>
      <c r="J2856" s="104"/>
      <c r="K2856" s="104"/>
      <c r="L2856" s="104"/>
      <c r="M2856" s="104"/>
      <c r="N2856" s="104"/>
      <c r="O2856" s="104"/>
      <c r="P2856" s="104"/>
      <c r="Q2856" s="104"/>
      <c r="R2856" s="104"/>
      <c r="S2856" s="104"/>
    </row>
    <row r="2857" spans="4:19">
      <c r="D2857" s="104"/>
      <c r="E2857" s="104"/>
      <c r="F2857" s="104"/>
      <c r="G2857" s="104"/>
      <c r="H2857" s="104"/>
      <c r="I2857" s="104"/>
      <c r="J2857" s="104"/>
      <c r="K2857" s="104"/>
      <c r="L2857" s="104"/>
      <c r="M2857" s="104"/>
      <c r="N2857" s="104"/>
      <c r="O2857" s="104"/>
      <c r="P2857" s="104"/>
      <c r="Q2857" s="104"/>
      <c r="R2857" s="104"/>
      <c r="S2857" s="104"/>
    </row>
    <row r="2858" spans="4:19">
      <c r="D2858" s="104"/>
      <c r="E2858" s="104"/>
      <c r="F2858" s="104"/>
      <c r="G2858" s="104"/>
      <c r="H2858" s="104"/>
      <c r="I2858" s="104"/>
      <c r="J2858" s="104"/>
      <c r="K2858" s="104"/>
      <c r="L2858" s="104"/>
      <c r="M2858" s="104"/>
      <c r="N2858" s="104"/>
      <c r="O2858" s="104"/>
      <c r="P2858" s="104"/>
      <c r="Q2858" s="104"/>
      <c r="R2858" s="104"/>
      <c r="S2858" s="104"/>
    </row>
    <row r="2859" spans="4:19">
      <c r="D2859" s="104"/>
      <c r="E2859" s="104"/>
      <c r="F2859" s="104"/>
      <c r="G2859" s="104"/>
      <c r="H2859" s="104"/>
      <c r="I2859" s="104"/>
      <c r="J2859" s="104"/>
      <c r="K2859" s="104"/>
      <c r="L2859" s="104"/>
      <c r="M2859" s="104"/>
      <c r="N2859" s="104"/>
      <c r="O2859" s="104"/>
      <c r="P2859" s="104"/>
      <c r="Q2859" s="104"/>
      <c r="R2859" s="104"/>
      <c r="S2859" s="104"/>
    </row>
    <row r="2860" spans="4:19">
      <c r="D2860" s="104"/>
      <c r="E2860" s="104"/>
      <c r="F2860" s="104"/>
      <c r="G2860" s="104"/>
      <c r="H2860" s="104"/>
      <c r="I2860" s="104"/>
      <c r="J2860" s="104"/>
      <c r="K2860" s="104"/>
      <c r="L2860" s="104"/>
      <c r="M2860" s="104"/>
      <c r="N2860" s="104"/>
      <c r="O2860" s="104"/>
      <c r="P2860" s="104"/>
      <c r="Q2860" s="104"/>
      <c r="R2860" s="104"/>
      <c r="S2860" s="104"/>
    </row>
    <row r="2861" spans="4:19">
      <c r="D2861" s="104"/>
      <c r="E2861" s="104"/>
      <c r="F2861" s="104"/>
      <c r="G2861" s="104"/>
      <c r="H2861" s="104"/>
      <c r="I2861" s="104"/>
      <c r="J2861" s="104"/>
      <c r="K2861" s="104"/>
      <c r="L2861" s="104"/>
      <c r="M2861" s="104"/>
      <c r="N2861" s="104"/>
      <c r="O2861" s="104"/>
      <c r="P2861" s="104"/>
      <c r="Q2861" s="104"/>
      <c r="R2861" s="104"/>
      <c r="S2861" s="104"/>
    </row>
    <row r="2862" spans="4:19">
      <c r="D2862" s="104"/>
      <c r="E2862" s="104"/>
      <c r="F2862" s="104"/>
      <c r="G2862" s="104"/>
      <c r="H2862" s="104"/>
      <c r="I2862" s="104"/>
      <c r="J2862" s="104"/>
      <c r="K2862" s="104"/>
      <c r="L2862" s="104"/>
      <c r="M2862" s="104"/>
      <c r="N2862" s="104"/>
      <c r="O2862" s="104"/>
      <c r="P2862" s="104"/>
      <c r="Q2862" s="104"/>
      <c r="R2862" s="104"/>
      <c r="S2862" s="104"/>
    </row>
    <row r="2863" spans="4:19">
      <c r="D2863" s="104"/>
      <c r="E2863" s="104"/>
      <c r="F2863" s="104"/>
      <c r="G2863" s="104"/>
      <c r="H2863" s="104"/>
      <c r="I2863" s="104"/>
      <c r="J2863" s="104"/>
      <c r="K2863" s="104"/>
      <c r="L2863" s="104"/>
      <c r="M2863" s="104"/>
      <c r="N2863" s="104"/>
      <c r="O2863" s="104"/>
      <c r="P2863" s="104"/>
      <c r="Q2863" s="104"/>
      <c r="R2863" s="104"/>
      <c r="S2863" s="104"/>
    </row>
    <row r="2864" spans="4:19">
      <c r="D2864" s="104"/>
      <c r="E2864" s="104"/>
      <c r="F2864" s="104"/>
      <c r="G2864" s="104"/>
      <c r="H2864" s="104"/>
      <c r="I2864" s="104"/>
      <c r="J2864" s="104"/>
      <c r="K2864" s="104"/>
      <c r="L2864" s="104"/>
      <c r="M2864" s="104"/>
      <c r="N2864" s="104"/>
      <c r="O2864" s="104"/>
      <c r="P2864" s="104"/>
      <c r="Q2864" s="104"/>
      <c r="R2864" s="104"/>
      <c r="S2864" s="104"/>
    </row>
    <row r="2865" spans="4:19">
      <c r="D2865" s="104"/>
      <c r="E2865" s="104"/>
      <c r="F2865" s="104"/>
      <c r="G2865" s="104"/>
      <c r="H2865" s="104"/>
      <c r="I2865" s="104"/>
      <c r="J2865" s="104"/>
      <c r="K2865" s="104"/>
      <c r="L2865" s="104"/>
      <c r="M2865" s="104"/>
      <c r="N2865" s="104"/>
      <c r="O2865" s="104"/>
      <c r="P2865" s="104"/>
      <c r="Q2865" s="104"/>
      <c r="R2865" s="104"/>
      <c r="S2865" s="104"/>
    </row>
    <row r="2866" spans="4:19">
      <c r="D2866" s="104"/>
      <c r="E2866" s="104"/>
      <c r="F2866" s="104"/>
      <c r="G2866" s="104"/>
      <c r="H2866" s="104"/>
      <c r="I2866" s="104"/>
      <c r="J2866" s="104"/>
      <c r="K2866" s="104"/>
      <c r="L2866" s="104"/>
      <c r="M2866" s="104"/>
      <c r="N2866" s="104"/>
      <c r="O2866" s="104"/>
      <c r="P2866" s="104"/>
      <c r="Q2866" s="104"/>
      <c r="R2866" s="104"/>
      <c r="S2866" s="104"/>
    </row>
    <row r="2867" spans="4:19">
      <c r="D2867" s="104"/>
      <c r="E2867" s="104"/>
      <c r="F2867" s="104"/>
      <c r="G2867" s="104"/>
      <c r="H2867" s="104"/>
      <c r="I2867" s="104"/>
      <c r="J2867" s="104"/>
      <c r="K2867" s="104"/>
      <c r="L2867" s="104"/>
      <c r="M2867" s="104"/>
      <c r="N2867" s="104"/>
      <c r="O2867" s="104"/>
      <c r="P2867" s="104"/>
      <c r="Q2867" s="104"/>
      <c r="R2867" s="104"/>
      <c r="S2867" s="104"/>
    </row>
    <row r="2868" spans="4:19">
      <c r="D2868" s="104"/>
      <c r="E2868" s="104"/>
      <c r="F2868" s="104"/>
      <c r="G2868" s="104"/>
      <c r="H2868" s="104"/>
      <c r="I2868" s="104"/>
      <c r="J2868" s="104"/>
      <c r="K2868" s="104"/>
      <c r="L2868" s="104"/>
      <c r="M2868" s="104"/>
      <c r="N2868" s="104"/>
      <c r="O2868" s="104"/>
      <c r="P2868" s="104"/>
      <c r="Q2868" s="104"/>
      <c r="R2868" s="104"/>
      <c r="S2868" s="104"/>
    </row>
    <row r="2869" spans="4:19">
      <c r="D2869" s="104"/>
      <c r="E2869" s="104"/>
      <c r="F2869" s="104"/>
      <c r="G2869" s="104"/>
      <c r="H2869" s="104"/>
      <c r="I2869" s="104"/>
      <c r="J2869" s="104"/>
      <c r="K2869" s="104"/>
      <c r="L2869" s="104"/>
      <c r="M2869" s="104"/>
      <c r="N2869" s="104"/>
      <c r="O2869" s="104"/>
      <c r="P2869" s="104"/>
      <c r="Q2869" s="104"/>
      <c r="R2869" s="104"/>
      <c r="S2869" s="104"/>
    </row>
    <row r="2870" spans="4:19">
      <c r="D2870" s="104"/>
      <c r="E2870" s="104"/>
      <c r="F2870" s="104"/>
      <c r="G2870" s="104"/>
      <c r="H2870" s="104"/>
      <c r="I2870" s="104"/>
      <c r="J2870" s="104"/>
      <c r="K2870" s="104"/>
      <c r="L2870" s="104"/>
      <c r="M2870" s="104"/>
      <c r="N2870" s="104"/>
      <c r="O2870" s="104"/>
      <c r="P2870" s="104"/>
      <c r="Q2870" s="104"/>
      <c r="R2870" s="104"/>
      <c r="S2870" s="104"/>
    </row>
    <row r="2871" spans="4:19">
      <c r="D2871" s="104"/>
      <c r="E2871" s="104"/>
      <c r="F2871" s="104"/>
      <c r="G2871" s="104"/>
      <c r="H2871" s="104"/>
      <c r="I2871" s="104"/>
      <c r="J2871" s="104"/>
      <c r="K2871" s="104"/>
      <c r="L2871" s="104"/>
      <c r="M2871" s="104"/>
      <c r="N2871" s="104"/>
      <c r="O2871" s="104"/>
      <c r="P2871" s="104"/>
      <c r="Q2871" s="104"/>
      <c r="R2871" s="104"/>
      <c r="S2871" s="104"/>
    </row>
    <row r="2872" spans="4:19">
      <c r="D2872" s="104"/>
      <c r="E2872" s="104"/>
      <c r="F2872" s="104"/>
      <c r="G2872" s="104"/>
      <c r="H2872" s="104"/>
      <c r="I2872" s="104"/>
      <c r="J2872" s="104"/>
      <c r="K2872" s="104"/>
      <c r="L2872" s="104"/>
      <c r="M2872" s="104"/>
      <c r="N2872" s="104"/>
      <c r="O2872" s="104"/>
      <c r="P2872" s="104"/>
      <c r="Q2872" s="104"/>
      <c r="R2872" s="104"/>
      <c r="S2872" s="104"/>
    </row>
    <row r="2873" spans="4:19">
      <c r="D2873" s="104"/>
      <c r="E2873" s="104"/>
      <c r="F2873" s="104"/>
      <c r="G2873" s="104"/>
      <c r="H2873" s="104"/>
      <c r="I2873" s="104"/>
      <c r="J2873" s="104"/>
      <c r="K2873" s="104"/>
      <c r="L2873" s="104"/>
      <c r="M2873" s="104"/>
      <c r="N2873" s="104"/>
      <c r="O2873" s="104"/>
      <c r="P2873" s="104"/>
      <c r="Q2873" s="104"/>
      <c r="R2873" s="104"/>
      <c r="S2873" s="104"/>
    </row>
    <row r="2874" spans="4:19">
      <c r="D2874" s="104"/>
      <c r="E2874" s="104"/>
      <c r="F2874" s="104"/>
      <c r="G2874" s="104"/>
      <c r="H2874" s="104"/>
      <c r="I2874" s="104"/>
      <c r="J2874" s="104"/>
      <c r="K2874" s="104"/>
      <c r="L2874" s="104"/>
      <c r="M2874" s="104"/>
      <c r="N2874" s="104"/>
      <c r="O2874" s="104"/>
      <c r="P2874" s="104"/>
      <c r="Q2874" s="104"/>
      <c r="R2874" s="104"/>
      <c r="S2874" s="104"/>
    </row>
    <row r="2875" spans="4:19">
      <c r="D2875" s="104"/>
      <c r="E2875" s="104"/>
      <c r="F2875" s="104"/>
      <c r="G2875" s="104"/>
      <c r="H2875" s="104"/>
      <c r="I2875" s="104"/>
      <c r="J2875" s="104"/>
      <c r="K2875" s="104"/>
      <c r="L2875" s="104"/>
      <c r="M2875" s="104"/>
      <c r="N2875" s="104"/>
      <c r="O2875" s="104"/>
      <c r="P2875" s="104"/>
      <c r="Q2875" s="104"/>
      <c r="R2875" s="104"/>
      <c r="S2875" s="104"/>
    </row>
    <row r="2876" spans="4:19">
      <c r="D2876" s="104"/>
      <c r="E2876" s="104"/>
      <c r="F2876" s="104"/>
      <c r="G2876" s="104"/>
      <c r="H2876" s="104"/>
      <c r="I2876" s="104"/>
      <c r="J2876" s="104"/>
      <c r="K2876" s="104"/>
      <c r="L2876" s="104"/>
      <c r="M2876" s="104"/>
      <c r="N2876" s="104"/>
      <c r="O2876" s="104"/>
      <c r="P2876" s="104"/>
      <c r="Q2876" s="104"/>
      <c r="R2876" s="104"/>
      <c r="S2876" s="104"/>
    </row>
    <row r="2877" spans="4:19">
      <c r="D2877" s="104"/>
      <c r="E2877" s="104"/>
      <c r="F2877" s="104"/>
      <c r="G2877" s="104"/>
      <c r="H2877" s="104"/>
      <c r="I2877" s="104"/>
      <c r="J2877" s="104"/>
      <c r="K2877" s="104"/>
      <c r="L2877" s="104"/>
      <c r="M2877" s="104"/>
      <c r="N2877" s="104"/>
      <c r="O2877" s="104"/>
      <c r="P2877" s="104"/>
      <c r="Q2877" s="104"/>
      <c r="R2877" s="104"/>
      <c r="S2877" s="104"/>
    </row>
    <row r="2878" spans="4:19">
      <c r="D2878" s="104"/>
      <c r="E2878" s="104"/>
      <c r="F2878" s="104"/>
      <c r="G2878" s="104"/>
      <c r="H2878" s="104"/>
      <c r="I2878" s="104"/>
      <c r="J2878" s="104"/>
      <c r="K2878" s="104"/>
      <c r="L2878" s="104"/>
      <c r="M2878" s="104"/>
      <c r="N2878" s="104"/>
      <c r="O2878" s="104"/>
      <c r="P2878" s="104"/>
      <c r="Q2878" s="104"/>
      <c r="R2878" s="104"/>
      <c r="S2878" s="104"/>
    </row>
    <row r="2879" spans="4:19">
      <c r="D2879" s="104"/>
      <c r="E2879" s="104"/>
      <c r="F2879" s="104"/>
      <c r="G2879" s="104"/>
      <c r="H2879" s="104"/>
      <c r="I2879" s="104"/>
      <c r="J2879" s="104"/>
      <c r="K2879" s="104"/>
      <c r="L2879" s="104"/>
      <c r="M2879" s="104"/>
      <c r="N2879" s="104"/>
      <c r="O2879" s="104"/>
      <c r="P2879" s="104"/>
      <c r="Q2879" s="104"/>
      <c r="R2879" s="104"/>
      <c r="S2879" s="104"/>
    </row>
    <row r="2880" spans="4:19">
      <c r="D2880" s="104"/>
      <c r="E2880" s="104"/>
      <c r="F2880" s="104"/>
      <c r="G2880" s="104"/>
      <c r="H2880" s="104"/>
      <c r="I2880" s="104"/>
      <c r="J2880" s="104"/>
      <c r="K2880" s="104"/>
      <c r="L2880" s="104"/>
      <c r="M2880" s="104"/>
      <c r="N2880" s="104"/>
      <c r="O2880" s="104"/>
      <c r="P2880" s="104"/>
      <c r="Q2880" s="104"/>
      <c r="R2880" s="104"/>
      <c r="S2880" s="104"/>
    </row>
    <row r="2881" spans="4:19">
      <c r="D2881" s="104"/>
      <c r="E2881" s="104"/>
      <c r="F2881" s="104"/>
      <c r="G2881" s="104"/>
      <c r="H2881" s="104"/>
      <c r="I2881" s="104"/>
      <c r="J2881" s="104"/>
      <c r="K2881" s="104"/>
      <c r="L2881" s="104"/>
      <c r="M2881" s="104"/>
      <c r="N2881" s="104"/>
      <c r="O2881" s="104"/>
      <c r="P2881" s="104"/>
      <c r="Q2881" s="104"/>
      <c r="R2881" s="104"/>
      <c r="S2881" s="104"/>
    </row>
    <row r="2882" spans="4:19">
      <c r="D2882" s="104"/>
      <c r="E2882" s="104"/>
      <c r="F2882" s="104"/>
      <c r="G2882" s="104"/>
      <c r="H2882" s="104"/>
      <c r="I2882" s="104"/>
      <c r="J2882" s="104"/>
      <c r="K2882" s="104"/>
      <c r="L2882" s="104"/>
      <c r="M2882" s="104"/>
      <c r="N2882" s="104"/>
      <c r="O2882" s="104"/>
      <c r="P2882" s="104"/>
      <c r="Q2882" s="104"/>
      <c r="R2882" s="104"/>
      <c r="S2882" s="104"/>
    </row>
    <row r="2883" spans="4:19">
      <c r="D2883" s="104"/>
      <c r="E2883" s="104"/>
      <c r="F2883" s="104"/>
      <c r="G2883" s="104"/>
      <c r="H2883" s="104"/>
      <c r="I2883" s="104"/>
      <c r="J2883" s="104"/>
      <c r="K2883" s="104"/>
      <c r="L2883" s="104"/>
      <c r="M2883" s="104"/>
      <c r="N2883" s="104"/>
      <c r="O2883" s="104"/>
      <c r="P2883" s="104"/>
      <c r="Q2883" s="104"/>
      <c r="R2883" s="104"/>
      <c r="S2883" s="104"/>
    </row>
    <row r="2884" spans="4:19">
      <c r="D2884" s="104"/>
      <c r="E2884" s="104"/>
      <c r="F2884" s="104"/>
      <c r="G2884" s="104"/>
      <c r="H2884" s="104"/>
      <c r="I2884" s="104"/>
      <c r="J2884" s="104"/>
      <c r="K2884" s="104"/>
      <c r="L2884" s="104"/>
      <c r="M2884" s="104"/>
      <c r="N2884" s="104"/>
      <c r="O2884" s="104"/>
      <c r="P2884" s="104"/>
      <c r="Q2884" s="104"/>
      <c r="R2884" s="104"/>
      <c r="S2884" s="104"/>
    </row>
    <row r="2885" spans="4:19">
      <c r="D2885" s="104"/>
      <c r="E2885" s="104"/>
      <c r="F2885" s="104"/>
      <c r="G2885" s="104"/>
      <c r="H2885" s="104"/>
      <c r="I2885" s="104"/>
      <c r="J2885" s="104"/>
      <c r="K2885" s="104"/>
      <c r="L2885" s="104"/>
      <c r="M2885" s="104"/>
      <c r="N2885" s="104"/>
      <c r="O2885" s="104"/>
      <c r="P2885" s="104"/>
      <c r="Q2885" s="104"/>
      <c r="R2885" s="104"/>
      <c r="S2885" s="104"/>
    </row>
    <row r="2886" spans="4:19">
      <c r="D2886" s="104"/>
      <c r="E2886" s="104"/>
      <c r="F2886" s="104"/>
      <c r="G2886" s="104"/>
      <c r="H2886" s="104"/>
      <c r="I2886" s="104"/>
      <c r="J2886" s="104"/>
      <c r="K2886" s="104"/>
      <c r="L2886" s="104"/>
      <c r="M2886" s="104"/>
      <c r="N2886" s="104"/>
      <c r="O2886" s="104"/>
      <c r="P2886" s="104"/>
      <c r="Q2886" s="104"/>
      <c r="R2886" s="104"/>
      <c r="S2886" s="104"/>
    </row>
    <row r="2887" spans="4:19">
      <c r="D2887" s="104"/>
      <c r="E2887" s="104"/>
      <c r="F2887" s="104"/>
      <c r="G2887" s="104"/>
      <c r="H2887" s="104"/>
      <c r="I2887" s="104"/>
      <c r="J2887" s="104"/>
      <c r="K2887" s="104"/>
      <c r="L2887" s="104"/>
      <c r="M2887" s="104"/>
      <c r="N2887" s="104"/>
      <c r="O2887" s="104"/>
      <c r="P2887" s="104"/>
      <c r="Q2887" s="104"/>
      <c r="R2887" s="104"/>
      <c r="S2887" s="104"/>
    </row>
    <row r="2888" spans="4:19">
      <c r="D2888" s="104"/>
      <c r="E2888" s="104"/>
      <c r="F2888" s="104"/>
      <c r="G2888" s="104"/>
      <c r="H2888" s="104"/>
      <c r="I2888" s="104"/>
      <c r="J2888" s="104"/>
      <c r="K2888" s="104"/>
      <c r="L2888" s="104"/>
      <c r="M2888" s="104"/>
      <c r="N2888" s="104"/>
      <c r="O2888" s="104"/>
      <c r="P2888" s="104"/>
      <c r="Q2888" s="104"/>
      <c r="R2888" s="104"/>
      <c r="S2888" s="104"/>
    </row>
    <row r="2889" spans="4:19">
      <c r="D2889" s="104"/>
      <c r="E2889" s="104"/>
      <c r="F2889" s="104"/>
      <c r="G2889" s="104"/>
      <c r="H2889" s="104"/>
      <c r="I2889" s="104"/>
      <c r="J2889" s="104"/>
      <c r="K2889" s="104"/>
      <c r="L2889" s="104"/>
      <c r="M2889" s="104"/>
      <c r="N2889" s="104"/>
      <c r="O2889" s="104"/>
      <c r="P2889" s="104"/>
      <c r="Q2889" s="104"/>
      <c r="R2889" s="104"/>
      <c r="S2889" s="104"/>
    </row>
    <row r="2890" spans="4:19">
      <c r="D2890" s="104"/>
      <c r="E2890" s="104"/>
      <c r="F2890" s="104"/>
      <c r="G2890" s="104"/>
      <c r="H2890" s="104"/>
      <c r="I2890" s="104"/>
      <c r="J2890" s="104"/>
      <c r="K2890" s="104"/>
      <c r="L2890" s="104"/>
      <c r="M2890" s="104"/>
      <c r="N2890" s="104"/>
      <c r="O2890" s="104"/>
      <c r="P2890" s="104"/>
      <c r="Q2890" s="104"/>
      <c r="R2890" s="104"/>
      <c r="S2890" s="104"/>
    </row>
    <row r="2891" spans="4:19">
      <c r="D2891" s="104"/>
      <c r="E2891" s="104"/>
      <c r="F2891" s="104"/>
      <c r="G2891" s="104"/>
      <c r="H2891" s="104"/>
      <c r="I2891" s="104"/>
      <c r="J2891" s="104"/>
      <c r="K2891" s="104"/>
      <c r="L2891" s="104"/>
      <c r="M2891" s="104"/>
      <c r="N2891" s="104"/>
      <c r="O2891" s="104"/>
      <c r="P2891" s="104"/>
      <c r="Q2891" s="104"/>
      <c r="R2891" s="104"/>
      <c r="S2891" s="104"/>
    </row>
    <row r="2892" spans="4:19">
      <c r="D2892" s="104"/>
      <c r="E2892" s="104"/>
      <c r="F2892" s="104"/>
      <c r="G2892" s="104"/>
      <c r="H2892" s="104"/>
      <c r="I2892" s="104"/>
      <c r="J2892" s="104"/>
      <c r="K2892" s="104"/>
      <c r="L2892" s="104"/>
      <c r="M2892" s="104"/>
      <c r="N2892" s="104"/>
      <c r="O2892" s="104"/>
      <c r="P2892" s="104"/>
      <c r="Q2892" s="104"/>
      <c r="R2892" s="104"/>
      <c r="S2892" s="104"/>
    </row>
    <row r="2893" spans="4:19">
      <c r="D2893" s="104"/>
      <c r="E2893" s="104"/>
      <c r="F2893" s="104"/>
      <c r="G2893" s="104"/>
      <c r="H2893" s="104"/>
      <c r="I2893" s="104"/>
      <c r="J2893" s="104"/>
      <c r="K2893" s="104"/>
      <c r="L2893" s="104"/>
      <c r="M2893" s="104"/>
      <c r="N2893" s="104"/>
      <c r="O2893" s="104"/>
      <c r="P2893" s="104"/>
      <c r="Q2893" s="104"/>
      <c r="R2893" s="104"/>
      <c r="S2893" s="104"/>
    </row>
    <row r="2894" spans="4:19">
      <c r="D2894" s="104"/>
      <c r="E2894" s="104"/>
      <c r="F2894" s="104"/>
      <c r="G2894" s="104"/>
      <c r="H2894" s="104"/>
      <c r="I2894" s="104"/>
      <c r="J2894" s="104"/>
      <c r="K2894" s="104"/>
      <c r="L2894" s="104"/>
      <c r="M2894" s="104"/>
      <c r="N2894" s="104"/>
      <c r="O2894" s="104"/>
      <c r="P2894" s="104"/>
      <c r="Q2894" s="104"/>
      <c r="R2894" s="104"/>
      <c r="S2894" s="104"/>
    </row>
    <row r="2895" spans="4:19">
      <c r="D2895" s="104"/>
      <c r="E2895" s="104"/>
      <c r="F2895" s="104"/>
      <c r="G2895" s="104"/>
      <c r="H2895" s="104"/>
      <c r="I2895" s="104"/>
      <c r="J2895" s="104"/>
      <c r="K2895" s="104"/>
      <c r="L2895" s="104"/>
      <c r="M2895" s="104"/>
      <c r="N2895" s="104"/>
      <c r="O2895" s="104"/>
      <c r="P2895" s="104"/>
      <c r="Q2895" s="104"/>
      <c r="R2895" s="104"/>
      <c r="S2895" s="104"/>
    </row>
    <row r="2896" spans="4:19">
      <c r="D2896" s="104"/>
      <c r="E2896" s="104"/>
      <c r="F2896" s="104"/>
      <c r="G2896" s="104"/>
      <c r="H2896" s="104"/>
      <c r="I2896" s="104"/>
      <c r="J2896" s="104"/>
      <c r="K2896" s="104"/>
      <c r="L2896" s="104"/>
      <c r="M2896" s="104"/>
      <c r="N2896" s="104"/>
      <c r="O2896" s="104"/>
      <c r="P2896" s="104"/>
      <c r="Q2896" s="104"/>
      <c r="R2896" s="104"/>
      <c r="S2896" s="104"/>
    </row>
    <row r="2897" spans="4:19">
      <c r="D2897" s="104"/>
      <c r="E2897" s="104"/>
      <c r="F2897" s="104"/>
      <c r="G2897" s="104"/>
      <c r="H2897" s="104"/>
      <c r="I2897" s="104"/>
      <c r="J2897" s="104"/>
      <c r="K2897" s="104"/>
      <c r="L2897" s="104"/>
      <c r="M2897" s="104"/>
      <c r="N2897" s="104"/>
      <c r="O2897" s="104"/>
      <c r="P2897" s="104"/>
      <c r="Q2897" s="104"/>
      <c r="R2897" s="104"/>
      <c r="S2897" s="104"/>
    </row>
    <row r="2898" spans="4:19">
      <c r="D2898" s="104"/>
      <c r="E2898" s="104"/>
      <c r="F2898" s="104"/>
      <c r="G2898" s="104"/>
      <c r="H2898" s="104"/>
      <c r="I2898" s="104"/>
      <c r="J2898" s="104"/>
      <c r="K2898" s="104"/>
      <c r="L2898" s="104"/>
      <c r="M2898" s="104"/>
      <c r="N2898" s="104"/>
      <c r="O2898" s="104"/>
      <c r="P2898" s="104"/>
      <c r="Q2898" s="104"/>
      <c r="R2898" s="104"/>
      <c r="S2898" s="104"/>
    </row>
    <row r="2899" spans="4:19">
      <c r="D2899" s="104"/>
      <c r="E2899" s="104"/>
      <c r="F2899" s="104"/>
      <c r="G2899" s="104"/>
      <c r="H2899" s="104"/>
      <c r="I2899" s="104"/>
      <c r="J2899" s="104"/>
      <c r="K2899" s="104"/>
      <c r="L2899" s="104"/>
      <c r="M2899" s="104"/>
      <c r="N2899" s="104"/>
      <c r="O2899" s="104"/>
      <c r="P2899" s="104"/>
      <c r="Q2899" s="104"/>
      <c r="R2899" s="104"/>
      <c r="S2899" s="104"/>
    </row>
    <row r="2900" spans="4:19">
      <c r="D2900" s="104"/>
      <c r="E2900" s="104"/>
      <c r="F2900" s="104"/>
      <c r="G2900" s="104"/>
      <c r="H2900" s="104"/>
      <c r="I2900" s="104"/>
      <c r="J2900" s="104"/>
      <c r="K2900" s="104"/>
      <c r="L2900" s="104"/>
      <c r="M2900" s="104"/>
      <c r="N2900" s="104"/>
      <c r="O2900" s="104"/>
      <c r="P2900" s="104"/>
      <c r="Q2900" s="104"/>
      <c r="R2900" s="104"/>
      <c r="S2900" s="104"/>
    </row>
    <row r="2901" spans="4:19">
      <c r="D2901" s="104"/>
      <c r="E2901" s="104"/>
      <c r="F2901" s="104"/>
      <c r="G2901" s="104"/>
      <c r="H2901" s="104"/>
      <c r="I2901" s="104"/>
      <c r="J2901" s="104"/>
      <c r="K2901" s="104"/>
      <c r="L2901" s="104"/>
      <c r="M2901" s="104"/>
      <c r="N2901" s="104"/>
      <c r="O2901" s="104"/>
      <c r="P2901" s="104"/>
      <c r="Q2901" s="104"/>
      <c r="R2901" s="104"/>
      <c r="S2901" s="104"/>
    </row>
    <row r="2902" spans="4:19">
      <c r="D2902" s="104"/>
      <c r="E2902" s="104"/>
      <c r="F2902" s="104"/>
      <c r="G2902" s="104"/>
      <c r="H2902" s="104"/>
      <c r="I2902" s="104"/>
      <c r="J2902" s="104"/>
      <c r="K2902" s="104"/>
      <c r="L2902" s="104"/>
      <c r="M2902" s="104"/>
      <c r="N2902" s="104"/>
      <c r="O2902" s="104"/>
      <c r="P2902" s="104"/>
      <c r="Q2902" s="104"/>
      <c r="R2902" s="104"/>
      <c r="S2902" s="104"/>
    </row>
    <row r="2903" spans="4:19">
      <c r="D2903" s="104"/>
      <c r="E2903" s="104"/>
      <c r="F2903" s="104"/>
      <c r="G2903" s="104"/>
      <c r="H2903" s="104"/>
      <c r="I2903" s="104"/>
      <c r="J2903" s="104"/>
      <c r="K2903" s="104"/>
      <c r="L2903" s="104"/>
      <c r="M2903" s="104"/>
      <c r="N2903" s="104"/>
      <c r="O2903" s="104"/>
      <c r="P2903" s="104"/>
      <c r="Q2903" s="104"/>
      <c r="R2903" s="104"/>
      <c r="S2903" s="104"/>
    </row>
    <row r="2904" spans="4:19">
      <c r="D2904" s="104"/>
      <c r="E2904" s="104"/>
      <c r="F2904" s="104"/>
      <c r="G2904" s="104"/>
      <c r="H2904" s="104"/>
      <c r="I2904" s="104"/>
      <c r="J2904" s="104"/>
      <c r="K2904" s="104"/>
      <c r="L2904" s="104"/>
      <c r="M2904" s="104"/>
      <c r="N2904" s="104"/>
      <c r="O2904" s="104"/>
      <c r="P2904" s="104"/>
      <c r="Q2904" s="104"/>
      <c r="R2904" s="104"/>
      <c r="S2904" s="104"/>
    </row>
    <row r="2905" spans="4:19">
      <c r="D2905" s="104"/>
      <c r="E2905" s="104"/>
      <c r="F2905" s="104"/>
      <c r="G2905" s="104"/>
      <c r="H2905" s="104"/>
      <c r="I2905" s="104"/>
      <c r="J2905" s="104"/>
      <c r="K2905" s="104"/>
      <c r="L2905" s="104"/>
      <c r="M2905" s="104"/>
      <c r="N2905" s="104"/>
      <c r="O2905" s="104"/>
      <c r="P2905" s="104"/>
      <c r="Q2905" s="104"/>
      <c r="R2905" s="104"/>
      <c r="S2905" s="104"/>
    </row>
    <row r="2906" spans="4:19">
      <c r="D2906" s="104"/>
      <c r="E2906" s="104"/>
      <c r="F2906" s="104"/>
      <c r="G2906" s="104"/>
      <c r="H2906" s="104"/>
      <c r="I2906" s="104"/>
      <c r="J2906" s="104"/>
      <c r="K2906" s="104"/>
      <c r="L2906" s="104"/>
      <c r="M2906" s="104"/>
      <c r="N2906" s="104"/>
      <c r="O2906" s="104"/>
      <c r="P2906" s="104"/>
      <c r="Q2906" s="104"/>
      <c r="R2906" s="104"/>
      <c r="S2906" s="104"/>
    </row>
    <row r="2907" spans="4:19">
      <c r="D2907" s="104"/>
      <c r="E2907" s="104"/>
      <c r="F2907" s="104"/>
      <c r="G2907" s="104"/>
      <c r="H2907" s="104"/>
      <c r="I2907" s="104"/>
      <c r="J2907" s="104"/>
      <c r="K2907" s="104"/>
      <c r="L2907" s="104"/>
      <c r="M2907" s="104"/>
      <c r="N2907" s="104"/>
      <c r="O2907" s="104"/>
      <c r="P2907" s="104"/>
      <c r="Q2907" s="104"/>
      <c r="R2907" s="104"/>
      <c r="S2907" s="104"/>
    </row>
    <row r="2908" spans="4:19">
      <c r="D2908" s="104"/>
      <c r="E2908" s="104"/>
      <c r="F2908" s="104"/>
      <c r="G2908" s="104"/>
      <c r="H2908" s="104"/>
      <c r="I2908" s="104"/>
      <c r="J2908" s="104"/>
      <c r="K2908" s="104"/>
      <c r="L2908" s="104"/>
      <c r="M2908" s="104"/>
      <c r="N2908" s="104"/>
      <c r="O2908" s="104"/>
      <c r="P2908" s="104"/>
      <c r="Q2908" s="104"/>
      <c r="R2908" s="104"/>
      <c r="S2908" s="104"/>
    </row>
    <row r="2909" spans="4:19">
      <c r="D2909" s="104"/>
      <c r="E2909" s="104"/>
      <c r="F2909" s="104"/>
      <c r="G2909" s="104"/>
      <c r="H2909" s="104"/>
      <c r="I2909" s="104"/>
      <c r="J2909" s="104"/>
      <c r="K2909" s="104"/>
      <c r="L2909" s="104"/>
      <c r="M2909" s="104"/>
      <c r="N2909" s="104"/>
      <c r="O2909" s="104"/>
      <c r="P2909" s="104"/>
      <c r="Q2909" s="104"/>
      <c r="R2909" s="104"/>
      <c r="S2909" s="104"/>
    </row>
    <row r="2910" spans="4:19">
      <c r="D2910" s="104"/>
      <c r="E2910" s="104"/>
      <c r="F2910" s="104"/>
      <c r="G2910" s="104"/>
      <c r="H2910" s="104"/>
      <c r="I2910" s="104"/>
      <c r="J2910" s="104"/>
      <c r="K2910" s="104"/>
      <c r="L2910" s="104"/>
      <c r="M2910" s="104"/>
      <c r="N2910" s="104"/>
      <c r="O2910" s="104"/>
      <c r="P2910" s="104"/>
      <c r="Q2910" s="104"/>
      <c r="R2910" s="104"/>
      <c r="S2910" s="104"/>
    </row>
    <row r="2911" spans="4:19">
      <c r="D2911" s="104"/>
      <c r="E2911" s="104"/>
      <c r="F2911" s="104"/>
      <c r="G2911" s="104"/>
      <c r="H2911" s="104"/>
      <c r="I2911" s="104"/>
      <c r="J2911" s="104"/>
      <c r="K2911" s="104"/>
      <c r="L2911" s="104"/>
      <c r="M2911" s="104"/>
      <c r="N2911" s="104"/>
      <c r="O2911" s="104"/>
      <c r="P2911" s="104"/>
      <c r="Q2911" s="104"/>
      <c r="R2911" s="104"/>
      <c r="S2911" s="104"/>
    </row>
    <row r="2912" spans="4:19">
      <c r="D2912" s="104"/>
      <c r="E2912" s="104"/>
      <c r="F2912" s="104"/>
      <c r="G2912" s="104"/>
      <c r="H2912" s="104"/>
      <c r="I2912" s="104"/>
      <c r="J2912" s="104"/>
      <c r="K2912" s="104"/>
      <c r="L2912" s="104"/>
      <c r="M2912" s="104"/>
      <c r="N2912" s="104"/>
      <c r="O2912" s="104"/>
      <c r="P2912" s="104"/>
      <c r="Q2912" s="104"/>
      <c r="R2912" s="104"/>
      <c r="S2912" s="104"/>
    </row>
    <row r="2913" spans="4:19">
      <c r="D2913" s="104"/>
      <c r="E2913" s="104"/>
      <c r="F2913" s="104"/>
      <c r="G2913" s="104"/>
      <c r="H2913" s="104"/>
      <c r="I2913" s="104"/>
      <c r="J2913" s="104"/>
      <c r="K2913" s="104"/>
      <c r="L2913" s="104"/>
      <c r="M2913" s="104"/>
      <c r="N2913" s="104"/>
      <c r="O2913" s="104"/>
      <c r="P2913" s="104"/>
      <c r="Q2913" s="104"/>
      <c r="R2913" s="104"/>
      <c r="S2913" s="104"/>
    </row>
    <row r="2914" spans="4:19">
      <c r="D2914" s="104"/>
      <c r="E2914" s="104"/>
      <c r="F2914" s="104"/>
      <c r="G2914" s="104"/>
      <c r="H2914" s="104"/>
      <c r="I2914" s="104"/>
      <c r="J2914" s="104"/>
      <c r="K2914" s="104"/>
      <c r="L2914" s="104"/>
      <c r="M2914" s="104"/>
      <c r="N2914" s="104"/>
      <c r="O2914" s="104"/>
      <c r="P2914" s="104"/>
      <c r="Q2914" s="104"/>
      <c r="R2914" s="104"/>
      <c r="S2914" s="104"/>
    </row>
    <row r="2915" spans="4:19">
      <c r="D2915" s="104"/>
      <c r="E2915" s="104"/>
      <c r="F2915" s="104"/>
      <c r="G2915" s="104"/>
      <c r="H2915" s="104"/>
      <c r="I2915" s="104"/>
      <c r="J2915" s="104"/>
      <c r="K2915" s="104"/>
      <c r="L2915" s="104"/>
      <c r="M2915" s="104"/>
      <c r="N2915" s="104"/>
      <c r="O2915" s="104"/>
      <c r="P2915" s="104"/>
      <c r="Q2915" s="104"/>
      <c r="R2915" s="104"/>
      <c r="S2915" s="104"/>
    </row>
    <row r="2916" spans="4:19">
      <c r="D2916" s="104"/>
      <c r="E2916" s="104"/>
      <c r="F2916" s="104"/>
      <c r="G2916" s="104"/>
      <c r="H2916" s="104"/>
      <c r="I2916" s="104"/>
      <c r="J2916" s="104"/>
      <c r="K2916" s="104"/>
      <c r="L2916" s="104"/>
      <c r="M2916" s="104"/>
      <c r="N2916" s="104"/>
      <c r="O2916" s="104"/>
      <c r="P2916" s="104"/>
      <c r="Q2916" s="104"/>
      <c r="R2916" s="104"/>
      <c r="S2916" s="104"/>
    </row>
    <row r="2917" spans="4:19">
      <c r="D2917" s="104"/>
      <c r="E2917" s="104"/>
      <c r="F2917" s="104"/>
      <c r="G2917" s="104"/>
      <c r="H2917" s="104"/>
      <c r="I2917" s="104"/>
      <c r="J2917" s="104"/>
      <c r="K2917" s="104"/>
      <c r="L2917" s="104"/>
      <c r="M2917" s="104"/>
      <c r="N2917" s="104"/>
      <c r="O2917" s="104"/>
      <c r="P2917" s="104"/>
      <c r="Q2917" s="104"/>
      <c r="R2917" s="104"/>
      <c r="S2917" s="104"/>
    </row>
    <row r="2918" spans="4:19">
      <c r="D2918" s="104"/>
      <c r="E2918" s="104"/>
      <c r="F2918" s="104"/>
      <c r="G2918" s="104"/>
      <c r="H2918" s="104"/>
      <c r="I2918" s="104"/>
      <c r="J2918" s="104"/>
      <c r="K2918" s="104"/>
      <c r="L2918" s="104"/>
      <c r="M2918" s="104"/>
      <c r="N2918" s="104"/>
      <c r="O2918" s="104"/>
      <c r="P2918" s="104"/>
      <c r="Q2918" s="104"/>
      <c r="R2918" s="104"/>
      <c r="S2918" s="104"/>
    </row>
    <row r="2919" spans="4:19">
      <c r="D2919" s="104"/>
      <c r="E2919" s="104"/>
      <c r="F2919" s="104"/>
      <c r="G2919" s="104"/>
      <c r="H2919" s="104"/>
      <c r="I2919" s="104"/>
      <c r="J2919" s="104"/>
      <c r="K2919" s="104"/>
      <c r="L2919" s="104"/>
      <c r="M2919" s="104"/>
      <c r="N2919" s="104"/>
      <c r="O2919" s="104"/>
      <c r="P2919" s="104"/>
      <c r="Q2919" s="104"/>
      <c r="R2919" s="104"/>
      <c r="S2919" s="104"/>
    </row>
    <row r="2920" spans="4:19">
      <c r="D2920" s="104"/>
      <c r="E2920" s="104"/>
      <c r="F2920" s="104"/>
      <c r="G2920" s="104"/>
      <c r="H2920" s="104"/>
      <c r="I2920" s="104"/>
      <c r="J2920" s="104"/>
      <c r="K2920" s="104"/>
      <c r="L2920" s="104"/>
      <c r="M2920" s="104"/>
      <c r="N2920" s="104"/>
      <c r="O2920" s="104"/>
      <c r="P2920" s="104"/>
      <c r="Q2920" s="104"/>
      <c r="R2920" s="104"/>
      <c r="S2920" s="104"/>
    </row>
    <row r="2921" spans="4:19">
      <c r="D2921" s="104"/>
      <c r="E2921" s="104"/>
      <c r="F2921" s="104"/>
      <c r="G2921" s="104"/>
      <c r="H2921" s="104"/>
      <c r="I2921" s="104"/>
      <c r="J2921" s="104"/>
      <c r="K2921" s="104"/>
      <c r="L2921" s="104"/>
      <c r="M2921" s="104"/>
      <c r="N2921" s="104"/>
      <c r="O2921" s="104"/>
      <c r="P2921" s="104"/>
      <c r="Q2921" s="104"/>
      <c r="R2921" s="104"/>
      <c r="S2921" s="104"/>
    </row>
    <row r="2922" spans="4:19">
      <c r="D2922" s="104"/>
      <c r="E2922" s="104"/>
      <c r="F2922" s="104"/>
      <c r="G2922" s="104"/>
      <c r="H2922" s="104"/>
      <c r="I2922" s="104"/>
      <c r="J2922" s="104"/>
      <c r="K2922" s="104"/>
      <c r="L2922" s="104"/>
      <c r="M2922" s="104"/>
      <c r="N2922" s="104"/>
      <c r="O2922" s="104"/>
      <c r="P2922" s="104"/>
      <c r="Q2922" s="104"/>
      <c r="R2922" s="104"/>
      <c r="S2922" s="104"/>
    </row>
    <row r="2923" spans="4:19">
      <c r="D2923" s="104"/>
      <c r="E2923" s="104"/>
      <c r="F2923" s="104"/>
      <c r="G2923" s="104"/>
      <c r="H2923" s="104"/>
      <c r="I2923" s="104"/>
      <c r="J2923" s="104"/>
      <c r="K2923" s="104"/>
      <c r="L2923" s="104"/>
      <c r="M2923" s="104"/>
      <c r="N2923" s="104"/>
      <c r="O2923" s="104"/>
      <c r="P2923" s="104"/>
      <c r="Q2923" s="104"/>
      <c r="R2923" s="104"/>
      <c r="S2923" s="104"/>
    </row>
    <row r="2924" spans="4:19">
      <c r="D2924" s="104"/>
      <c r="E2924" s="104"/>
      <c r="F2924" s="104"/>
      <c r="G2924" s="104"/>
      <c r="H2924" s="104"/>
      <c r="I2924" s="104"/>
      <c r="J2924" s="104"/>
      <c r="K2924" s="104"/>
      <c r="L2924" s="104"/>
      <c r="M2924" s="104"/>
      <c r="N2924" s="104"/>
      <c r="O2924" s="104"/>
      <c r="P2924" s="104"/>
      <c r="Q2924" s="104"/>
      <c r="R2924" s="104"/>
      <c r="S2924" s="104"/>
    </row>
    <row r="2925" spans="4:19">
      <c r="D2925" s="104"/>
      <c r="E2925" s="104"/>
      <c r="F2925" s="104"/>
      <c r="G2925" s="104"/>
      <c r="H2925" s="104"/>
      <c r="I2925" s="104"/>
      <c r="J2925" s="104"/>
      <c r="K2925" s="104"/>
      <c r="L2925" s="104"/>
      <c r="M2925" s="104"/>
      <c r="N2925" s="104"/>
      <c r="O2925" s="104"/>
      <c r="P2925" s="104"/>
      <c r="Q2925" s="104"/>
      <c r="R2925" s="104"/>
      <c r="S2925" s="104"/>
    </row>
    <row r="2926" spans="4:19">
      <c r="D2926" s="104"/>
      <c r="E2926" s="104"/>
      <c r="F2926" s="104"/>
      <c r="G2926" s="104"/>
      <c r="H2926" s="104"/>
      <c r="I2926" s="104"/>
      <c r="J2926" s="104"/>
      <c r="K2926" s="104"/>
      <c r="L2926" s="104"/>
      <c r="M2926" s="104"/>
      <c r="N2926" s="104"/>
      <c r="O2926" s="104"/>
      <c r="P2926" s="104"/>
      <c r="Q2926" s="104"/>
      <c r="R2926" s="104"/>
      <c r="S2926" s="104"/>
    </row>
    <row r="2927" spans="4:19">
      <c r="D2927" s="104"/>
      <c r="E2927" s="104"/>
      <c r="F2927" s="104"/>
      <c r="G2927" s="104"/>
      <c r="H2927" s="104"/>
      <c r="I2927" s="104"/>
      <c r="J2927" s="104"/>
      <c r="K2927" s="104"/>
      <c r="L2927" s="104"/>
      <c r="M2927" s="104"/>
      <c r="N2927" s="104"/>
      <c r="O2927" s="104"/>
      <c r="P2927" s="104"/>
      <c r="Q2927" s="104"/>
      <c r="R2927" s="104"/>
      <c r="S2927" s="104"/>
    </row>
    <row r="2928" spans="4:19">
      <c r="D2928" s="104"/>
      <c r="E2928" s="104"/>
      <c r="F2928" s="104"/>
      <c r="G2928" s="104"/>
      <c r="H2928" s="104"/>
      <c r="I2928" s="104"/>
      <c r="J2928" s="104"/>
      <c r="K2928" s="104"/>
      <c r="L2928" s="104"/>
      <c r="M2928" s="104"/>
      <c r="N2928" s="104"/>
      <c r="O2928" s="104"/>
      <c r="P2928" s="104"/>
      <c r="Q2928" s="104"/>
      <c r="R2928" s="104"/>
      <c r="S2928" s="104"/>
    </row>
    <row r="2929" spans="4:19">
      <c r="D2929" s="104"/>
      <c r="E2929" s="104"/>
      <c r="F2929" s="104"/>
      <c r="G2929" s="104"/>
      <c r="H2929" s="104"/>
      <c r="I2929" s="104"/>
      <c r="J2929" s="104"/>
      <c r="K2929" s="104"/>
      <c r="L2929" s="104"/>
      <c r="M2929" s="104"/>
      <c r="N2929" s="104"/>
      <c r="O2929" s="104"/>
      <c r="P2929" s="104"/>
      <c r="Q2929" s="104"/>
      <c r="R2929" s="104"/>
      <c r="S2929" s="104"/>
    </row>
    <row r="2930" spans="4:19">
      <c r="D2930" s="104"/>
      <c r="E2930" s="104"/>
      <c r="F2930" s="104"/>
      <c r="G2930" s="104"/>
      <c r="H2930" s="104"/>
      <c r="I2930" s="104"/>
      <c r="J2930" s="104"/>
      <c r="K2930" s="104"/>
      <c r="L2930" s="104"/>
      <c r="M2930" s="104"/>
      <c r="N2930" s="104"/>
      <c r="O2930" s="104"/>
      <c r="P2930" s="104"/>
      <c r="Q2930" s="104"/>
      <c r="R2930" s="104"/>
      <c r="S2930" s="104"/>
    </row>
    <row r="2931" spans="4:19">
      <c r="D2931" s="104"/>
      <c r="E2931" s="104"/>
      <c r="F2931" s="104"/>
      <c r="G2931" s="104"/>
      <c r="H2931" s="104"/>
      <c r="I2931" s="104"/>
      <c r="J2931" s="104"/>
      <c r="K2931" s="104"/>
      <c r="L2931" s="104"/>
      <c r="M2931" s="104"/>
      <c r="N2931" s="104"/>
      <c r="O2931" s="104"/>
      <c r="P2931" s="104"/>
      <c r="Q2931" s="104"/>
      <c r="R2931" s="104"/>
      <c r="S2931" s="104"/>
    </row>
    <row r="2932" spans="4:19">
      <c r="D2932" s="104"/>
      <c r="E2932" s="104"/>
      <c r="F2932" s="104"/>
      <c r="G2932" s="104"/>
      <c r="H2932" s="104"/>
      <c r="I2932" s="104"/>
      <c r="J2932" s="104"/>
      <c r="K2932" s="104"/>
      <c r="L2932" s="104"/>
      <c r="M2932" s="104"/>
      <c r="N2932" s="104"/>
      <c r="O2932" s="104"/>
      <c r="P2932" s="104"/>
      <c r="Q2932" s="104"/>
      <c r="R2932" s="104"/>
      <c r="S2932" s="104"/>
    </row>
    <row r="2933" spans="4:19">
      <c r="D2933" s="104"/>
      <c r="E2933" s="104"/>
      <c r="F2933" s="104"/>
      <c r="G2933" s="104"/>
      <c r="H2933" s="104"/>
      <c r="I2933" s="104"/>
      <c r="J2933" s="104"/>
      <c r="K2933" s="104"/>
      <c r="L2933" s="104"/>
      <c r="M2933" s="104"/>
      <c r="N2933" s="104"/>
      <c r="O2933" s="104"/>
      <c r="P2933" s="104"/>
      <c r="Q2933" s="104"/>
      <c r="R2933" s="104"/>
      <c r="S2933" s="104"/>
    </row>
    <row r="2934" spans="4:19">
      <c r="D2934" s="104"/>
      <c r="E2934" s="104"/>
      <c r="F2934" s="104"/>
      <c r="G2934" s="104"/>
      <c r="H2934" s="104"/>
      <c r="I2934" s="104"/>
      <c r="J2934" s="104"/>
      <c r="K2934" s="104"/>
      <c r="L2934" s="104"/>
      <c r="M2934" s="104"/>
      <c r="N2934" s="104"/>
      <c r="O2934" s="104"/>
      <c r="P2934" s="104"/>
      <c r="Q2934" s="104"/>
      <c r="R2934" s="104"/>
      <c r="S2934" s="104"/>
    </row>
    <row r="2935" spans="4:19">
      <c r="D2935" s="104"/>
      <c r="E2935" s="104"/>
      <c r="F2935" s="104"/>
      <c r="G2935" s="104"/>
      <c r="H2935" s="104"/>
      <c r="I2935" s="104"/>
      <c r="J2935" s="104"/>
      <c r="K2935" s="104"/>
      <c r="L2935" s="104"/>
      <c r="M2935" s="104"/>
      <c r="N2935" s="104"/>
      <c r="O2935" s="104"/>
      <c r="P2935" s="104"/>
      <c r="Q2935" s="104"/>
      <c r="R2935" s="104"/>
      <c r="S2935" s="104"/>
    </row>
    <row r="2936" spans="4:19">
      <c r="D2936" s="104"/>
      <c r="E2936" s="104"/>
      <c r="F2936" s="104"/>
      <c r="G2936" s="104"/>
      <c r="H2936" s="104"/>
      <c r="I2936" s="104"/>
      <c r="J2936" s="104"/>
      <c r="K2936" s="104"/>
      <c r="L2936" s="104"/>
      <c r="M2936" s="104"/>
      <c r="N2936" s="104"/>
      <c r="O2936" s="104"/>
      <c r="P2936" s="104"/>
      <c r="Q2936" s="104"/>
      <c r="R2936" s="104"/>
      <c r="S2936" s="104"/>
    </row>
    <row r="2937" spans="4:19">
      <c r="D2937" s="104"/>
      <c r="E2937" s="104"/>
      <c r="F2937" s="104"/>
      <c r="G2937" s="104"/>
      <c r="H2937" s="104"/>
      <c r="I2937" s="104"/>
      <c r="J2937" s="104"/>
      <c r="K2937" s="104"/>
      <c r="L2937" s="104"/>
      <c r="M2937" s="104"/>
      <c r="N2937" s="104"/>
      <c r="O2937" s="104"/>
      <c r="P2937" s="104"/>
      <c r="Q2937" s="104"/>
      <c r="R2937" s="104"/>
      <c r="S2937" s="104"/>
    </row>
    <row r="2938" spans="4:19">
      <c r="D2938" s="104"/>
      <c r="E2938" s="104"/>
      <c r="F2938" s="104"/>
      <c r="G2938" s="104"/>
      <c r="H2938" s="104"/>
      <c r="I2938" s="104"/>
      <c r="J2938" s="104"/>
      <c r="K2938" s="104"/>
      <c r="L2938" s="104"/>
      <c r="M2938" s="104"/>
      <c r="N2938" s="104"/>
      <c r="O2938" s="104"/>
      <c r="P2938" s="104"/>
      <c r="Q2938" s="104"/>
      <c r="R2938" s="104"/>
      <c r="S2938" s="104"/>
    </row>
    <row r="2939" spans="4:19">
      <c r="D2939" s="104"/>
      <c r="E2939" s="104"/>
      <c r="F2939" s="104"/>
      <c r="G2939" s="104"/>
      <c r="H2939" s="104"/>
      <c r="I2939" s="104"/>
      <c r="J2939" s="104"/>
      <c r="K2939" s="104"/>
      <c r="L2939" s="104"/>
      <c r="M2939" s="104"/>
      <c r="N2939" s="104"/>
      <c r="O2939" s="104"/>
      <c r="P2939" s="104"/>
      <c r="Q2939" s="104"/>
      <c r="R2939" s="104"/>
      <c r="S2939" s="104"/>
    </row>
    <row r="2940" spans="4:19">
      <c r="D2940" s="104"/>
      <c r="E2940" s="104"/>
      <c r="F2940" s="104"/>
      <c r="G2940" s="104"/>
      <c r="H2940" s="104"/>
      <c r="I2940" s="104"/>
      <c r="J2940" s="104"/>
      <c r="K2940" s="104"/>
      <c r="L2940" s="104"/>
      <c r="M2940" s="104"/>
      <c r="N2940" s="104"/>
      <c r="O2940" s="104"/>
      <c r="P2940" s="104"/>
      <c r="Q2940" s="104"/>
      <c r="R2940" s="104"/>
      <c r="S2940" s="104"/>
    </row>
    <row r="2941" spans="4:19">
      <c r="D2941" s="104"/>
      <c r="E2941" s="104"/>
      <c r="F2941" s="104"/>
      <c r="G2941" s="104"/>
      <c r="H2941" s="104"/>
      <c r="I2941" s="104"/>
      <c r="J2941" s="104"/>
      <c r="K2941" s="104"/>
      <c r="L2941" s="104"/>
      <c r="M2941" s="104"/>
      <c r="N2941" s="104"/>
      <c r="O2941" s="104"/>
      <c r="P2941" s="104"/>
      <c r="Q2941" s="104"/>
      <c r="R2941" s="104"/>
      <c r="S2941" s="104"/>
    </row>
    <row r="2942" spans="4:19">
      <c r="D2942" s="104"/>
      <c r="E2942" s="104"/>
      <c r="F2942" s="104"/>
      <c r="G2942" s="104"/>
      <c r="H2942" s="104"/>
      <c r="I2942" s="104"/>
      <c r="J2942" s="104"/>
      <c r="K2942" s="104"/>
      <c r="L2942" s="104"/>
      <c r="M2942" s="104"/>
      <c r="N2942" s="104"/>
      <c r="O2942" s="104"/>
      <c r="P2942" s="104"/>
      <c r="Q2942" s="104"/>
      <c r="R2942" s="104"/>
      <c r="S2942" s="104"/>
    </row>
    <row r="2943" spans="4:19">
      <c r="D2943" s="104"/>
      <c r="E2943" s="104"/>
      <c r="F2943" s="104"/>
      <c r="G2943" s="104"/>
      <c r="H2943" s="104"/>
      <c r="I2943" s="104"/>
      <c r="J2943" s="104"/>
      <c r="K2943" s="104"/>
      <c r="L2943" s="104"/>
      <c r="M2943" s="104"/>
      <c r="N2943" s="104"/>
      <c r="O2943" s="104"/>
      <c r="P2943" s="104"/>
      <c r="Q2943" s="104"/>
      <c r="R2943" s="104"/>
      <c r="S2943" s="104"/>
    </row>
    <row r="2944" spans="4:19">
      <c r="D2944" s="104"/>
      <c r="E2944" s="104"/>
      <c r="F2944" s="104"/>
      <c r="G2944" s="104"/>
      <c r="H2944" s="104"/>
      <c r="I2944" s="104"/>
      <c r="J2944" s="104"/>
      <c r="K2944" s="104"/>
      <c r="L2944" s="104"/>
      <c r="M2944" s="104"/>
      <c r="N2944" s="104"/>
      <c r="O2944" s="104"/>
      <c r="P2944" s="104"/>
      <c r="Q2944" s="104"/>
      <c r="R2944" s="104"/>
      <c r="S2944" s="104"/>
    </row>
    <row r="2945" spans="4:19">
      <c r="D2945" s="104"/>
      <c r="E2945" s="104"/>
      <c r="F2945" s="104"/>
      <c r="G2945" s="104"/>
      <c r="H2945" s="104"/>
      <c r="I2945" s="104"/>
      <c r="J2945" s="104"/>
      <c r="K2945" s="104"/>
      <c r="L2945" s="104"/>
      <c r="M2945" s="104"/>
      <c r="N2945" s="104"/>
      <c r="O2945" s="104"/>
      <c r="P2945" s="104"/>
      <c r="Q2945" s="104"/>
      <c r="R2945" s="104"/>
      <c r="S2945" s="104"/>
    </row>
    <row r="2946" spans="4:19">
      <c r="D2946" s="104"/>
      <c r="E2946" s="104"/>
      <c r="F2946" s="104"/>
      <c r="G2946" s="104"/>
      <c r="H2946" s="104"/>
      <c r="I2946" s="104"/>
      <c r="J2946" s="104"/>
      <c r="K2946" s="104"/>
      <c r="L2946" s="104"/>
      <c r="M2946" s="104"/>
      <c r="N2946" s="104"/>
      <c r="O2946" s="104"/>
      <c r="P2946" s="104"/>
      <c r="Q2946" s="104"/>
      <c r="R2946" s="104"/>
      <c r="S2946" s="104"/>
    </row>
    <row r="2947" spans="4:19">
      <c r="D2947" s="104"/>
      <c r="E2947" s="104"/>
      <c r="F2947" s="104"/>
      <c r="G2947" s="104"/>
      <c r="H2947" s="104"/>
      <c r="I2947" s="104"/>
      <c r="J2947" s="104"/>
      <c r="K2947" s="104"/>
      <c r="L2947" s="104"/>
      <c r="M2947" s="104"/>
      <c r="N2947" s="104"/>
      <c r="O2947" s="104"/>
      <c r="P2947" s="104"/>
      <c r="Q2947" s="104"/>
      <c r="R2947" s="104"/>
      <c r="S2947" s="104"/>
    </row>
    <row r="2948" spans="4:19">
      <c r="D2948" s="104"/>
      <c r="E2948" s="104"/>
      <c r="F2948" s="104"/>
      <c r="G2948" s="104"/>
      <c r="H2948" s="104"/>
      <c r="I2948" s="104"/>
      <c r="J2948" s="104"/>
      <c r="K2948" s="104"/>
      <c r="L2948" s="104"/>
      <c r="M2948" s="104"/>
      <c r="N2948" s="104"/>
      <c r="O2948" s="104"/>
      <c r="P2948" s="104"/>
      <c r="Q2948" s="104"/>
      <c r="R2948" s="104"/>
      <c r="S2948" s="104"/>
    </row>
    <row r="2949" spans="4:19">
      <c r="D2949" s="104"/>
      <c r="E2949" s="104"/>
      <c r="F2949" s="104"/>
      <c r="G2949" s="104"/>
      <c r="H2949" s="104"/>
      <c r="I2949" s="104"/>
      <c r="J2949" s="104"/>
      <c r="K2949" s="104"/>
      <c r="L2949" s="104"/>
      <c r="M2949" s="104"/>
      <c r="N2949" s="104"/>
      <c r="O2949" s="104"/>
      <c r="P2949" s="104"/>
      <c r="Q2949" s="104"/>
      <c r="R2949" s="104"/>
      <c r="S2949" s="104"/>
    </row>
    <row r="2950" spans="4:19">
      <c r="D2950" s="104"/>
      <c r="E2950" s="104"/>
      <c r="F2950" s="104"/>
      <c r="G2950" s="104"/>
      <c r="H2950" s="104"/>
      <c r="I2950" s="104"/>
      <c r="J2950" s="104"/>
      <c r="K2950" s="104"/>
      <c r="L2950" s="104"/>
      <c r="M2950" s="104"/>
      <c r="N2950" s="104"/>
      <c r="O2950" s="104"/>
      <c r="P2950" s="104"/>
      <c r="Q2950" s="104"/>
      <c r="R2950" s="104"/>
      <c r="S2950" s="104"/>
    </row>
    <row r="2951" spans="4:19">
      <c r="D2951" s="104"/>
      <c r="E2951" s="104"/>
      <c r="F2951" s="104"/>
      <c r="G2951" s="104"/>
      <c r="H2951" s="104"/>
      <c r="I2951" s="104"/>
      <c r="J2951" s="104"/>
      <c r="K2951" s="104"/>
      <c r="L2951" s="104"/>
      <c r="M2951" s="104"/>
      <c r="N2951" s="104"/>
      <c r="O2951" s="104"/>
      <c r="P2951" s="104"/>
      <c r="Q2951" s="104"/>
      <c r="R2951" s="104"/>
      <c r="S2951" s="104"/>
    </row>
    <row r="2952" spans="4:19">
      <c r="D2952" s="104"/>
      <c r="E2952" s="104"/>
      <c r="F2952" s="104"/>
      <c r="G2952" s="104"/>
      <c r="H2952" s="104"/>
      <c r="I2952" s="104"/>
      <c r="J2952" s="104"/>
      <c r="K2952" s="104"/>
      <c r="L2952" s="104"/>
      <c r="M2952" s="104"/>
      <c r="N2952" s="104"/>
      <c r="O2952" s="104"/>
      <c r="P2952" s="104"/>
      <c r="Q2952" s="104"/>
      <c r="R2952" s="104"/>
      <c r="S2952" s="104"/>
    </row>
    <row r="2953" spans="4:19">
      <c r="D2953" s="104"/>
      <c r="E2953" s="104"/>
      <c r="F2953" s="104"/>
      <c r="G2953" s="104"/>
      <c r="H2953" s="104"/>
      <c r="I2953" s="104"/>
      <c r="J2953" s="104"/>
      <c r="K2953" s="104"/>
      <c r="L2953" s="104"/>
      <c r="M2953" s="104"/>
      <c r="N2953" s="104"/>
      <c r="O2953" s="104"/>
      <c r="P2953" s="104"/>
      <c r="Q2953" s="104"/>
      <c r="R2953" s="104"/>
      <c r="S2953" s="104"/>
    </row>
    <row r="2954" spans="4:19">
      <c r="D2954" s="104"/>
      <c r="E2954" s="104"/>
      <c r="F2954" s="104"/>
      <c r="G2954" s="104"/>
      <c r="H2954" s="104"/>
      <c r="I2954" s="104"/>
      <c r="J2954" s="104"/>
      <c r="K2954" s="104"/>
      <c r="L2954" s="104"/>
      <c r="M2954" s="104"/>
      <c r="N2954" s="104"/>
      <c r="O2954" s="104"/>
      <c r="P2954" s="104"/>
      <c r="Q2954" s="104"/>
      <c r="R2954" s="104"/>
      <c r="S2954" s="104"/>
    </row>
    <row r="2955" spans="4:19">
      <c r="D2955" s="104"/>
      <c r="E2955" s="104"/>
      <c r="F2955" s="104"/>
      <c r="G2955" s="104"/>
      <c r="H2955" s="104"/>
      <c r="I2955" s="104"/>
      <c r="J2955" s="104"/>
      <c r="K2955" s="104"/>
      <c r="L2955" s="104"/>
      <c r="M2955" s="104"/>
      <c r="N2955" s="104"/>
      <c r="O2955" s="104"/>
      <c r="P2955" s="104"/>
      <c r="Q2955" s="104"/>
      <c r="R2955" s="104"/>
      <c r="S2955" s="104"/>
    </row>
    <row r="2956" spans="4:19">
      <c r="D2956" s="104"/>
      <c r="E2956" s="104"/>
      <c r="F2956" s="104"/>
      <c r="G2956" s="104"/>
      <c r="H2956" s="104"/>
      <c r="I2956" s="104"/>
      <c r="J2956" s="104"/>
      <c r="K2956" s="104"/>
      <c r="L2956" s="104"/>
      <c r="M2956" s="104"/>
      <c r="N2956" s="104"/>
      <c r="O2956" s="104"/>
      <c r="P2956" s="104"/>
      <c r="Q2956" s="104"/>
      <c r="R2956" s="104"/>
      <c r="S2956" s="104"/>
    </row>
    <row r="2957" spans="4:19">
      <c r="D2957" s="104"/>
      <c r="E2957" s="104"/>
      <c r="F2957" s="104"/>
      <c r="G2957" s="104"/>
      <c r="H2957" s="104"/>
      <c r="I2957" s="104"/>
      <c r="J2957" s="104"/>
      <c r="K2957" s="104"/>
      <c r="L2957" s="104"/>
      <c r="M2957" s="104"/>
      <c r="N2957" s="104"/>
      <c r="O2957" s="104"/>
      <c r="P2957" s="104"/>
      <c r="Q2957" s="104"/>
      <c r="R2957" s="104"/>
      <c r="S2957" s="104"/>
    </row>
    <row r="2958" spans="4:19">
      <c r="D2958" s="104"/>
      <c r="E2958" s="104"/>
      <c r="F2958" s="104"/>
      <c r="G2958" s="104"/>
      <c r="H2958" s="104"/>
      <c r="I2958" s="104"/>
      <c r="J2958" s="104"/>
      <c r="K2958" s="104"/>
      <c r="L2958" s="104"/>
      <c r="M2958" s="104"/>
      <c r="N2958" s="104"/>
      <c r="O2958" s="104"/>
      <c r="P2958" s="104"/>
      <c r="Q2958" s="104"/>
      <c r="R2958" s="104"/>
      <c r="S2958" s="104"/>
    </row>
    <row r="2959" spans="4:19">
      <c r="D2959" s="104"/>
      <c r="E2959" s="104"/>
      <c r="F2959" s="104"/>
      <c r="G2959" s="104"/>
      <c r="H2959" s="104"/>
      <c r="I2959" s="104"/>
      <c r="J2959" s="104"/>
      <c r="K2959" s="104"/>
      <c r="L2959" s="104"/>
      <c r="M2959" s="104"/>
      <c r="N2959" s="104"/>
      <c r="O2959" s="104"/>
      <c r="P2959" s="104"/>
      <c r="Q2959" s="104"/>
      <c r="R2959" s="104"/>
      <c r="S2959" s="104"/>
    </row>
    <row r="2960" spans="4:19">
      <c r="D2960" s="104"/>
      <c r="E2960" s="104"/>
      <c r="F2960" s="104"/>
      <c r="G2960" s="104"/>
      <c r="H2960" s="104"/>
      <c r="I2960" s="104"/>
      <c r="J2960" s="104"/>
      <c r="K2960" s="104"/>
      <c r="L2960" s="104"/>
      <c r="M2960" s="104"/>
      <c r="N2960" s="104"/>
      <c r="O2960" s="104"/>
      <c r="P2960" s="104"/>
      <c r="Q2960" s="104"/>
      <c r="R2960" s="104"/>
      <c r="S2960" s="104"/>
    </row>
    <row r="2961" spans="4:19">
      <c r="D2961" s="104"/>
      <c r="E2961" s="104"/>
      <c r="F2961" s="104"/>
      <c r="G2961" s="104"/>
      <c r="H2961" s="104"/>
      <c r="I2961" s="104"/>
      <c r="J2961" s="104"/>
      <c r="K2961" s="104"/>
      <c r="L2961" s="104"/>
      <c r="M2961" s="104"/>
      <c r="N2961" s="104"/>
      <c r="O2961" s="104"/>
      <c r="P2961" s="104"/>
      <c r="Q2961" s="104"/>
      <c r="R2961" s="104"/>
      <c r="S2961" s="104"/>
    </row>
    <row r="2962" spans="4:19">
      <c r="D2962" s="104"/>
      <c r="E2962" s="104"/>
      <c r="F2962" s="104"/>
      <c r="G2962" s="104"/>
      <c r="H2962" s="104"/>
      <c r="I2962" s="104"/>
      <c r="J2962" s="104"/>
      <c r="K2962" s="104"/>
      <c r="L2962" s="104"/>
      <c r="M2962" s="104"/>
      <c r="N2962" s="104"/>
      <c r="O2962" s="104"/>
      <c r="P2962" s="104"/>
      <c r="Q2962" s="104"/>
      <c r="R2962" s="104"/>
      <c r="S2962" s="104"/>
    </row>
    <row r="2963" spans="4:19">
      <c r="D2963" s="104"/>
      <c r="E2963" s="104"/>
      <c r="F2963" s="104"/>
      <c r="G2963" s="104"/>
      <c r="H2963" s="104"/>
      <c r="I2963" s="104"/>
      <c r="J2963" s="104"/>
      <c r="K2963" s="104"/>
      <c r="L2963" s="104"/>
      <c r="M2963" s="104"/>
      <c r="N2963" s="104"/>
      <c r="O2963" s="104"/>
      <c r="P2963" s="104"/>
      <c r="Q2963" s="104"/>
      <c r="R2963" s="104"/>
      <c r="S2963" s="104"/>
    </row>
    <row r="2964" spans="4:19">
      <c r="D2964" s="104"/>
      <c r="E2964" s="104"/>
      <c r="F2964" s="104"/>
      <c r="G2964" s="104"/>
      <c r="H2964" s="104"/>
      <c r="I2964" s="104"/>
      <c r="J2964" s="104"/>
      <c r="K2964" s="104"/>
      <c r="L2964" s="104"/>
      <c r="M2964" s="104"/>
      <c r="N2964" s="104"/>
      <c r="O2964" s="104"/>
      <c r="P2964" s="104"/>
      <c r="Q2964" s="104"/>
      <c r="R2964" s="104"/>
      <c r="S2964" s="104"/>
    </row>
    <row r="2965" spans="4:19">
      <c r="D2965" s="104"/>
      <c r="E2965" s="104"/>
      <c r="F2965" s="104"/>
      <c r="G2965" s="104"/>
      <c r="H2965" s="104"/>
      <c r="I2965" s="104"/>
      <c r="J2965" s="104"/>
      <c r="K2965" s="104"/>
      <c r="L2965" s="104"/>
      <c r="M2965" s="104"/>
      <c r="N2965" s="104"/>
      <c r="O2965" s="104"/>
      <c r="P2965" s="104"/>
      <c r="Q2965" s="104"/>
      <c r="R2965" s="104"/>
      <c r="S2965" s="104"/>
    </row>
    <row r="2966" spans="4:19">
      <c r="D2966" s="104"/>
      <c r="E2966" s="104"/>
      <c r="F2966" s="104"/>
      <c r="G2966" s="104"/>
      <c r="H2966" s="104"/>
      <c r="I2966" s="104"/>
      <c r="J2966" s="104"/>
      <c r="K2966" s="104"/>
      <c r="L2966" s="104"/>
      <c r="M2966" s="104"/>
      <c r="N2966" s="104"/>
      <c r="O2966" s="104"/>
      <c r="P2966" s="104"/>
      <c r="Q2966" s="104"/>
      <c r="R2966" s="104"/>
      <c r="S2966" s="104"/>
    </row>
    <row r="2967" spans="4:19">
      <c r="D2967" s="104"/>
      <c r="E2967" s="104"/>
      <c r="F2967" s="104"/>
      <c r="G2967" s="104"/>
      <c r="H2967" s="104"/>
      <c r="I2967" s="104"/>
      <c r="J2967" s="104"/>
      <c r="K2967" s="104"/>
      <c r="L2967" s="104"/>
      <c r="M2967" s="104"/>
      <c r="N2967" s="104"/>
      <c r="O2967" s="104"/>
      <c r="P2967" s="104"/>
      <c r="Q2967" s="104"/>
      <c r="R2967" s="104"/>
      <c r="S2967" s="104"/>
    </row>
    <row r="2968" spans="4:19">
      <c r="D2968" s="104"/>
      <c r="E2968" s="104"/>
      <c r="F2968" s="104"/>
      <c r="G2968" s="104"/>
      <c r="H2968" s="104"/>
      <c r="I2968" s="104"/>
      <c r="J2968" s="104"/>
      <c r="K2968" s="104"/>
      <c r="L2968" s="104"/>
      <c r="M2968" s="104"/>
      <c r="N2968" s="104"/>
      <c r="O2968" s="104"/>
      <c r="P2968" s="104"/>
      <c r="Q2968" s="104"/>
      <c r="R2968" s="104"/>
      <c r="S2968" s="104"/>
    </row>
    <row r="2969" spans="4:19">
      <c r="D2969" s="104"/>
      <c r="E2969" s="104"/>
      <c r="F2969" s="104"/>
      <c r="G2969" s="104"/>
      <c r="H2969" s="104"/>
      <c r="I2969" s="104"/>
      <c r="J2969" s="104"/>
      <c r="K2969" s="104"/>
      <c r="L2969" s="104"/>
      <c r="M2969" s="104"/>
      <c r="N2969" s="104"/>
      <c r="O2969" s="104"/>
      <c r="P2969" s="104"/>
      <c r="Q2969" s="104"/>
      <c r="R2969" s="104"/>
      <c r="S2969" s="104"/>
    </row>
    <row r="2970" spans="4:19">
      <c r="D2970" s="104"/>
      <c r="E2970" s="104"/>
      <c r="F2970" s="104"/>
      <c r="G2970" s="104"/>
      <c r="H2970" s="104"/>
      <c r="I2970" s="104"/>
      <c r="J2970" s="104"/>
      <c r="K2970" s="104"/>
      <c r="L2970" s="104"/>
      <c r="M2970" s="104"/>
      <c r="N2970" s="104"/>
      <c r="O2970" s="104"/>
      <c r="P2970" s="104"/>
      <c r="Q2970" s="104"/>
      <c r="R2970" s="104"/>
      <c r="S2970" s="104"/>
    </row>
    <row r="2971" spans="4:19">
      <c r="D2971" s="104"/>
      <c r="E2971" s="104"/>
      <c r="F2971" s="104"/>
      <c r="G2971" s="104"/>
      <c r="H2971" s="104"/>
      <c r="I2971" s="104"/>
      <c r="J2971" s="104"/>
      <c r="K2971" s="104"/>
      <c r="L2971" s="104"/>
      <c r="M2971" s="104"/>
      <c r="N2971" s="104"/>
      <c r="O2971" s="104"/>
      <c r="P2971" s="104"/>
      <c r="Q2971" s="104"/>
      <c r="R2971" s="104"/>
      <c r="S2971" s="104"/>
    </row>
    <row r="2972" spans="4:19">
      <c r="D2972" s="104"/>
      <c r="E2972" s="104"/>
      <c r="F2972" s="104"/>
      <c r="G2972" s="104"/>
      <c r="H2972" s="104"/>
      <c r="I2972" s="104"/>
      <c r="J2972" s="104"/>
      <c r="K2972" s="104"/>
      <c r="L2972" s="104"/>
      <c r="M2972" s="104"/>
      <c r="N2972" s="104"/>
      <c r="O2972" s="104"/>
      <c r="P2972" s="104"/>
      <c r="Q2972" s="104"/>
      <c r="R2972" s="104"/>
      <c r="S2972" s="104"/>
    </row>
    <row r="2973" spans="4:19">
      <c r="D2973" s="104"/>
      <c r="E2973" s="104"/>
      <c r="F2973" s="104"/>
      <c r="G2973" s="104"/>
      <c r="H2973" s="104"/>
      <c r="I2973" s="104"/>
      <c r="J2973" s="104"/>
      <c r="K2973" s="104"/>
      <c r="L2973" s="104"/>
      <c r="M2973" s="104"/>
      <c r="N2973" s="104"/>
      <c r="O2973" s="104"/>
      <c r="P2973" s="104"/>
      <c r="Q2973" s="104"/>
      <c r="R2973" s="104"/>
      <c r="S2973" s="104"/>
    </row>
    <row r="2974" spans="4:19">
      <c r="D2974" s="104"/>
      <c r="E2974" s="104"/>
      <c r="F2974" s="104"/>
      <c r="G2974" s="104"/>
      <c r="H2974" s="104"/>
      <c r="I2974" s="104"/>
      <c r="J2974" s="104"/>
      <c r="K2974" s="104"/>
      <c r="L2974" s="104"/>
      <c r="M2974" s="104"/>
      <c r="N2974" s="104"/>
      <c r="O2974" s="104"/>
      <c r="P2974" s="104"/>
      <c r="Q2974" s="104"/>
      <c r="R2974" s="104"/>
      <c r="S2974" s="104"/>
    </row>
    <row r="2975" spans="4:19">
      <c r="D2975" s="104"/>
      <c r="E2975" s="104"/>
      <c r="F2975" s="104"/>
      <c r="G2975" s="104"/>
      <c r="H2975" s="104"/>
      <c r="I2975" s="104"/>
      <c r="J2975" s="104"/>
      <c r="K2975" s="104"/>
      <c r="L2975" s="104"/>
      <c r="M2975" s="104"/>
      <c r="N2975" s="104"/>
      <c r="O2975" s="104"/>
      <c r="P2975" s="104"/>
      <c r="Q2975" s="104"/>
      <c r="R2975" s="104"/>
      <c r="S2975" s="104"/>
    </row>
    <row r="2976" spans="4:19">
      <c r="D2976" s="104"/>
      <c r="E2976" s="104"/>
      <c r="F2976" s="104"/>
      <c r="G2976" s="104"/>
      <c r="H2976" s="104"/>
      <c r="I2976" s="104"/>
      <c r="J2976" s="104"/>
      <c r="K2976" s="104"/>
      <c r="L2976" s="104"/>
      <c r="M2976" s="104"/>
      <c r="N2976" s="104"/>
      <c r="O2976" s="104"/>
      <c r="P2976" s="104"/>
      <c r="Q2976" s="104"/>
      <c r="R2976" s="104"/>
      <c r="S2976" s="104"/>
    </row>
    <row r="2977" spans="4:19">
      <c r="D2977" s="104"/>
      <c r="E2977" s="104"/>
      <c r="F2977" s="104"/>
      <c r="G2977" s="104"/>
      <c r="H2977" s="104"/>
      <c r="I2977" s="104"/>
      <c r="J2977" s="104"/>
      <c r="K2977" s="104"/>
      <c r="L2977" s="104"/>
      <c r="M2977" s="104"/>
      <c r="N2977" s="104"/>
      <c r="O2977" s="104"/>
      <c r="P2977" s="104"/>
      <c r="Q2977" s="104"/>
      <c r="R2977" s="104"/>
      <c r="S2977" s="104"/>
    </row>
    <row r="2978" spans="4:19">
      <c r="D2978" s="104"/>
      <c r="E2978" s="104"/>
      <c r="F2978" s="104"/>
      <c r="G2978" s="104"/>
      <c r="H2978" s="104"/>
      <c r="I2978" s="104"/>
      <c r="J2978" s="104"/>
      <c r="K2978" s="104"/>
      <c r="L2978" s="104"/>
      <c r="M2978" s="104"/>
      <c r="N2978" s="104"/>
      <c r="O2978" s="104"/>
      <c r="P2978" s="104"/>
      <c r="Q2978" s="104"/>
      <c r="R2978" s="104"/>
      <c r="S2978" s="10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4:AC26"/>
  <sheetViews>
    <sheetView workbookViewId="0">
      <selection activeCell="A6" sqref="A6:Z23"/>
    </sheetView>
  </sheetViews>
  <sheetFormatPr defaultRowHeight="14.4"/>
  <cols>
    <col min="1" max="1" width="10.44140625" customWidth="1"/>
    <col min="5" max="5" width="8.88671875" style="78"/>
    <col min="6" max="6" width="56.44140625" bestFit="1" customWidth="1"/>
    <col min="20" max="20" width="14.33203125" customWidth="1"/>
    <col min="22" max="23" width="10.109375" bestFit="1" customWidth="1"/>
    <col min="28" max="28" width="11.109375" bestFit="1" customWidth="1"/>
  </cols>
  <sheetData>
    <row r="4" spans="1:29" ht="15" thickBot="1"/>
    <row r="5" spans="1:29" s="187" customFormat="1" ht="16.2" thickBot="1">
      <c r="A5" s="278" t="s">
        <v>62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80"/>
    </row>
    <row r="6" spans="1:29" s="187" customFormat="1" ht="66">
      <c r="A6" s="188" t="s">
        <v>63</v>
      </c>
      <c r="B6" s="189"/>
      <c r="C6" s="189" t="s">
        <v>64</v>
      </c>
      <c r="D6" s="189" t="s">
        <v>65</v>
      </c>
      <c r="E6" s="255"/>
      <c r="F6" s="190" t="s">
        <v>66</v>
      </c>
      <c r="G6" s="189" t="s">
        <v>72</v>
      </c>
      <c r="H6" s="193" t="s">
        <v>77</v>
      </c>
      <c r="I6" s="189" t="s">
        <v>67</v>
      </c>
      <c r="J6" s="191" t="s">
        <v>68</v>
      </c>
      <c r="K6" s="191" t="s">
        <v>69</v>
      </c>
      <c r="L6" s="191" t="s">
        <v>70</v>
      </c>
      <c r="M6" s="191" t="s">
        <v>71</v>
      </c>
      <c r="N6" s="189" t="s">
        <v>72</v>
      </c>
      <c r="O6" s="189" t="s">
        <v>73</v>
      </c>
      <c r="P6" s="191" t="s">
        <v>74</v>
      </c>
      <c r="Q6" s="191" t="s">
        <v>75</v>
      </c>
      <c r="R6" s="192" t="s">
        <v>76</v>
      </c>
      <c r="S6" s="193" t="s">
        <v>77</v>
      </c>
      <c r="T6" s="193" t="s">
        <v>78</v>
      </c>
      <c r="U6" s="194" t="s">
        <v>79</v>
      </c>
      <c r="V6" s="194" t="s">
        <v>80</v>
      </c>
      <c r="W6" s="194" t="s">
        <v>81</v>
      </c>
      <c r="X6" s="194" t="s">
        <v>82</v>
      </c>
      <c r="Y6" s="194" t="s">
        <v>83</v>
      </c>
      <c r="Z6" s="195" t="s">
        <v>84</v>
      </c>
    </row>
    <row r="7" spans="1:29" s="187" customFormat="1" ht="13.2">
      <c r="A7" s="196">
        <v>3</v>
      </c>
      <c r="B7" s="197"/>
      <c r="C7" s="198">
        <v>1</v>
      </c>
      <c r="D7" s="199">
        <f>N7/950</f>
        <v>0.33894736842105261</v>
      </c>
      <c r="E7" s="256">
        <v>1</v>
      </c>
      <c r="F7" s="273" t="s">
        <v>85</v>
      </c>
      <c r="G7" s="198">
        <v>322</v>
      </c>
      <c r="H7" s="207">
        <v>3000</v>
      </c>
      <c r="I7" s="201" t="s">
        <v>86</v>
      </c>
      <c r="J7" s="202">
        <v>1.8</v>
      </c>
      <c r="K7" s="202">
        <v>4.99</v>
      </c>
      <c r="L7" s="203">
        <f>(K7-J7)/K7</f>
        <v>0.63927855711422854</v>
      </c>
      <c r="M7" s="202">
        <f>0.9*K7</f>
        <v>4.4910000000000005</v>
      </c>
      <c r="N7" s="198">
        <v>322</v>
      </c>
      <c r="O7" s="204">
        <f>R7/N7</f>
        <v>0.17916865742952701</v>
      </c>
      <c r="P7" s="205">
        <f>(W7/N7)/52</f>
        <v>0.80464644051600587</v>
      </c>
      <c r="Q7" s="205">
        <f>(Z7/N7)/52</f>
        <v>0.48214285714285726</v>
      </c>
      <c r="R7" s="206">
        <f>S7/52</f>
        <v>57.692307692307693</v>
      </c>
      <c r="S7" s="207">
        <v>3000</v>
      </c>
      <c r="T7" s="208"/>
      <c r="U7" s="209">
        <f>J7*S7</f>
        <v>5400</v>
      </c>
      <c r="V7" s="209">
        <f>K7*S7</f>
        <v>14970</v>
      </c>
      <c r="W7" s="209">
        <f>S7*M7</f>
        <v>13473.000000000002</v>
      </c>
      <c r="X7" s="210"/>
      <c r="Y7" s="210"/>
      <c r="Z7" s="211">
        <f>W7-(S7*J7)</f>
        <v>8073.0000000000018</v>
      </c>
      <c r="AB7" s="212">
        <f>J7*S7</f>
        <v>5400</v>
      </c>
      <c r="AC7" s="213"/>
    </row>
    <row r="8" spans="1:29" s="187" customFormat="1" ht="13.2">
      <c r="A8" s="196">
        <v>3</v>
      </c>
      <c r="B8" s="197"/>
      <c r="C8" s="214">
        <v>1</v>
      </c>
      <c r="D8" s="199">
        <f>N8/950</f>
        <v>0.63157894736842102</v>
      </c>
      <c r="E8" s="256">
        <v>2</v>
      </c>
      <c r="F8" s="273" t="s">
        <v>87</v>
      </c>
      <c r="G8" s="198">
        <v>600</v>
      </c>
      <c r="H8" s="207">
        <v>8000</v>
      </c>
      <c r="I8" s="201" t="s">
        <v>86</v>
      </c>
      <c r="J8" s="202">
        <v>4.5</v>
      </c>
      <c r="K8" s="202">
        <v>9.99</v>
      </c>
      <c r="L8" s="203">
        <f>(K8-J8)/K8</f>
        <v>0.5495495495495496</v>
      </c>
      <c r="M8" s="202">
        <f t="shared" ref="M8:M20" si="0">0.9*K8</f>
        <v>8.9909999999999997</v>
      </c>
      <c r="N8" s="198">
        <v>600</v>
      </c>
      <c r="O8" s="204">
        <f>R8/N8</f>
        <v>0.25641025641025639</v>
      </c>
      <c r="P8" s="205">
        <f>(W8/N8)/52</f>
        <v>2.3053846153846154</v>
      </c>
      <c r="Q8" s="205">
        <f>(Z8/N8)/52</f>
        <v>1.1515384615384616</v>
      </c>
      <c r="R8" s="206">
        <f>S8/52</f>
        <v>153.84615384615384</v>
      </c>
      <c r="S8" s="207">
        <v>8000</v>
      </c>
      <c r="T8" s="208"/>
      <c r="U8" s="209">
        <f>J8*S8</f>
        <v>36000</v>
      </c>
      <c r="V8" s="209">
        <f>K8*S8</f>
        <v>79920</v>
      </c>
      <c r="W8" s="209">
        <f>S8*M8</f>
        <v>71928</v>
      </c>
      <c r="X8" s="210"/>
      <c r="Y8" s="210"/>
      <c r="Z8" s="211">
        <f>W8-(S8*J8)</f>
        <v>35928</v>
      </c>
      <c r="AB8" s="215">
        <f t="shared" ref="AB8:AB20" si="1">J8*S8</f>
        <v>36000</v>
      </c>
      <c r="AC8" s="216"/>
    </row>
    <row r="9" spans="1:29" s="187" customFormat="1" ht="13.2">
      <c r="A9" s="196">
        <v>3</v>
      </c>
      <c r="B9" s="197"/>
      <c r="C9" s="214">
        <v>1</v>
      </c>
      <c r="D9" s="199">
        <f t="shared" ref="D9:D19" si="2">N9/950</f>
        <v>0.63157894736842102</v>
      </c>
      <c r="E9" s="256">
        <v>3</v>
      </c>
      <c r="F9" s="273" t="s">
        <v>88</v>
      </c>
      <c r="G9" s="198">
        <v>600</v>
      </c>
      <c r="H9" s="207">
        <v>7000</v>
      </c>
      <c r="I9" s="201" t="s">
        <v>86</v>
      </c>
      <c r="J9" s="202">
        <v>4.5</v>
      </c>
      <c r="K9" s="202">
        <v>9.99</v>
      </c>
      <c r="L9" s="203">
        <f t="shared" ref="L9:L19" si="3">(K9-J9)/K9</f>
        <v>0.5495495495495496</v>
      </c>
      <c r="M9" s="202">
        <f t="shared" si="0"/>
        <v>8.9909999999999997</v>
      </c>
      <c r="N9" s="198">
        <v>600</v>
      </c>
      <c r="O9" s="204">
        <f t="shared" ref="O9:O19" si="4">R9/N9</f>
        <v>0.22435897435897437</v>
      </c>
      <c r="P9" s="205">
        <f t="shared" ref="P9:P19" si="5">(W9/N9)/52</f>
        <v>2.0172115384615386</v>
      </c>
      <c r="Q9" s="205">
        <f t="shared" ref="Q9:Q19" si="6">(Z9/N9)/52</f>
        <v>1.007596153846154</v>
      </c>
      <c r="R9" s="206">
        <f t="shared" ref="R9:R19" si="7">S9/52</f>
        <v>134.61538461538461</v>
      </c>
      <c r="S9" s="207">
        <v>7000</v>
      </c>
      <c r="T9" s="208"/>
      <c r="U9" s="209">
        <f t="shared" ref="U9:U19" si="8">J9*S9</f>
        <v>31500</v>
      </c>
      <c r="V9" s="209">
        <f t="shared" ref="V9:V19" si="9">K9*S9</f>
        <v>69930</v>
      </c>
      <c r="W9" s="209">
        <f t="shared" ref="W9:W19" si="10">S9*M9</f>
        <v>62937</v>
      </c>
      <c r="X9" s="210"/>
      <c r="Y9" s="210"/>
      <c r="Z9" s="211">
        <f t="shared" ref="Z9:Z19" si="11">W9-(S9*J9)</f>
        <v>31437</v>
      </c>
      <c r="AB9" s="215">
        <f t="shared" si="1"/>
        <v>31500</v>
      </c>
      <c r="AC9" s="216"/>
    </row>
    <row r="10" spans="1:29" s="187" customFormat="1" ht="13.2">
      <c r="A10" s="196">
        <v>2</v>
      </c>
      <c r="B10" s="197">
        <v>5135513</v>
      </c>
      <c r="C10" s="214">
        <v>1</v>
      </c>
      <c r="D10" s="199">
        <f t="shared" si="2"/>
        <v>1.0284210526315789</v>
      </c>
      <c r="E10" s="256">
        <v>4</v>
      </c>
      <c r="F10" s="273" t="s">
        <v>89</v>
      </c>
      <c r="G10" s="198">
        <v>977</v>
      </c>
      <c r="H10" s="207">
        <v>10000</v>
      </c>
      <c r="I10" s="201" t="s">
        <v>86</v>
      </c>
      <c r="J10" s="202">
        <v>22</v>
      </c>
      <c r="K10" s="202">
        <v>39.99</v>
      </c>
      <c r="L10" s="203">
        <f t="shared" si="3"/>
        <v>0.44986246561640414</v>
      </c>
      <c r="M10" s="202">
        <f>0.81*K10</f>
        <v>32.391900000000007</v>
      </c>
      <c r="N10" s="198">
        <v>977</v>
      </c>
      <c r="O10" s="204">
        <f t="shared" si="4"/>
        <v>0.19683489489016615</v>
      </c>
      <c r="P10" s="205">
        <f t="shared" si="5"/>
        <v>6.3758562317927732</v>
      </c>
      <c r="Q10" s="205">
        <f t="shared" si="6"/>
        <v>2.0454885442091184</v>
      </c>
      <c r="R10" s="206">
        <f t="shared" si="7"/>
        <v>192.30769230769232</v>
      </c>
      <c r="S10" s="207">
        <v>10000</v>
      </c>
      <c r="T10" s="208"/>
      <c r="U10" s="209">
        <f t="shared" si="8"/>
        <v>220000</v>
      </c>
      <c r="V10" s="209">
        <f t="shared" si="9"/>
        <v>399900</v>
      </c>
      <c r="W10" s="209">
        <f t="shared" si="10"/>
        <v>323919.00000000006</v>
      </c>
      <c r="X10" s="210"/>
      <c r="Y10" s="210"/>
      <c r="Z10" s="211">
        <f t="shared" si="11"/>
        <v>103919.00000000006</v>
      </c>
      <c r="AB10" s="215">
        <f t="shared" si="1"/>
        <v>220000</v>
      </c>
      <c r="AC10" s="216"/>
    </row>
    <row r="11" spans="1:29" s="187" customFormat="1" ht="13.2">
      <c r="A11" s="196">
        <v>2</v>
      </c>
      <c r="B11" s="197">
        <v>5105235</v>
      </c>
      <c r="C11" s="214">
        <v>1</v>
      </c>
      <c r="D11" s="199">
        <f t="shared" si="2"/>
        <v>0.74736842105263157</v>
      </c>
      <c r="E11" s="256">
        <v>5</v>
      </c>
      <c r="F11" s="273" t="s">
        <v>90</v>
      </c>
      <c r="G11" s="198">
        <v>710</v>
      </c>
      <c r="H11" s="207">
        <v>8000</v>
      </c>
      <c r="I11" s="201" t="s">
        <v>86</v>
      </c>
      <c r="J11" s="202">
        <v>12</v>
      </c>
      <c r="K11" s="202">
        <v>29.99</v>
      </c>
      <c r="L11" s="203">
        <f t="shared" si="3"/>
        <v>0.5998666222074025</v>
      </c>
      <c r="M11" s="202">
        <f>0.81*K11</f>
        <v>24.291900000000002</v>
      </c>
      <c r="N11" s="198">
        <v>710</v>
      </c>
      <c r="O11" s="204">
        <f t="shared" si="4"/>
        <v>0.21668472372697725</v>
      </c>
      <c r="P11" s="205">
        <f t="shared" si="5"/>
        <v>5.2636836403033591</v>
      </c>
      <c r="Q11" s="205">
        <f t="shared" si="6"/>
        <v>2.663466955579632</v>
      </c>
      <c r="R11" s="206">
        <f t="shared" si="7"/>
        <v>153.84615384615384</v>
      </c>
      <c r="S11" s="207">
        <v>8000</v>
      </c>
      <c r="T11" s="208"/>
      <c r="U11" s="209">
        <f t="shared" si="8"/>
        <v>96000</v>
      </c>
      <c r="V11" s="209">
        <f t="shared" si="9"/>
        <v>239920</v>
      </c>
      <c r="W11" s="209">
        <f t="shared" si="10"/>
        <v>194335.2</v>
      </c>
      <c r="X11" s="210"/>
      <c r="Y11" s="210"/>
      <c r="Z11" s="211">
        <f t="shared" si="11"/>
        <v>98335.200000000012</v>
      </c>
      <c r="AB11" s="215">
        <f t="shared" si="1"/>
        <v>96000</v>
      </c>
      <c r="AC11" s="216"/>
    </row>
    <row r="12" spans="1:29" s="187" customFormat="1" ht="13.2">
      <c r="A12" s="196">
        <v>2</v>
      </c>
      <c r="B12" s="197">
        <v>5113802</v>
      </c>
      <c r="C12" s="214">
        <v>1</v>
      </c>
      <c r="D12" s="199">
        <f t="shared" si="2"/>
        <v>0.63157894736842102</v>
      </c>
      <c r="E12" s="256">
        <v>6</v>
      </c>
      <c r="F12" s="273" t="s">
        <v>91</v>
      </c>
      <c r="G12" s="198">
        <v>600</v>
      </c>
      <c r="H12" s="207">
        <v>8000</v>
      </c>
      <c r="I12" s="201" t="s">
        <v>86</v>
      </c>
      <c r="J12" s="202">
        <v>20.5</v>
      </c>
      <c r="K12" s="202">
        <v>39.99</v>
      </c>
      <c r="L12" s="203">
        <f t="shared" si="3"/>
        <v>0.48737184296074021</v>
      </c>
      <c r="M12" s="202">
        <f>0.81*K12</f>
        <v>32.391900000000007</v>
      </c>
      <c r="N12" s="198">
        <v>600</v>
      </c>
      <c r="O12" s="204">
        <f t="shared" si="4"/>
        <v>0.25641025641025639</v>
      </c>
      <c r="P12" s="205">
        <f t="shared" si="5"/>
        <v>8.3056153846153862</v>
      </c>
      <c r="Q12" s="205">
        <f t="shared" si="6"/>
        <v>3.0492051282051298</v>
      </c>
      <c r="R12" s="206">
        <f t="shared" si="7"/>
        <v>153.84615384615384</v>
      </c>
      <c r="S12" s="207">
        <v>8000</v>
      </c>
      <c r="T12" s="208"/>
      <c r="U12" s="209">
        <f t="shared" si="8"/>
        <v>164000</v>
      </c>
      <c r="V12" s="209">
        <f t="shared" si="9"/>
        <v>319920</v>
      </c>
      <c r="W12" s="209">
        <f t="shared" si="10"/>
        <v>259135.20000000004</v>
      </c>
      <c r="X12" s="210"/>
      <c r="Y12" s="210"/>
      <c r="Z12" s="211">
        <f t="shared" si="11"/>
        <v>95135.200000000041</v>
      </c>
      <c r="AB12" s="215">
        <f t="shared" si="1"/>
        <v>164000</v>
      </c>
      <c r="AC12" s="216"/>
    </row>
    <row r="13" spans="1:29" s="187" customFormat="1" ht="13.2">
      <c r="A13" s="196">
        <v>3</v>
      </c>
      <c r="B13" s="197">
        <v>5160715</v>
      </c>
      <c r="C13" s="214">
        <v>1</v>
      </c>
      <c r="D13" s="199">
        <f t="shared" si="2"/>
        <v>0.26842105263157895</v>
      </c>
      <c r="E13" s="256">
        <v>7</v>
      </c>
      <c r="F13" s="273" t="s">
        <v>92</v>
      </c>
      <c r="G13" s="198">
        <v>255</v>
      </c>
      <c r="H13" s="207">
        <v>2200</v>
      </c>
      <c r="I13" s="201" t="s">
        <v>86</v>
      </c>
      <c r="J13" s="202">
        <v>3</v>
      </c>
      <c r="K13" s="202">
        <v>6.99</v>
      </c>
      <c r="L13" s="203">
        <f t="shared" si="3"/>
        <v>0.57081545064377681</v>
      </c>
      <c r="M13" s="202">
        <f t="shared" si="0"/>
        <v>6.2910000000000004</v>
      </c>
      <c r="N13" s="198">
        <v>255</v>
      </c>
      <c r="O13" s="204">
        <f t="shared" si="4"/>
        <v>0.16591251885369532</v>
      </c>
      <c r="P13" s="205">
        <f t="shared" si="5"/>
        <v>1.0437556561085974</v>
      </c>
      <c r="Q13" s="205">
        <f t="shared" si="6"/>
        <v>0.54601809954751135</v>
      </c>
      <c r="R13" s="206">
        <f t="shared" si="7"/>
        <v>42.307692307692307</v>
      </c>
      <c r="S13" s="207">
        <v>2200</v>
      </c>
      <c r="T13" s="208"/>
      <c r="U13" s="209">
        <f t="shared" si="8"/>
        <v>6600</v>
      </c>
      <c r="V13" s="209">
        <f t="shared" si="9"/>
        <v>15378</v>
      </c>
      <c r="W13" s="209">
        <f t="shared" si="10"/>
        <v>13840.2</v>
      </c>
      <c r="X13" s="210"/>
      <c r="Y13" s="210"/>
      <c r="Z13" s="211">
        <f t="shared" si="11"/>
        <v>7240.2000000000007</v>
      </c>
      <c r="AB13" s="215">
        <f t="shared" si="1"/>
        <v>6600</v>
      </c>
      <c r="AC13" s="216"/>
    </row>
    <row r="14" spans="1:29" s="187" customFormat="1" ht="13.2">
      <c r="A14" s="196">
        <v>3</v>
      </c>
      <c r="B14" s="197">
        <v>5158142</v>
      </c>
      <c r="C14" s="214">
        <v>1</v>
      </c>
      <c r="D14" s="199">
        <f t="shared" si="2"/>
        <v>0.61473684210526314</v>
      </c>
      <c r="E14" s="256">
        <v>8</v>
      </c>
      <c r="F14" s="273" t="s">
        <v>93</v>
      </c>
      <c r="G14" s="198">
        <v>584</v>
      </c>
      <c r="H14" s="207">
        <v>4500</v>
      </c>
      <c r="I14" s="201" t="s">
        <v>86</v>
      </c>
      <c r="J14" s="202">
        <v>5</v>
      </c>
      <c r="K14" s="202">
        <v>9.99</v>
      </c>
      <c r="L14" s="203">
        <f t="shared" si="3"/>
        <v>0.49949949949949951</v>
      </c>
      <c r="M14" s="202">
        <f t="shared" si="0"/>
        <v>8.9909999999999997</v>
      </c>
      <c r="N14" s="198">
        <v>584</v>
      </c>
      <c r="O14" s="204">
        <f t="shared" si="4"/>
        <v>0.14818229715489989</v>
      </c>
      <c r="P14" s="205">
        <f t="shared" si="5"/>
        <v>1.3323070337197049</v>
      </c>
      <c r="Q14" s="205">
        <f t="shared" si="6"/>
        <v>0.59139554794520555</v>
      </c>
      <c r="R14" s="206">
        <f t="shared" si="7"/>
        <v>86.538461538461533</v>
      </c>
      <c r="S14" s="207">
        <v>4500</v>
      </c>
      <c r="T14" s="208"/>
      <c r="U14" s="209">
        <f t="shared" si="8"/>
        <v>22500</v>
      </c>
      <c r="V14" s="209">
        <f t="shared" si="9"/>
        <v>44955</v>
      </c>
      <c r="W14" s="209">
        <f t="shared" si="10"/>
        <v>40459.5</v>
      </c>
      <c r="X14" s="210"/>
      <c r="Y14" s="210"/>
      <c r="Z14" s="211">
        <f t="shared" si="11"/>
        <v>17959.5</v>
      </c>
      <c r="AB14" s="215">
        <f t="shared" si="1"/>
        <v>22500</v>
      </c>
      <c r="AC14" s="216"/>
    </row>
    <row r="15" spans="1:29" s="187" customFormat="1" ht="13.2">
      <c r="A15" s="196">
        <v>3</v>
      </c>
      <c r="B15" s="197">
        <v>5119269</v>
      </c>
      <c r="C15" s="214">
        <v>1</v>
      </c>
      <c r="D15" s="199">
        <f t="shared" si="2"/>
        <v>1.0284210526315789</v>
      </c>
      <c r="E15" s="256">
        <v>9</v>
      </c>
      <c r="F15" s="273" t="s">
        <v>94</v>
      </c>
      <c r="G15" s="198">
        <v>977</v>
      </c>
      <c r="H15" s="207">
        <v>13000</v>
      </c>
      <c r="I15" s="201" t="s">
        <v>86</v>
      </c>
      <c r="J15" s="202">
        <v>2</v>
      </c>
      <c r="K15" s="202">
        <v>4.99</v>
      </c>
      <c r="L15" s="203">
        <f t="shared" si="3"/>
        <v>0.59919839679358722</v>
      </c>
      <c r="M15" s="202">
        <f t="shared" si="0"/>
        <v>4.4910000000000005</v>
      </c>
      <c r="N15" s="198">
        <v>977</v>
      </c>
      <c r="O15" s="204">
        <f t="shared" si="4"/>
        <v>0.25588536335721596</v>
      </c>
      <c r="P15" s="205">
        <f t="shared" si="5"/>
        <v>1.1491811668372571</v>
      </c>
      <c r="Q15" s="205">
        <f t="shared" si="6"/>
        <v>0.63741044012282511</v>
      </c>
      <c r="R15" s="206">
        <f t="shared" si="7"/>
        <v>250</v>
      </c>
      <c r="S15" s="207">
        <v>13000</v>
      </c>
      <c r="T15" s="208"/>
      <c r="U15" s="209">
        <f t="shared" si="8"/>
        <v>26000</v>
      </c>
      <c r="V15" s="209">
        <f t="shared" si="9"/>
        <v>64870</v>
      </c>
      <c r="W15" s="209">
        <f t="shared" si="10"/>
        <v>58383.000000000007</v>
      </c>
      <c r="X15" s="210"/>
      <c r="Y15" s="210"/>
      <c r="Z15" s="211">
        <f t="shared" si="11"/>
        <v>32383.000000000007</v>
      </c>
      <c r="AB15" s="215">
        <f t="shared" si="1"/>
        <v>26000</v>
      </c>
      <c r="AC15" s="216"/>
    </row>
    <row r="16" spans="1:29" s="187" customFormat="1" ht="13.2">
      <c r="A16" s="196">
        <v>3</v>
      </c>
      <c r="B16" s="197">
        <v>5119271</v>
      </c>
      <c r="C16" s="214">
        <v>1</v>
      </c>
      <c r="D16" s="199">
        <f t="shared" si="2"/>
        <v>0.64526315789473687</v>
      </c>
      <c r="E16" s="256">
        <v>10</v>
      </c>
      <c r="F16" s="273" t="s">
        <v>95</v>
      </c>
      <c r="G16" s="198">
        <v>613</v>
      </c>
      <c r="H16" s="207">
        <v>10000</v>
      </c>
      <c r="I16" s="201" t="s">
        <v>86</v>
      </c>
      <c r="J16" s="202">
        <v>2</v>
      </c>
      <c r="K16" s="202">
        <v>4.99</v>
      </c>
      <c r="L16" s="203">
        <f t="shared" si="3"/>
        <v>0.59919839679358722</v>
      </c>
      <c r="M16" s="202">
        <f t="shared" si="0"/>
        <v>4.4910000000000005</v>
      </c>
      <c r="N16" s="198">
        <v>613</v>
      </c>
      <c r="O16" s="204">
        <f t="shared" si="4"/>
        <v>0.31371564813652908</v>
      </c>
      <c r="P16" s="205">
        <f t="shared" si="5"/>
        <v>1.408896975781152</v>
      </c>
      <c r="Q16" s="205">
        <f t="shared" si="6"/>
        <v>0.7814656795080942</v>
      </c>
      <c r="R16" s="206">
        <f t="shared" si="7"/>
        <v>192.30769230769232</v>
      </c>
      <c r="S16" s="207">
        <v>10000</v>
      </c>
      <c r="T16" s="208"/>
      <c r="U16" s="209">
        <f t="shared" si="8"/>
        <v>20000</v>
      </c>
      <c r="V16" s="209">
        <f t="shared" si="9"/>
        <v>49900</v>
      </c>
      <c r="W16" s="209">
        <f t="shared" si="10"/>
        <v>44910.000000000007</v>
      </c>
      <c r="X16" s="210"/>
      <c r="Y16" s="210"/>
      <c r="Z16" s="211">
        <f t="shared" si="11"/>
        <v>24910.000000000007</v>
      </c>
      <c r="AB16" s="215">
        <f t="shared" si="1"/>
        <v>20000</v>
      </c>
      <c r="AC16" s="216"/>
    </row>
    <row r="17" spans="1:29" s="187" customFormat="1" ht="13.2">
      <c r="A17" s="196">
        <v>3</v>
      </c>
      <c r="B17" s="197">
        <v>5135441</v>
      </c>
      <c r="C17" s="214">
        <v>1</v>
      </c>
      <c r="D17" s="199">
        <f t="shared" si="2"/>
        <v>0.991578947368421</v>
      </c>
      <c r="E17" s="256">
        <v>11</v>
      </c>
      <c r="F17" s="273" t="s">
        <v>96</v>
      </c>
      <c r="G17" s="198">
        <v>942</v>
      </c>
      <c r="H17" s="207">
        <v>6000</v>
      </c>
      <c r="I17" s="201" t="s">
        <v>86</v>
      </c>
      <c r="J17" s="202">
        <v>5</v>
      </c>
      <c r="K17" s="202">
        <v>9.99</v>
      </c>
      <c r="L17" s="203">
        <f t="shared" si="3"/>
        <v>0.49949949949949951</v>
      </c>
      <c r="M17" s="202">
        <f t="shared" si="0"/>
        <v>8.9909999999999997</v>
      </c>
      <c r="N17" s="198">
        <v>942</v>
      </c>
      <c r="O17" s="204">
        <f t="shared" si="4"/>
        <v>0.12248897599216071</v>
      </c>
      <c r="P17" s="205">
        <f t="shared" si="5"/>
        <v>1.1012983831455168</v>
      </c>
      <c r="Q17" s="205">
        <f t="shared" si="6"/>
        <v>0.48885350318471332</v>
      </c>
      <c r="R17" s="206">
        <f t="shared" si="7"/>
        <v>115.38461538461539</v>
      </c>
      <c r="S17" s="207">
        <v>6000</v>
      </c>
      <c r="T17" s="208"/>
      <c r="U17" s="209">
        <f t="shared" si="8"/>
        <v>30000</v>
      </c>
      <c r="V17" s="209">
        <f t="shared" si="9"/>
        <v>59940</v>
      </c>
      <c r="W17" s="209">
        <f t="shared" si="10"/>
        <v>53946</v>
      </c>
      <c r="X17" s="210"/>
      <c r="Y17" s="210"/>
      <c r="Z17" s="211">
        <f t="shared" si="11"/>
        <v>23946</v>
      </c>
      <c r="AB17" s="215">
        <f t="shared" si="1"/>
        <v>30000</v>
      </c>
      <c r="AC17" s="216"/>
    </row>
    <row r="18" spans="1:29" s="187" customFormat="1" ht="13.2">
      <c r="A18" s="196">
        <v>3</v>
      </c>
      <c r="B18" s="197"/>
      <c r="C18" s="214">
        <v>1</v>
      </c>
      <c r="D18" s="199">
        <f t="shared" si="2"/>
        <v>1.0284210526315789</v>
      </c>
      <c r="E18" s="256">
        <v>12</v>
      </c>
      <c r="F18" s="273" t="s">
        <v>97</v>
      </c>
      <c r="G18" s="198">
        <v>977</v>
      </c>
      <c r="H18" s="207">
        <v>10000</v>
      </c>
      <c r="I18" s="201" t="s">
        <v>86</v>
      </c>
      <c r="J18" s="202">
        <v>5</v>
      </c>
      <c r="K18" s="202">
        <v>9.99</v>
      </c>
      <c r="L18" s="203">
        <f t="shared" si="3"/>
        <v>0.49949949949949951</v>
      </c>
      <c r="M18" s="202">
        <f t="shared" si="0"/>
        <v>8.9909999999999997</v>
      </c>
      <c r="N18" s="198">
        <v>977</v>
      </c>
      <c r="O18" s="204">
        <f t="shared" si="4"/>
        <v>0.19683489489016615</v>
      </c>
      <c r="P18" s="205">
        <f t="shared" si="5"/>
        <v>1.7697425399574838</v>
      </c>
      <c r="Q18" s="205">
        <f t="shared" si="6"/>
        <v>0.78556806550665292</v>
      </c>
      <c r="R18" s="206">
        <f t="shared" si="7"/>
        <v>192.30769230769232</v>
      </c>
      <c r="S18" s="207">
        <v>10000</v>
      </c>
      <c r="T18" s="208"/>
      <c r="U18" s="209">
        <f t="shared" si="8"/>
        <v>50000</v>
      </c>
      <c r="V18" s="209">
        <f t="shared" si="9"/>
        <v>99900</v>
      </c>
      <c r="W18" s="209">
        <f t="shared" si="10"/>
        <v>89910</v>
      </c>
      <c r="X18" s="210"/>
      <c r="Y18" s="210"/>
      <c r="Z18" s="211">
        <f t="shared" si="11"/>
        <v>39910</v>
      </c>
      <c r="AB18" s="215">
        <f t="shared" si="1"/>
        <v>50000</v>
      </c>
      <c r="AC18" s="216"/>
    </row>
    <row r="19" spans="1:29" s="187" customFormat="1" ht="13.2">
      <c r="A19" s="196">
        <v>3</v>
      </c>
      <c r="B19" s="197"/>
      <c r="C19" s="214">
        <v>1</v>
      </c>
      <c r="D19" s="199">
        <f t="shared" si="2"/>
        <v>1.0284210526315789</v>
      </c>
      <c r="E19" s="256">
        <v>13</v>
      </c>
      <c r="F19" s="273" t="s">
        <v>98</v>
      </c>
      <c r="G19" s="198">
        <v>977</v>
      </c>
      <c r="H19" s="207">
        <v>10000</v>
      </c>
      <c r="I19" s="201" t="s">
        <v>86</v>
      </c>
      <c r="J19" s="202">
        <v>5</v>
      </c>
      <c r="K19" s="202">
        <v>9.99</v>
      </c>
      <c r="L19" s="203">
        <f t="shared" si="3"/>
        <v>0.49949949949949951</v>
      </c>
      <c r="M19" s="202">
        <f t="shared" si="0"/>
        <v>8.9909999999999997</v>
      </c>
      <c r="N19" s="198">
        <v>977</v>
      </c>
      <c r="O19" s="204">
        <f t="shared" si="4"/>
        <v>0.19683489489016615</v>
      </c>
      <c r="P19" s="205">
        <f t="shared" si="5"/>
        <v>1.7697425399574838</v>
      </c>
      <c r="Q19" s="205">
        <f t="shared" si="6"/>
        <v>0.78556806550665292</v>
      </c>
      <c r="R19" s="206">
        <f t="shared" si="7"/>
        <v>192.30769230769232</v>
      </c>
      <c r="S19" s="207">
        <v>10000</v>
      </c>
      <c r="T19" s="208"/>
      <c r="U19" s="209">
        <f t="shared" si="8"/>
        <v>50000</v>
      </c>
      <c r="V19" s="209">
        <f t="shared" si="9"/>
        <v>99900</v>
      </c>
      <c r="W19" s="209">
        <f t="shared" si="10"/>
        <v>89910</v>
      </c>
      <c r="X19" s="210"/>
      <c r="Y19" s="210"/>
      <c r="Z19" s="211">
        <f t="shared" si="11"/>
        <v>39910</v>
      </c>
      <c r="AB19" s="215">
        <f t="shared" si="1"/>
        <v>50000</v>
      </c>
      <c r="AC19" s="216"/>
    </row>
    <row r="20" spans="1:29" s="187" customFormat="1" ht="13.2">
      <c r="A20" s="196">
        <v>3</v>
      </c>
      <c r="B20" s="197"/>
      <c r="C20" s="214">
        <v>1</v>
      </c>
      <c r="D20" s="199">
        <f>N20/950</f>
        <v>0.61473684210526314</v>
      </c>
      <c r="E20" s="256">
        <v>14</v>
      </c>
      <c r="F20" s="273" t="s">
        <v>99</v>
      </c>
      <c r="G20" s="198">
        <v>584</v>
      </c>
      <c r="H20" s="207">
        <v>8000</v>
      </c>
      <c r="I20" s="201" t="s">
        <v>86</v>
      </c>
      <c r="J20" s="202">
        <v>3</v>
      </c>
      <c r="K20" s="202">
        <v>7.99</v>
      </c>
      <c r="L20" s="203">
        <f>(K20-J20)/K20</f>
        <v>0.62453066332916152</v>
      </c>
      <c r="M20" s="202">
        <f t="shared" si="0"/>
        <v>7.1910000000000007</v>
      </c>
      <c r="N20" s="198">
        <v>584</v>
      </c>
      <c r="O20" s="204">
        <f>R20/N20</f>
        <v>0.26343519494204426</v>
      </c>
      <c r="P20" s="205">
        <f>(W20/N20)/52</f>
        <v>1.8943624868282405</v>
      </c>
      <c r="Q20" s="205">
        <f>(Z20/N20)/52</f>
        <v>1.1040569020021076</v>
      </c>
      <c r="R20" s="206">
        <f>S20/52</f>
        <v>153.84615384615384</v>
      </c>
      <c r="S20" s="207">
        <v>8000</v>
      </c>
      <c r="T20" s="208"/>
      <c r="U20" s="209">
        <f>J20*S20</f>
        <v>24000</v>
      </c>
      <c r="V20" s="209">
        <f>K20*S20</f>
        <v>63920</v>
      </c>
      <c r="W20" s="209">
        <f>S20*M20</f>
        <v>57528.000000000007</v>
      </c>
      <c r="X20" s="210"/>
      <c r="Y20" s="210"/>
      <c r="Z20" s="211">
        <f>W20-(S20*J20)</f>
        <v>33528.000000000007</v>
      </c>
      <c r="AB20" s="217">
        <f t="shared" si="1"/>
        <v>24000</v>
      </c>
      <c r="AC20" s="216"/>
    </row>
    <row r="21" spans="1:29" s="187" customFormat="1" ht="13.2">
      <c r="A21" s="196"/>
      <c r="B21" s="197"/>
      <c r="C21" s="210"/>
      <c r="D21" s="199"/>
      <c r="E21" s="256"/>
      <c r="F21" s="200"/>
      <c r="G21" s="198"/>
      <c r="H21" s="207"/>
      <c r="I21" s="201"/>
      <c r="J21" s="202"/>
      <c r="K21" s="202"/>
      <c r="L21" s="203"/>
      <c r="M21" s="202"/>
      <c r="N21" s="198"/>
      <c r="O21" s="204"/>
      <c r="P21" s="205"/>
      <c r="Q21" s="205"/>
      <c r="R21" s="206"/>
      <c r="S21" s="207"/>
      <c r="T21" s="208"/>
      <c r="U21" s="209"/>
      <c r="V21" s="209"/>
      <c r="W21" s="209"/>
      <c r="X21" s="210"/>
      <c r="Y21" s="210"/>
      <c r="Z21" s="211"/>
      <c r="AB21" s="218">
        <f>SUM(AB7:AB20)</f>
        <v>782000</v>
      </c>
      <c r="AC21" s="219"/>
    </row>
    <row r="22" spans="1:29" s="187" customFormat="1" ht="13.2">
      <c r="A22" s="196"/>
      <c r="B22" s="220"/>
      <c r="C22" s="196"/>
      <c r="D22" s="199"/>
      <c r="E22" s="256"/>
      <c r="F22" s="200"/>
      <c r="G22" s="222"/>
      <c r="H22" s="226"/>
      <c r="I22" s="201"/>
      <c r="J22" s="202"/>
      <c r="K22" s="202"/>
      <c r="L22" s="221"/>
      <c r="M22" s="202"/>
      <c r="N22" s="222"/>
      <c r="O22" s="223"/>
      <c r="P22" s="224"/>
      <c r="Q22" s="224"/>
      <c r="R22" s="225"/>
      <c r="S22" s="226"/>
      <c r="T22" s="227"/>
      <c r="U22" s="228"/>
      <c r="V22" s="228"/>
      <c r="W22" s="228"/>
      <c r="X22" s="196"/>
      <c r="Y22" s="196"/>
      <c r="Z22" s="229"/>
    </row>
    <row r="23" spans="1:29" s="187" customFormat="1" ht="13.2">
      <c r="A23" s="230"/>
      <c r="B23" s="231"/>
      <c r="C23" s="231"/>
      <c r="D23" s="232">
        <f>SUM(D7:D22)</f>
        <v>10.229473684210525</v>
      </c>
      <c r="E23" s="257"/>
      <c r="F23" s="233" t="s">
        <v>100</v>
      </c>
      <c r="G23" s="236"/>
      <c r="H23" s="239">
        <f>SUM(H7:H22)</f>
        <v>107700</v>
      </c>
      <c r="I23" s="231"/>
      <c r="J23" s="234">
        <f>U23/S23</f>
        <v>7.2609099350046424</v>
      </c>
      <c r="K23" s="234">
        <f>V23/S23</f>
        <v>15.072636954503249</v>
      </c>
      <c r="L23" s="235">
        <f>(K23-J23)/K23</f>
        <v>0.51827208756359633</v>
      </c>
      <c r="M23" s="234">
        <f>W23/S23</f>
        <v>12.763362116991644</v>
      </c>
      <c r="N23" s="236"/>
      <c r="O23" s="237">
        <f>SUM(O7:O22)</f>
        <v>2.9931575514430353</v>
      </c>
      <c r="P23" s="238">
        <f>SUM(P7:P22)</f>
        <v>36.541684633409112</v>
      </c>
      <c r="Q23" s="238">
        <f>SUM(Q7:Q22)</f>
        <v>16.119774403845117</v>
      </c>
      <c r="R23" s="239">
        <f>SUM(R7:R22)</f>
        <v>2071.1538461538466</v>
      </c>
      <c r="S23" s="239">
        <f>SUM(S7:S22)</f>
        <v>107700</v>
      </c>
      <c r="T23" s="239"/>
      <c r="U23" s="240">
        <f t="shared" ref="U23:Z23" si="12">SUM(U7:U22)</f>
        <v>782000</v>
      </c>
      <c r="V23" s="240">
        <f t="shared" si="12"/>
        <v>1623323</v>
      </c>
      <c r="W23" s="240">
        <f t="shared" si="12"/>
        <v>1374614.1</v>
      </c>
      <c r="X23" s="236">
        <f t="shared" si="12"/>
        <v>0</v>
      </c>
      <c r="Y23" s="236">
        <f t="shared" si="12"/>
        <v>0</v>
      </c>
      <c r="Z23" s="241">
        <f t="shared" si="12"/>
        <v>592614.10000000009</v>
      </c>
    </row>
    <row r="24" spans="1:29" s="187" customFormat="1" ht="13.8" thickBot="1">
      <c r="E24" s="258"/>
      <c r="P24" s="242"/>
      <c r="Q24" s="242"/>
      <c r="U24" s="243"/>
      <c r="V24" s="243"/>
      <c r="Z24" s="244">
        <f>Z23/W23</f>
        <v>0.43111306656901022</v>
      </c>
    </row>
    <row r="25" spans="1:29" s="187" customFormat="1" ht="13.2">
      <c r="E25" s="258"/>
      <c r="I25" s="245"/>
      <c r="P25" s="242"/>
      <c r="Q25" s="242"/>
      <c r="U25" s="243"/>
      <c r="V25" s="243"/>
    </row>
    <row r="26" spans="1:29" s="187" customFormat="1" ht="13.2">
      <c r="E26" s="258"/>
      <c r="I26" s="245"/>
      <c r="P26" s="242"/>
      <c r="Q26" s="242"/>
      <c r="U26" s="243"/>
      <c r="V26" s="243"/>
    </row>
  </sheetData>
  <mergeCells count="1">
    <mergeCell ref="A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Proforma - 2015 and 2016</vt:lpstr>
      <vt:lpstr>Proforma - KMART 2FT  2016</vt:lpstr>
      <vt:lpstr>Proforma - KMART 2FT 2015</vt:lpstr>
      <vt:lpstr>Megan's Projections</vt:lpstr>
      <vt:lpstr>'Proforma - KMART 2FT  2016'!Print_Area</vt:lpstr>
    </vt:vector>
  </TitlesOfParts>
  <Company>Lifetime Brands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BillC</dc:creator>
  <cp:lastModifiedBy>CarolynL</cp:lastModifiedBy>
  <cp:lastPrinted>2015-02-23T18:29:10Z</cp:lastPrinted>
  <dcterms:created xsi:type="dcterms:W3CDTF">2014-10-03T18:49:20Z</dcterms:created>
  <dcterms:modified xsi:type="dcterms:W3CDTF">2015-11-13T14:04:19Z</dcterms:modified>
</cp:coreProperties>
</file>