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 date1904="1"/>
  <mc:AlternateContent xmlns:mc="http://schemas.openxmlformats.org/markup-compatibility/2006">
    <mc:Choice Requires="x15">
      <x15ac:absPath xmlns:x15ac="http://schemas.microsoft.com/office/spreadsheetml/2010/11/ac" url="/Users/cliffordsiegel1/Dropbox/LTB - Sales Portal/Client Artifacts/PROFORMA/"/>
    </mc:Choice>
  </mc:AlternateContent>
  <bookViews>
    <workbookView xWindow="4260" yWindow="1240" windowWidth="33600" windowHeight="18080"/>
  </bookViews>
  <sheets>
    <sheet name="Sheet 1 - Table 2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9" i="1" l="1"/>
  <c r="AB9" i="1"/>
  <c r="G9" i="1"/>
  <c r="Q9" i="1"/>
  <c r="P9" i="1"/>
  <c r="AC9" i="1"/>
  <c r="R9" i="1"/>
  <c r="S9" i="1"/>
  <c r="T9" i="1"/>
  <c r="U9" i="1"/>
  <c r="V9" i="1"/>
  <c r="I9" i="1"/>
  <c r="J9" i="1"/>
  <c r="K9" i="1"/>
  <c r="L9" i="1"/>
  <c r="M9" i="1"/>
  <c r="N9" i="1"/>
  <c r="O9" i="1"/>
  <c r="Z9" i="1"/>
  <c r="Y9" i="1"/>
  <c r="X9" i="1"/>
  <c r="W9" i="1"/>
  <c r="AC8" i="1"/>
  <c r="R8" i="1"/>
  <c r="S8" i="1"/>
  <c r="V8" i="1"/>
  <c r="L8" i="1"/>
  <c r="O8" i="1"/>
  <c r="Z8" i="1"/>
  <c r="Y8" i="1"/>
  <c r="X8" i="1"/>
  <c r="W8" i="1"/>
  <c r="H8" i="1"/>
  <c r="F8" i="1"/>
  <c r="V3" i="1"/>
  <c r="U3" i="1"/>
  <c r="T3" i="1"/>
  <c r="AC3" i="1"/>
  <c r="Z3" i="1"/>
  <c r="Y3" i="1"/>
  <c r="X3" i="1"/>
  <c r="W3" i="1"/>
  <c r="S3" i="1"/>
  <c r="R3" i="1"/>
  <c r="R2" i="1"/>
  <c r="S2" i="1"/>
  <c r="K3" i="1"/>
  <c r="L3" i="1"/>
  <c r="J3" i="1"/>
  <c r="I3" i="1"/>
  <c r="V2" i="1"/>
  <c r="M3" i="1"/>
  <c r="N3" i="1"/>
  <c r="O3" i="1"/>
  <c r="L2" i="1"/>
  <c r="O2" i="1"/>
  <c r="W2" i="1"/>
  <c r="Z2" i="1"/>
  <c r="Y2" i="1"/>
  <c r="AC2" i="1"/>
  <c r="X2" i="1"/>
  <c r="H2" i="1"/>
  <c r="F2" i="1"/>
</calcChain>
</file>

<file path=xl/sharedStrings.xml><?xml version="1.0" encoding="utf-8"?>
<sst xmlns="http://schemas.openxmlformats.org/spreadsheetml/2006/main" count="35" uniqueCount="32">
  <si>
    <t>Description</t>
  </si>
  <si>
    <t>CO</t>
  </si>
  <si>
    <t>Err</t>
  </si>
  <si>
    <t>Fill Unit</t>
  </si>
  <si>
    <t>Fill Order</t>
  </si>
  <si>
    <t>Annual Qty</t>
  </si>
  <si>
    <t>Units per Door</t>
  </si>
  <si>
    <t>Landed Cost</t>
  </si>
  <si>
    <t>Special Handling</t>
  </si>
  <si>
    <t>COGs</t>
  </si>
  <si>
    <t>COGs+</t>
  </si>
  <si>
    <t>Target Invoice Price</t>
  </si>
  <si>
    <t>Header Discounts</t>
  </si>
  <si>
    <t>Actual Invoice Price</t>
  </si>
  <si>
    <t>Gross Revenue
(Invoice)</t>
  </si>
  <si>
    <t>Accruals</t>
  </si>
  <si>
    <t>Non-Accruals</t>
  </si>
  <si>
    <t>Terms</t>
  </si>
  <si>
    <t>Net Revenue
(Invoice)</t>
  </si>
  <si>
    <t>Contribution Margin</t>
  </si>
  <si>
    <t>Gross to Net %</t>
  </si>
  <si>
    <t>Gross Margin</t>
  </si>
  <si>
    <t>Contribution Margin %</t>
  </si>
  <si>
    <t>Customer Margin</t>
  </si>
  <si>
    <t>Retail Price</t>
  </si>
  <si>
    <t>Retail Value</t>
  </si>
  <si>
    <t>FARBERWARE 8X6 BAMBOO CUTTING BOARD RED EDGES</t>
  </si>
  <si>
    <t>C</t>
  </si>
  <si>
    <t>Z</t>
  </si>
  <si>
    <r>
      <t xml:space="preserve">Doors </t>
    </r>
    <r>
      <rPr>
        <sz val="14"/>
        <color indexed="8"/>
        <rFont val="Helvetica"/>
      </rPr>
      <t>(Default off Customer Master)</t>
    </r>
  </si>
  <si>
    <r>
      <t xml:space="preserve">Royalties </t>
    </r>
    <r>
      <rPr>
        <i/>
        <sz val="14"/>
        <color indexed="8"/>
        <rFont val="Helvetica"/>
      </rPr>
      <t>(Invoice, Net Invoice, p Unit)</t>
    </r>
  </si>
  <si>
    <r>
      <t xml:space="preserve">Commissions </t>
    </r>
    <r>
      <rPr>
        <sz val="14"/>
        <color indexed="8"/>
        <rFont val="Helvetica"/>
      </rPr>
      <t>(Net Invoice)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</si>
</sst>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&quot;$&quot;#,##0.00"/>
    <numFmt numFmtId="165" formatCode="#,##0.00%"/>
  </numFmts>
  <fonts count="16" x14ac:knownFonts="1">
    <font>
      <sz val="10"/>
      <color indexed="8"/>
      <name val="Helvetica"/>
    </font>
    <font>
      <b/>
      <sz val="14"/>
      <color indexed="8"/>
      <name val="Helvetica"/>
    </font>
    <font>
      <sz val="14"/>
      <color indexed="8"/>
      <name val="Helvetica"/>
    </font>
    <font>
      <i/>
      <sz val="14"/>
      <color indexed="8"/>
      <name val="Helvetica"/>
    </font>
    <font>
      <sz val="14"/>
      <color indexed="8"/>
      <name val="Gill Sans"/>
    </font>
    <font>
      <b/>
      <sz val="14"/>
      <color indexed="10"/>
      <name val="Helvetica"/>
    </font>
    <font>
      <sz val="14"/>
      <color indexed="18"/>
      <name val="Helvetica"/>
    </font>
    <font>
      <b/>
      <sz val="14"/>
      <color indexed="21"/>
      <name val="Helvetica"/>
    </font>
    <font>
      <u/>
      <sz val="14"/>
      <color indexed="18"/>
      <name val="Helvetica"/>
    </font>
    <font>
      <i/>
      <sz val="14"/>
      <color indexed="22"/>
      <name val="Helvetica"/>
    </font>
    <font>
      <i/>
      <sz val="14"/>
      <color indexed="23"/>
      <name val="Helvetica"/>
    </font>
    <font>
      <sz val="10"/>
      <color indexed="8"/>
      <name val="Helvetica"/>
    </font>
    <font>
      <sz val="14"/>
      <color theme="1"/>
      <name val="Helvetica"/>
    </font>
    <font>
      <sz val="14"/>
      <color theme="1"/>
      <name val="Gill Sans"/>
    </font>
    <font>
      <b/>
      <sz val="14"/>
      <color theme="1"/>
      <name val="Helvetica"/>
    </font>
    <font>
      <i/>
      <sz val="14"/>
      <color theme="1"/>
      <name val="Helvetica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4"/>
        <bgColor auto="1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2">
    <xf numFmtId="0" fontId="0" fillId="0" borderId="0" xfId="0" applyFont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0" fontId="1" fillId="4" borderId="1" xfId="0" applyNumberFormat="1" applyFont="1" applyFill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0" fontId="6" fillId="10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3" fontId="6" fillId="10" borderId="2" xfId="0" applyNumberFormat="1" applyFont="1" applyFill="1" applyBorder="1" applyAlignment="1">
      <alignment horizontal="center" vertical="center" wrapText="1"/>
    </xf>
    <xf numFmtId="1" fontId="1" fillId="11" borderId="2" xfId="0" applyNumberFormat="1" applyFont="1" applyFill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8" fillId="2" borderId="2" xfId="0" applyNumberFormat="1" applyFont="1" applyFill="1" applyBorder="1" applyAlignment="1">
      <alignment horizontal="right" vertical="center" wrapText="1"/>
    </xf>
    <xf numFmtId="165" fontId="9" fillId="0" borderId="2" xfId="0" applyNumberFormat="1" applyFont="1" applyBorder="1" applyAlignment="1">
      <alignment horizontal="left" vertical="center" wrapText="1"/>
    </xf>
    <xf numFmtId="164" fontId="1" fillId="11" borderId="2" xfId="0" applyNumberFormat="1" applyFont="1" applyFill="1" applyBorder="1" applyAlignment="1">
      <alignment horizontal="right" vertical="center" wrapText="1"/>
    </xf>
    <xf numFmtId="165" fontId="10" fillId="0" borderId="2" xfId="0" applyNumberFormat="1" applyFont="1" applyBorder="1" applyAlignment="1">
      <alignment horizontal="left" vertical="center" wrapText="1"/>
    </xf>
    <xf numFmtId="164" fontId="6" fillId="10" borderId="2" xfId="0" applyNumberFormat="1" applyFont="1" applyFill="1" applyBorder="1" applyAlignment="1">
      <alignment horizontal="right" vertical="center" wrapText="1"/>
    </xf>
    <xf numFmtId="9" fontId="10" fillId="0" borderId="2" xfId="2" applyFont="1" applyBorder="1" applyAlignment="1">
      <alignment horizontal="left" vertical="center" wrapText="1"/>
    </xf>
    <xf numFmtId="164" fontId="1" fillId="11" borderId="2" xfId="0" applyNumberFormat="1" applyFont="1" applyFill="1" applyBorder="1" applyAlignment="1">
      <alignment horizontal="left" vertical="center" wrapText="1"/>
    </xf>
    <xf numFmtId="165" fontId="1" fillId="11" borderId="2" xfId="0" applyNumberFormat="1" applyFont="1" applyFill="1" applyBorder="1" applyAlignment="1">
      <alignment horizontal="left" vertical="center" wrapText="1"/>
    </xf>
    <xf numFmtId="165" fontId="6" fillId="10" borderId="2" xfId="0" applyNumberFormat="1" applyFont="1" applyFill="1" applyBorder="1" applyAlignment="1">
      <alignment horizontal="right" vertical="center" wrapText="1"/>
    </xf>
    <xf numFmtId="164" fontId="1" fillId="12" borderId="2" xfId="0" applyNumberFormat="1" applyFont="1" applyFill="1" applyBorder="1" applyAlignment="1">
      <alignment horizontal="left" vertical="center" wrapText="1"/>
    </xf>
    <xf numFmtId="3" fontId="12" fillId="13" borderId="0" xfId="0" applyNumberFormat="1" applyFont="1" applyFill="1" applyBorder="1" applyAlignment="1">
      <alignment horizontal="center" vertical="center" wrapText="1"/>
    </xf>
    <xf numFmtId="0" fontId="13" fillId="13" borderId="0" xfId="0" applyNumberFormat="1" applyFont="1" applyFill="1" applyBorder="1" applyAlignment="1">
      <alignment horizontal="center" vertical="center" wrapText="1"/>
    </xf>
    <xf numFmtId="164" fontId="13" fillId="13" borderId="0" xfId="0" applyNumberFormat="1" applyFont="1" applyFill="1" applyBorder="1" applyAlignment="1">
      <alignment horizontal="center" vertical="center" wrapText="1"/>
    </xf>
    <xf numFmtId="44" fontId="13" fillId="13" borderId="0" xfId="1" applyFont="1" applyFill="1" applyBorder="1" applyAlignment="1">
      <alignment horizontal="center" vertical="center" wrapText="1"/>
    </xf>
    <xf numFmtId="9" fontId="13" fillId="13" borderId="0" xfId="2" applyFont="1" applyFill="1" applyBorder="1" applyAlignment="1">
      <alignment horizontal="center" vertical="center" wrapText="1"/>
    </xf>
    <xf numFmtId="164" fontId="14" fillId="13" borderId="0" xfId="0" applyNumberFormat="1" applyFont="1" applyFill="1" applyBorder="1" applyAlignment="1">
      <alignment horizontal="left" vertical="center" wrapText="1"/>
    </xf>
    <xf numFmtId="44" fontId="15" fillId="13" borderId="0" xfId="1" applyFont="1" applyFill="1" applyBorder="1" applyAlignment="1">
      <alignment horizontal="left" vertical="center" wrapText="1"/>
    </xf>
    <xf numFmtId="165" fontId="14" fillId="13" borderId="0" xfId="0" applyNumberFormat="1" applyFont="1" applyFill="1" applyBorder="1" applyAlignment="1">
      <alignment horizontal="left" vertical="center" wrapText="1"/>
    </xf>
    <xf numFmtId="165" fontId="12" fillId="13" borderId="0" xfId="0" applyNumberFormat="1" applyFont="1" applyFill="1" applyBorder="1" applyAlignment="1">
      <alignment horizontal="right" vertical="center" wrapText="1"/>
    </xf>
    <xf numFmtId="164" fontId="12" fillId="13" borderId="0" xfId="0" applyNumberFormat="1" applyFont="1" applyFill="1" applyBorder="1" applyAlignment="1">
      <alignment horizontal="right" vertical="center" wrapText="1"/>
    </xf>
    <xf numFmtId="164" fontId="13" fillId="13" borderId="0" xfId="1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7FADB"/>
      <rgbColor rgb="FFF8D2E0"/>
      <rgbColor rgb="FFF3A3C0"/>
      <rgbColor rgb="FFB0DD8B"/>
      <rgbColor rgb="FF95D25F"/>
      <rgbColor rgb="FFCAF0FE"/>
      <rgbColor rgb="FFFFA900"/>
      <rgbColor rgb="FF00A2D7"/>
      <rgbColor rgb="FFF1F6B7"/>
      <rgbColor rgb="FFEAEAEA"/>
      <rgbColor rgb="FFFF4013"/>
      <rgbColor rgb="FF5D2FEB"/>
      <rgbColor rgb="FFD256FD"/>
      <rgbColor rgb="FFD6D6D6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U9"/>
  <sheetViews>
    <sheetView showGridLines="0" tabSelected="1" zoomScale="75" zoomScaleNormal="75" zoomScalePageLayoutView="75" workbookViewId="0">
      <selection activeCell="G11" sqref="G11"/>
    </sheetView>
  </sheetViews>
  <sheetFormatPr baseColWidth="10" defaultColWidth="13.33203125" defaultRowHeight="18" x14ac:dyDescent="0.15"/>
  <cols>
    <col min="1" max="1" width="36.6640625" style="11" bestFit="1" customWidth="1"/>
    <col min="2" max="2" width="5" style="11" hidden="1" customWidth="1"/>
    <col min="3" max="3" width="4.83203125" style="11" hidden="1" customWidth="1"/>
    <col min="4" max="4" width="10.33203125" style="11" hidden="1" customWidth="1"/>
    <col min="5" max="5" width="21.33203125" style="11" hidden="1" customWidth="1"/>
    <col min="6" max="6" width="12.1640625" style="11" hidden="1" customWidth="1"/>
    <col min="7" max="7" width="14.33203125" style="11" bestFit="1" customWidth="1"/>
    <col min="8" max="8" width="12" style="11" hidden="1" customWidth="1"/>
    <col min="9" max="9" width="16.1640625" style="11" bestFit="1" customWidth="1"/>
    <col min="10" max="10" width="12.33203125" style="11" bestFit="1" customWidth="1"/>
    <col min="11" max="11" width="16.33203125" style="11" customWidth="1"/>
    <col min="12" max="12" width="12.1640625" style="11" bestFit="1" customWidth="1"/>
    <col min="13" max="13" width="17.5" style="11" bestFit="1" customWidth="1"/>
    <col min="14" max="14" width="11.5" style="11" bestFit="1" customWidth="1"/>
    <col min="15" max="15" width="12.1640625" style="11" bestFit="1" customWidth="1"/>
    <col min="16" max="16" width="16.33203125" style="11" bestFit="1" customWidth="1"/>
    <col min="17" max="17" width="13.33203125" style="11" bestFit="1" customWidth="1"/>
    <col min="18" max="18" width="16.33203125" style="11" bestFit="1" customWidth="1"/>
    <col min="19" max="19" width="19.33203125" style="11" bestFit="1" customWidth="1"/>
    <col min="20" max="20" width="14.33203125" style="11" customWidth="1"/>
    <col min="21" max="21" width="12.33203125" style="11" customWidth="1"/>
    <col min="22" max="24" width="16.1640625" style="11" bestFit="1" customWidth="1"/>
    <col min="25" max="25" width="9.6640625" style="11" bestFit="1" customWidth="1"/>
    <col min="26" max="26" width="12.83203125" style="11" customWidth="1"/>
    <col min="27" max="27" width="12.83203125" style="11" bestFit="1" customWidth="1"/>
    <col min="28" max="28" width="8.1640625" style="11" bestFit="1" customWidth="1"/>
    <col min="29" max="29" width="15.33203125" style="11" bestFit="1" customWidth="1"/>
    <col min="30" max="255" width="13.33203125" style="11" customWidth="1"/>
    <col min="256" max="16384" width="13.33203125" style="12"/>
  </cols>
  <sheetData>
    <row r="1" spans="1:29" ht="83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29</v>
      </c>
      <c r="F1" s="3" t="s">
        <v>4</v>
      </c>
      <c r="G1" s="3" t="s">
        <v>5</v>
      </c>
      <c r="H1" s="3" t="s">
        <v>6</v>
      </c>
      <c r="I1" s="5" t="s">
        <v>7</v>
      </c>
      <c r="J1" s="5" t="s">
        <v>8</v>
      </c>
      <c r="K1" s="6" t="s">
        <v>30</v>
      </c>
      <c r="L1" s="7" t="s">
        <v>9</v>
      </c>
      <c r="M1" s="6" t="s">
        <v>31</v>
      </c>
      <c r="N1" s="6" t="s">
        <v>17</v>
      </c>
      <c r="O1" s="7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18</v>
      </c>
      <c r="W1" s="8" t="s">
        <v>19</v>
      </c>
      <c r="X1" s="9" t="s">
        <v>20</v>
      </c>
      <c r="Y1" s="9" t="s">
        <v>21</v>
      </c>
      <c r="Z1" s="9" t="s">
        <v>22</v>
      </c>
      <c r="AA1" s="10" t="s">
        <v>23</v>
      </c>
      <c r="AB1" s="10" t="s">
        <v>24</v>
      </c>
      <c r="AC1" s="10" t="s">
        <v>25</v>
      </c>
    </row>
    <row r="2" spans="1:29" ht="36" x14ac:dyDescent="0.15">
      <c r="A2" s="13" t="s">
        <v>26</v>
      </c>
      <c r="B2" s="14" t="s">
        <v>27</v>
      </c>
      <c r="C2" s="14" t="s">
        <v>28</v>
      </c>
      <c r="D2" s="15">
        <v>1</v>
      </c>
      <c r="E2" s="15">
        <v>1</v>
      </c>
      <c r="F2" s="16">
        <f>D2*E2</f>
        <v>1</v>
      </c>
      <c r="G2" s="18">
        <v>3400</v>
      </c>
      <c r="H2" s="19">
        <f>G2/E2</f>
        <v>3400</v>
      </c>
      <c r="I2" s="20">
        <v>0.94</v>
      </c>
      <c r="J2" s="21">
        <v>0.2</v>
      </c>
      <c r="K2" s="22">
        <v>0.01</v>
      </c>
      <c r="L2" s="23">
        <f>((I2+J2)*G2)+(S2*K2)</f>
        <v>3935.3639999999996</v>
      </c>
      <c r="M2" s="22">
        <v>0.01</v>
      </c>
      <c r="N2" s="24">
        <v>1.4999999999999999E-2</v>
      </c>
      <c r="O2" s="23">
        <f>L2+((M2*V2))+(N2*S2)</f>
        <v>4076.0566799999992</v>
      </c>
      <c r="P2" s="25">
        <v>1.8</v>
      </c>
      <c r="Q2" s="26">
        <v>0.03</v>
      </c>
      <c r="R2" s="27">
        <f>P2*(1-Q2)</f>
        <v>1.746</v>
      </c>
      <c r="S2" s="27">
        <f>G2*R2</f>
        <v>5936.4</v>
      </c>
      <c r="T2" s="24">
        <v>0.08</v>
      </c>
      <c r="U2" s="24">
        <v>0.05</v>
      </c>
      <c r="V2" s="27">
        <f>(S2-(S2*SUM(T2:U2)))</f>
        <v>5164.6679999999997</v>
      </c>
      <c r="W2" s="27">
        <f>V2-O2</f>
        <v>1088.6113200000004</v>
      </c>
      <c r="X2" s="28">
        <f>V2/S2</f>
        <v>0.87</v>
      </c>
      <c r="Y2" s="28">
        <f>(V2-L2)/V2</f>
        <v>0.23802188252952564</v>
      </c>
      <c r="Z2" s="29">
        <f>(V2-O2)/V2</f>
        <v>0.21078050321918088</v>
      </c>
      <c r="AA2" s="29">
        <v>0.62</v>
      </c>
      <c r="AB2" s="25">
        <v>4.79</v>
      </c>
      <c r="AC2" s="30">
        <f>G2*AB2</f>
        <v>16286</v>
      </c>
    </row>
    <row r="3" spans="1:29" x14ac:dyDescent="0.15">
      <c r="G3" s="31">
        <v>3400</v>
      </c>
      <c r="H3" s="32"/>
      <c r="I3" s="33">
        <f>I2*G2</f>
        <v>3196</v>
      </c>
      <c r="J3" s="34">
        <f>G2*J2</f>
        <v>680</v>
      </c>
      <c r="K3" s="33">
        <f>K2*S2</f>
        <v>59.363999999999997</v>
      </c>
      <c r="L3" s="33">
        <f>I3+J3+K3</f>
        <v>3935.364</v>
      </c>
      <c r="M3" s="33">
        <f>M2*V2</f>
        <v>51.646679999999996</v>
      </c>
      <c r="N3" s="33">
        <f>N2*S2</f>
        <v>89.045999999999992</v>
      </c>
      <c r="O3" s="33">
        <f>L3+M3+N3</f>
        <v>4076.0566799999997</v>
      </c>
      <c r="P3" s="34">
        <v>1.8</v>
      </c>
      <c r="Q3" s="35">
        <v>0.03</v>
      </c>
      <c r="R3" s="34">
        <f>P3*(1-Q3)</f>
        <v>1.746</v>
      </c>
      <c r="S3" s="36">
        <f>G3*R3</f>
        <v>5936.4</v>
      </c>
      <c r="T3" s="37">
        <f>T2*S2</f>
        <v>474.91199999999998</v>
      </c>
      <c r="U3" s="37">
        <f>S3*U2</f>
        <v>296.82</v>
      </c>
      <c r="V3" s="36">
        <f>S3-T3-U3</f>
        <v>5164.6679999999997</v>
      </c>
      <c r="W3" s="36">
        <f>V3-O3</f>
        <v>1088.61132</v>
      </c>
      <c r="X3" s="38">
        <f>V3/S3</f>
        <v>0.87</v>
      </c>
      <c r="Y3" s="38">
        <f>(V3-L3)/V3</f>
        <v>0.23802188252952555</v>
      </c>
      <c r="Z3" s="39">
        <f>(V3-O3)/V3</f>
        <v>0.21078050321918079</v>
      </c>
      <c r="AA3" s="39">
        <v>0.62</v>
      </c>
      <c r="AB3" s="40">
        <v>4.79</v>
      </c>
      <c r="AC3" s="36">
        <f>G3*AB3</f>
        <v>16286</v>
      </c>
    </row>
    <row r="6" spans="1:29" x14ac:dyDescent="0.15">
      <c r="O6" s="17"/>
    </row>
    <row r="8" spans="1:29" ht="36" x14ac:dyDescent="0.15">
      <c r="A8" s="13" t="s">
        <v>26</v>
      </c>
      <c r="B8" s="14" t="s">
        <v>27</v>
      </c>
      <c r="C8" s="14" t="s">
        <v>28</v>
      </c>
      <c r="D8" s="15">
        <v>1</v>
      </c>
      <c r="E8" s="15">
        <v>1</v>
      </c>
      <c r="F8" s="16">
        <f>D8*E8</f>
        <v>1</v>
      </c>
      <c r="G8" s="18">
        <v>3400</v>
      </c>
      <c r="H8" s="19">
        <f>G8/E8</f>
        <v>3400</v>
      </c>
      <c r="I8" s="20">
        <v>0.94</v>
      </c>
      <c r="J8" s="21">
        <v>0.2</v>
      </c>
      <c r="K8" s="22">
        <v>0.01</v>
      </c>
      <c r="L8" s="23">
        <f>((I8+J8)*G8)+(S8*K8)</f>
        <v>3935.3639999999996</v>
      </c>
      <c r="M8" s="22">
        <v>0.01</v>
      </c>
      <c r="N8" s="24">
        <v>1.4999999999999999E-2</v>
      </c>
      <c r="O8" s="23">
        <f>L8+((M8*V8))+(N8*S8)</f>
        <v>4076.0566799999992</v>
      </c>
      <c r="P8" s="25">
        <v>1.8</v>
      </c>
      <c r="Q8" s="26">
        <v>0.03</v>
      </c>
      <c r="R8" s="27">
        <f>P8*(1-Q8)</f>
        <v>1.746</v>
      </c>
      <c r="S8" s="27">
        <f>G8*R8</f>
        <v>5936.4</v>
      </c>
      <c r="T8" s="24">
        <v>0.08</v>
      </c>
      <c r="U8" s="24">
        <v>0.05</v>
      </c>
      <c r="V8" s="27">
        <f>(S8-(S8*SUM(T8:U8)))</f>
        <v>5164.6679999999997</v>
      </c>
      <c r="W8" s="27">
        <f>V8-O8</f>
        <v>1088.6113200000004</v>
      </c>
      <c r="X8" s="28">
        <f>V8/S8</f>
        <v>0.87</v>
      </c>
      <c r="Y8" s="28">
        <f>(V8-L8)/V8</f>
        <v>0.23802188252952564</v>
      </c>
      <c r="Z8" s="29">
        <f>(V8-O8)/V8</f>
        <v>0.21078050321918088</v>
      </c>
      <c r="AA8" s="29">
        <v>0.62</v>
      </c>
      <c r="AB8" s="25">
        <v>4.79</v>
      </c>
      <c r="AC8" s="30">
        <f>G8*AB8</f>
        <v>16286</v>
      </c>
    </row>
    <row r="9" spans="1:29" x14ac:dyDescent="0.15">
      <c r="G9" s="31">
        <f>G8</f>
        <v>3400</v>
      </c>
      <c r="H9" s="32"/>
      <c r="I9" s="33">
        <f>I8*G8</f>
        <v>3196</v>
      </c>
      <c r="J9" s="34">
        <f>G8*J8</f>
        <v>680</v>
      </c>
      <c r="K9" s="33">
        <f>K8*S8</f>
        <v>59.363999999999997</v>
      </c>
      <c r="L9" s="33">
        <f>I9+J9+K9</f>
        <v>3935.364</v>
      </c>
      <c r="M9" s="33">
        <f>M8*V8</f>
        <v>51.646679999999996</v>
      </c>
      <c r="N9" s="33">
        <f>N8*S8</f>
        <v>89.045999999999992</v>
      </c>
      <c r="O9" s="33">
        <f>L9+M9+N9</f>
        <v>4076.0566799999997</v>
      </c>
      <c r="P9" s="41">
        <f>P8</f>
        <v>1.8</v>
      </c>
      <c r="Q9" s="35">
        <f>Q8</f>
        <v>0.03</v>
      </c>
      <c r="R9" s="34">
        <f>P9*(1-Q9)</f>
        <v>1.746</v>
      </c>
      <c r="S9" s="36">
        <f>G9*R9</f>
        <v>5936.4</v>
      </c>
      <c r="T9" s="37">
        <f>T8*S8</f>
        <v>474.91199999999998</v>
      </c>
      <c r="U9" s="37">
        <f>S9*U8</f>
        <v>296.82</v>
      </c>
      <c r="V9" s="36">
        <f>S9-T9-U9</f>
        <v>5164.6679999999997</v>
      </c>
      <c r="W9" s="36">
        <f>V9-O9</f>
        <v>1088.61132</v>
      </c>
      <c r="X9" s="38">
        <f>V9/S9</f>
        <v>0.87</v>
      </c>
      <c r="Y9" s="38">
        <f>(V9-L9)/V9</f>
        <v>0.23802188252952555</v>
      </c>
      <c r="Z9" s="39">
        <f>(V9-O9)/V9</f>
        <v>0.21078050321918079</v>
      </c>
      <c r="AA9" s="39">
        <f>AA8</f>
        <v>0.62</v>
      </c>
      <c r="AB9" s="40">
        <f>AB8</f>
        <v>4.79</v>
      </c>
      <c r="AC9" s="36">
        <f>G9*AB9</f>
        <v>16286</v>
      </c>
    </row>
  </sheetData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2016-01-14T21:30:33Z</dcterms:created>
  <dcterms:modified xsi:type="dcterms:W3CDTF">2016-03-30T14:15:20Z</dcterms:modified>
</cp:coreProperties>
</file>